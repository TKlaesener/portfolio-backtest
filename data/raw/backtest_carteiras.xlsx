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nfederacaosicredi-my.sharepoint.com/personal/tiago_klaesener_sicredi_com_br/Documents/Desktop/"/>
    </mc:Choice>
  </mc:AlternateContent>
  <xr:revisionPtr revIDLastSave="0" documentId="8_{4057DCC1-451A-4F7E-A63F-3C24D4CD220A}" xr6:coauthVersionLast="47" xr6:coauthVersionMax="47" xr10:uidLastSave="{00000000-0000-0000-0000-000000000000}"/>
  <bookViews>
    <workbookView xWindow="-110" yWindow="-110" windowWidth="19420" windowHeight="10300" firstSheet="5" activeTab="6" xr2:uid="{EE5F94B0-4C33-4708-B346-2D08D7DAD17D}"/>
  </bookViews>
  <sheets>
    <sheet name="C1_PERMANENTE" sheetId="1" r:id="rId1"/>
    <sheet name="C2_ALL_WEATHER" sheetId="2" r:id="rId2"/>
    <sheet name="C3_MOMENTUM" sheetId="4" r:id="rId3"/>
    <sheet name="C4 · BARBELL (NASSIM TALEB)" sheetId="5" r:id="rId4"/>
    <sheet name="C5 · CRESCIMENTO AGRESSIVO" sheetId="7" r:id="rId5"/>
    <sheet name="C6 · BRASIL + DÓLAR + OURO" sheetId="8" r:id="rId6"/>
    <sheet name="C7 · ROTATIVA POR CICLO ECONÔMI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4" i="9" l="1"/>
  <c r="Q35" i="9" s="1"/>
  <c r="Q36" i="9" s="1"/>
  <c r="M34" i="9"/>
  <c r="M35" i="9" s="1"/>
  <c r="I34" i="9"/>
  <c r="I35" i="9" s="1"/>
  <c r="E34" i="9"/>
  <c r="E35" i="9" s="1"/>
  <c r="S33" i="9"/>
  <c r="H33" i="9" s="1"/>
  <c r="I36" i="9" l="1"/>
  <c r="M36" i="9"/>
  <c r="P33" i="9"/>
  <c r="L33" i="9"/>
  <c r="D33" i="9"/>
  <c r="S35" i="9"/>
  <c r="E36" i="9"/>
  <c r="Q37" i="9"/>
  <c r="S34" i="9"/>
  <c r="D34" i="9" s="1"/>
  <c r="E136" i="8"/>
  <c r="Q32" i="8"/>
  <c r="Q33" i="8" s="1"/>
  <c r="Q34" i="8" s="1"/>
  <c r="I32" i="8"/>
  <c r="E32" i="8"/>
  <c r="M32" i="8"/>
  <c r="M33" i="8" s="1"/>
  <c r="M34" i="8" s="1"/>
  <c r="S31" i="8"/>
  <c r="P31" i="8" s="1"/>
  <c r="E175" i="7"/>
  <c r="M31" i="7"/>
  <c r="M32" i="7" s="1"/>
  <c r="M33" i="7" s="1"/>
  <c r="I31" i="7"/>
  <c r="E31" i="7"/>
  <c r="Q31" i="7"/>
  <c r="Q32" i="7" s="1"/>
  <c r="Q33" i="7" s="1"/>
  <c r="Q34" i="7" s="1"/>
  <c r="S30" i="7"/>
  <c r="L30" i="7" s="1"/>
  <c r="H30" i="7"/>
  <c r="D30" i="7"/>
  <c r="P30" i="7"/>
  <c r="S36" i="9" l="1"/>
  <c r="P36" i="9" s="1"/>
  <c r="T35" i="9"/>
  <c r="P35" i="9"/>
  <c r="P34" i="9"/>
  <c r="T34" i="9"/>
  <c r="L34" i="9"/>
  <c r="L36" i="9"/>
  <c r="M37" i="9"/>
  <c r="L35" i="9"/>
  <c r="T36" i="9"/>
  <c r="Q38" i="9"/>
  <c r="H34" i="9"/>
  <c r="H35" i="9"/>
  <c r="E37" i="9"/>
  <c r="D36" i="9"/>
  <c r="I37" i="9"/>
  <c r="H36" i="9"/>
  <c r="D35" i="9"/>
  <c r="Q35" i="8"/>
  <c r="S32" i="8"/>
  <c r="E33" i="8"/>
  <c r="I33" i="8"/>
  <c r="M35" i="8"/>
  <c r="L31" i="8"/>
  <c r="D31" i="8"/>
  <c r="H31" i="8"/>
  <c r="I32" i="7"/>
  <c r="S31" i="7"/>
  <c r="D31" i="7" s="1"/>
  <c r="E32" i="7"/>
  <c r="Q35" i="7"/>
  <c r="M34" i="7"/>
  <c r="E204" i="5"/>
  <c r="Q182" i="5"/>
  <c r="M115" i="5"/>
  <c r="A39" i="5" a="1"/>
  <c r="A39" i="5" s="1"/>
  <c r="A40" i="5" a="1"/>
  <c r="A40" i="5" s="1"/>
  <c r="A41" i="5" a="1"/>
  <c r="A41" i="5" s="1"/>
  <c r="A42" i="5" a="1"/>
  <c r="A42" i="5" s="1"/>
  <c r="A43" i="5" a="1"/>
  <c r="A43" i="5" s="1"/>
  <c r="A44" i="5" a="1"/>
  <c r="A44" i="5" s="1"/>
  <c r="A45" i="5" a="1"/>
  <c r="A45" i="5" s="1"/>
  <c r="A46" i="5" a="1"/>
  <c r="A46" i="5" s="1"/>
  <c r="A47" i="5" a="1"/>
  <c r="A47" i="5" s="1"/>
  <c r="A48" i="5" a="1"/>
  <c r="A48" i="5" s="1"/>
  <c r="A49" i="5" a="1"/>
  <c r="A49" i="5" s="1"/>
  <c r="A50" i="5" a="1"/>
  <c r="A50" i="5" s="1"/>
  <c r="A51" i="5" a="1"/>
  <c r="A51" i="5" s="1"/>
  <c r="A52" i="5" a="1"/>
  <c r="A52" i="5" s="1"/>
  <c r="A53" i="5" a="1"/>
  <c r="A53" i="5"/>
  <c r="A54" i="5" a="1"/>
  <c r="A54" i="5" s="1"/>
  <c r="A55" i="5" a="1"/>
  <c r="A55" i="5" s="1"/>
  <c r="A56" i="5" a="1"/>
  <c r="A56" i="5" s="1"/>
  <c r="A57" i="5" a="1"/>
  <c r="A57" i="5" s="1"/>
  <c r="A58" i="5" a="1"/>
  <c r="A58" i="5" s="1"/>
  <c r="A59" i="5" a="1"/>
  <c r="A59" i="5" s="1"/>
  <c r="A60" i="5" a="1"/>
  <c r="A60" i="5" s="1"/>
  <c r="A61" i="5" a="1"/>
  <c r="A61" i="5" s="1"/>
  <c r="A62" i="5" a="1"/>
  <c r="A62" i="5"/>
  <c r="A63" i="5" a="1"/>
  <c r="A63" i="5" s="1"/>
  <c r="A64" i="5" a="1"/>
  <c r="A64" i="5" s="1"/>
  <c r="A65" i="5" a="1"/>
  <c r="A65" i="5" s="1"/>
  <c r="A66" i="5" a="1"/>
  <c r="A66" i="5" s="1"/>
  <c r="A67" i="5" a="1"/>
  <c r="A67" i="5" s="1"/>
  <c r="A68" i="5" a="1"/>
  <c r="A68" i="5" s="1"/>
  <c r="A69" i="5" a="1"/>
  <c r="A69" i="5" s="1"/>
  <c r="A70" i="5" a="1"/>
  <c r="A70" i="5"/>
  <c r="A71" i="5" a="1"/>
  <c r="A71" i="5" s="1"/>
  <c r="A72" i="5" a="1"/>
  <c r="A72" i="5" s="1"/>
  <c r="A73" i="5" a="1"/>
  <c r="A73" i="5" s="1"/>
  <c r="A74" i="5" a="1"/>
  <c r="A74" i="5" s="1"/>
  <c r="A75" i="5" a="1"/>
  <c r="A75" i="5" s="1"/>
  <c r="A76" i="5" a="1"/>
  <c r="A76" i="5" s="1"/>
  <c r="A77" i="5" a="1"/>
  <c r="A77" i="5" s="1"/>
  <c r="A78" i="5" a="1"/>
  <c r="A78" i="5"/>
  <c r="A79" i="5" a="1"/>
  <c r="A79" i="5" s="1"/>
  <c r="A80" i="5" a="1"/>
  <c r="A80" i="5" s="1"/>
  <c r="A81" i="5" a="1"/>
  <c r="A81" i="5" s="1"/>
  <c r="A82" i="5" a="1"/>
  <c r="A82" i="5" s="1"/>
  <c r="A83" i="5" a="1"/>
  <c r="A83" i="5" s="1"/>
  <c r="A84" i="5" a="1"/>
  <c r="A84" i="5" s="1"/>
  <c r="A85" i="5" a="1"/>
  <c r="A85" i="5" s="1"/>
  <c r="A86" i="5" a="1"/>
  <c r="A86" i="5"/>
  <c r="A87" i="5" a="1"/>
  <c r="A87" i="5" s="1"/>
  <c r="A88" i="5" a="1"/>
  <c r="A88" i="5" s="1"/>
  <c r="A89" i="5" a="1"/>
  <c r="A89" i="5" s="1"/>
  <c r="A90" i="5" a="1"/>
  <c r="A90" i="5" s="1"/>
  <c r="A91" i="5" a="1"/>
  <c r="A91" i="5" s="1"/>
  <c r="A92" i="5" a="1"/>
  <c r="A92" i="5" s="1"/>
  <c r="A93" i="5" a="1"/>
  <c r="A93" i="5" s="1"/>
  <c r="A94" i="5" a="1"/>
  <c r="A94" i="5"/>
  <c r="A95" i="5" a="1"/>
  <c r="A95" i="5" s="1"/>
  <c r="A96" i="5" a="1"/>
  <c r="A96" i="5" s="1"/>
  <c r="A97" i="5" a="1"/>
  <c r="A97" i="5" s="1"/>
  <c r="A98" i="5" a="1"/>
  <c r="A98" i="5" s="1"/>
  <c r="A99" i="5" a="1"/>
  <c r="A99" i="5" s="1"/>
  <c r="A100" i="5" a="1"/>
  <c r="A100" i="5" s="1"/>
  <c r="A101" i="5" a="1"/>
  <c r="A101" i="5" s="1"/>
  <c r="A102" i="5" a="1"/>
  <c r="A102" i="5"/>
  <c r="A103" i="5" a="1"/>
  <c r="A103" i="5" s="1"/>
  <c r="A104" i="5" a="1"/>
  <c r="A104" i="5" s="1"/>
  <c r="A105" i="5" a="1"/>
  <c r="A105" i="5" s="1"/>
  <c r="A106" i="5" a="1"/>
  <c r="A106" i="5" s="1"/>
  <c r="A107" i="5" a="1"/>
  <c r="A107" i="5" s="1"/>
  <c r="A108" i="5" a="1"/>
  <c r="A108" i="5" s="1"/>
  <c r="A109" i="5" a="1"/>
  <c r="A109" i="5" s="1"/>
  <c r="A110" i="5" a="1"/>
  <c r="A110" i="5"/>
  <c r="A111" i="5" a="1"/>
  <c r="A111" i="5" s="1"/>
  <c r="A112" i="5" a="1"/>
  <c r="A112" i="5" s="1"/>
  <c r="A113" i="5" a="1"/>
  <c r="A113" i="5" s="1"/>
  <c r="A114" i="5" a="1"/>
  <c r="A114" i="5" s="1"/>
  <c r="A115" i="5" a="1"/>
  <c r="A115" i="5" s="1"/>
  <c r="A116" i="5" a="1"/>
  <c r="A116" i="5" s="1"/>
  <c r="A117" i="5" a="1"/>
  <c r="A117" i="5" s="1"/>
  <c r="A118" i="5" a="1"/>
  <c r="A118" i="5"/>
  <c r="A119" i="5" a="1"/>
  <c r="A119" i="5" s="1"/>
  <c r="A120" i="5" a="1"/>
  <c r="A120" i="5" s="1"/>
  <c r="A121" i="5" a="1"/>
  <c r="A121" i="5" s="1"/>
  <c r="A122" i="5" a="1"/>
  <c r="A122" i="5" s="1"/>
  <c r="A123" i="5" a="1"/>
  <c r="A123" i="5" s="1"/>
  <c r="A124" i="5" a="1"/>
  <c r="A124" i="5" s="1"/>
  <c r="A125" i="5" a="1"/>
  <c r="A125" i="5" s="1"/>
  <c r="A126" i="5" a="1"/>
  <c r="A126" i="5"/>
  <c r="A127" i="5" a="1"/>
  <c r="A127" i="5" s="1"/>
  <c r="A128" i="5" a="1"/>
  <c r="A128" i="5" s="1"/>
  <c r="A129" i="5" a="1"/>
  <c r="A129" i="5" s="1"/>
  <c r="A130" i="5" a="1"/>
  <c r="A130" i="5" s="1"/>
  <c r="A131" i="5" a="1"/>
  <c r="A131" i="5" s="1"/>
  <c r="A132" i="5" a="1"/>
  <c r="A132" i="5" s="1"/>
  <c r="A133" i="5" a="1"/>
  <c r="A133" i="5" s="1"/>
  <c r="A134" i="5" a="1"/>
  <c r="A134" i="5"/>
  <c r="A135" i="5" a="1"/>
  <c r="A135" i="5" s="1"/>
  <c r="A136" i="5" a="1"/>
  <c r="A136" i="5" s="1"/>
  <c r="A137" i="5" a="1"/>
  <c r="A137" i="5" s="1"/>
  <c r="A138" i="5" a="1"/>
  <c r="A138" i="5" s="1"/>
  <c r="A139" i="5" a="1"/>
  <c r="A139" i="5" s="1"/>
  <c r="A140" i="5" a="1"/>
  <c r="A140" i="5" s="1"/>
  <c r="A141" i="5" a="1"/>
  <c r="A141" i="5" s="1"/>
  <c r="A142" i="5" a="1"/>
  <c r="A142" i="5" s="1"/>
  <c r="A143" i="5" a="1"/>
  <c r="A143" i="5" s="1"/>
  <c r="A144" i="5" a="1"/>
  <c r="A144" i="5" s="1"/>
  <c r="A145" i="5" a="1"/>
  <c r="A145" i="5" s="1"/>
  <c r="A146" i="5" a="1"/>
  <c r="A146" i="5" s="1"/>
  <c r="A147" i="5" a="1"/>
  <c r="A147" i="5" s="1"/>
  <c r="A148" i="5" a="1"/>
  <c r="A148" i="5" s="1"/>
  <c r="A149" i="5" a="1"/>
  <c r="A149" i="5" s="1"/>
  <c r="A150" i="5" a="1"/>
  <c r="A150" i="5"/>
  <c r="A151" i="5" a="1"/>
  <c r="A151" i="5" s="1"/>
  <c r="A152" i="5" a="1"/>
  <c r="A152" i="5" s="1"/>
  <c r="A153" i="5" a="1"/>
  <c r="A153" i="5" s="1"/>
  <c r="A154" i="5" a="1"/>
  <c r="A154" i="5" s="1"/>
  <c r="A155" i="5" a="1"/>
  <c r="A155" i="5" s="1"/>
  <c r="A156" i="5" a="1"/>
  <c r="A156" i="5" s="1"/>
  <c r="A157" i="5" a="1"/>
  <c r="A157" i="5" s="1"/>
  <c r="A158" i="5" a="1"/>
  <c r="A158" i="5"/>
  <c r="A159" i="5" a="1"/>
  <c r="A159" i="5" s="1"/>
  <c r="A160" i="5" a="1"/>
  <c r="A160" i="5" s="1"/>
  <c r="A161" i="5" a="1"/>
  <c r="A161" i="5" s="1"/>
  <c r="A162" i="5" a="1"/>
  <c r="A162" i="5" s="1"/>
  <c r="A163" i="5" a="1"/>
  <c r="A163" i="5" s="1"/>
  <c r="A164" i="5" a="1"/>
  <c r="A164" i="5" s="1"/>
  <c r="A165" i="5" a="1"/>
  <c r="A165" i="5" s="1"/>
  <c r="A166" i="5" a="1"/>
  <c r="A166" i="5"/>
  <c r="A167" i="5" a="1"/>
  <c r="A167" i="5" s="1"/>
  <c r="A168" i="5" a="1"/>
  <c r="A168" i="5" s="1"/>
  <c r="A169" i="5" a="1"/>
  <c r="A169" i="5" s="1"/>
  <c r="A170" i="5" a="1"/>
  <c r="A170" i="5" s="1"/>
  <c r="A171" i="5" a="1"/>
  <c r="A171" i="5" s="1"/>
  <c r="A172" i="5" a="1"/>
  <c r="A172" i="5" s="1"/>
  <c r="A173" i="5" a="1"/>
  <c r="A173" i="5" s="1"/>
  <c r="A174" i="5" a="1"/>
  <c r="A174" i="5"/>
  <c r="A175" i="5" a="1"/>
  <c r="A175" i="5" s="1"/>
  <c r="A176" i="5" a="1"/>
  <c r="A176" i="5" s="1"/>
  <c r="A177" i="5" a="1"/>
  <c r="A177" i="5" s="1"/>
  <c r="A178" i="5" a="1"/>
  <c r="A178" i="5" s="1"/>
  <c r="A179" i="5" a="1"/>
  <c r="A179" i="5" s="1"/>
  <c r="A180" i="5" a="1"/>
  <c r="A180" i="5" s="1"/>
  <c r="A181" i="5" a="1"/>
  <c r="A181" i="5" s="1"/>
  <c r="A182" i="5" a="1"/>
  <c r="A182" i="5"/>
  <c r="A183" i="5" a="1"/>
  <c r="A183" i="5" s="1"/>
  <c r="A184" i="5" a="1"/>
  <c r="A184" i="5" s="1"/>
  <c r="A185" i="5" a="1"/>
  <c r="A185" i="5" s="1"/>
  <c r="A186" i="5" a="1"/>
  <c r="A186" i="5" s="1"/>
  <c r="A187" i="5" a="1"/>
  <c r="A187" i="5" s="1"/>
  <c r="A188" i="5" a="1"/>
  <c r="A188" i="5" s="1"/>
  <c r="A189" i="5" a="1"/>
  <c r="A189" i="5" s="1"/>
  <c r="A190" i="5" a="1"/>
  <c r="A190" i="5"/>
  <c r="A191" i="5" a="1"/>
  <c r="A191" i="5" s="1"/>
  <c r="A192" i="5" a="1"/>
  <c r="A192" i="5" s="1"/>
  <c r="A193" i="5" a="1"/>
  <c r="A193" i="5" s="1"/>
  <c r="A194" i="5" a="1"/>
  <c r="A194" i="5" s="1"/>
  <c r="A195" i="5" a="1"/>
  <c r="A195" i="5" s="1"/>
  <c r="A196" i="5" a="1"/>
  <c r="A196" i="5" s="1"/>
  <c r="A197" i="5" a="1"/>
  <c r="A197" i="5" s="1"/>
  <c r="A198" i="5" a="1"/>
  <c r="A198" i="5"/>
  <c r="A199" i="5" a="1"/>
  <c r="A199" i="5" s="1"/>
  <c r="A200" i="5" a="1"/>
  <c r="A200" i="5" s="1"/>
  <c r="A201" i="5" a="1"/>
  <c r="A201" i="5" s="1"/>
  <c r="A202" i="5" a="1"/>
  <c r="A202" i="5" s="1"/>
  <c r="A203" i="5" a="1"/>
  <c r="A203" i="5" s="1"/>
  <c r="A204" i="5" a="1"/>
  <c r="A204" i="5" s="1"/>
  <c r="A205" i="5" a="1"/>
  <c r="A205" i="5" s="1"/>
  <c r="A206" i="5" a="1"/>
  <c r="A206" i="5"/>
  <c r="A207" i="5" a="1"/>
  <c r="A207" i="5" s="1"/>
  <c r="A208" i="5" a="1"/>
  <c r="A208" i="5" s="1"/>
  <c r="A209" i="5" a="1"/>
  <c r="A209" i="5" s="1"/>
  <c r="A210" i="5" a="1"/>
  <c r="A210" i="5" s="1"/>
  <c r="A211" i="5" a="1"/>
  <c r="A211" i="5" s="1"/>
  <c r="A212" i="5" a="1"/>
  <c r="A212" i="5" s="1"/>
  <c r="A213" i="5" a="1"/>
  <c r="A213" i="5" s="1"/>
  <c r="A214" i="5" a="1"/>
  <c r="A214" i="5"/>
  <c r="A215" i="5" a="1"/>
  <c r="A215" i="5" s="1"/>
  <c r="A216" i="5" a="1"/>
  <c r="A216" i="5" s="1"/>
  <c r="A217" i="5" a="1"/>
  <c r="A217" i="5" s="1"/>
  <c r="A218" i="5" a="1"/>
  <c r="A218" i="5" s="1"/>
  <c r="A219" i="5" a="1"/>
  <c r="A219" i="5" s="1"/>
  <c r="A220" i="5" a="1"/>
  <c r="A220" i="5" s="1"/>
  <c r="A221" i="5" a="1"/>
  <c r="A221" i="5" s="1"/>
  <c r="A222" i="5" a="1"/>
  <c r="A222" i="5"/>
  <c r="A223" i="5" a="1"/>
  <c r="A223" i="5" s="1"/>
  <c r="A224" i="5" a="1"/>
  <c r="A224" i="5" s="1"/>
  <c r="A225" i="5" a="1"/>
  <c r="A225" i="5" s="1"/>
  <c r="A226" i="5" a="1"/>
  <c r="A226" i="5" s="1"/>
  <c r="A227" i="5" a="1"/>
  <c r="A227" i="5" s="1"/>
  <c r="A228" i="5" a="1"/>
  <c r="A228" i="5" s="1"/>
  <c r="A229" i="5" a="1"/>
  <c r="A229" i="5" s="1"/>
  <c r="A230" i="5" a="1"/>
  <c r="A230" i="5"/>
  <c r="A231" i="5" a="1"/>
  <c r="A231" i="5" s="1"/>
  <c r="A232" i="5" a="1"/>
  <c r="A232" i="5" s="1"/>
  <c r="A233" i="5" a="1"/>
  <c r="A233" i="5" s="1"/>
  <c r="A234" i="5" a="1"/>
  <c r="A234" i="5" s="1"/>
  <c r="A235" i="5" a="1"/>
  <c r="A235" i="5" s="1"/>
  <c r="A236" i="5" a="1"/>
  <c r="A236" i="5" s="1"/>
  <c r="A237" i="5" a="1"/>
  <c r="A237" i="5" s="1"/>
  <c r="A238" i="5" a="1"/>
  <c r="A238" i="5"/>
  <c r="A239" i="5" a="1"/>
  <c r="A239" i="5" s="1"/>
  <c r="A240" i="5" a="1"/>
  <c r="A240" i="5" s="1"/>
  <c r="A241" i="5" a="1"/>
  <c r="A241" i="5" s="1"/>
  <c r="A242" i="5" a="1"/>
  <c r="A242" i="5" s="1"/>
  <c r="A243" i="5" a="1"/>
  <c r="A243" i="5" s="1"/>
  <c r="A244" i="5" a="1"/>
  <c r="A244" i="5" s="1"/>
  <c r="A245" i="5" a="1"/>
  <c r="A245" i="5" s="1"/>
  <c r="A246" i="5" a="1"/>
  <c r="A246" i="5"/>
  <c r="A247" i="5" a="1"/>
  <c r="A247" i="5" s="1"/>
  <c r="A248" i="5" a="1"/>
  <c r="A248" i="5" s="1"/>
  <c r="A249" i="5" a="1"/>
  <c r="A249" i="5" s="1"/>
  <c r="A250" i="5" a="1"/>
  <c r="A250" i="5" s="1"/>
  <c r="A251" i="5" a="1"/>
  <c r="A251" i="5" s="1"/>
  <c r="A252" i="5" a="1"/>
  <c r="A252" i="5" s="1"/>
  <c r="A253" i="5" a="1"/>
  <c r="A253" i="5" s="1"/>
  <c r="A254" i="5" a="1"/>
  <c r="A254" i="5"/>
  <c r="A255" i="5" a="1"/>
  <c r="A255" i="5" s="1"/>
  <c r="A256" i="5" a="1"/>
  <c r="A256" i="5" s="1"/>
  <c r="A257" i="5" a="1"/>
  <c r="A257" i="5" s="1"/>
  <c r="A258" i="5" a="1"/>
  <c r="A258" i="5" s="1"/>
  <c r="A259" i="5" a="1"/>
  <c r="A259" i="5" s="1"/>
  <c r="A260" i="5" a="1"/>
  <c r="A260" i="5" s="1"/>
  <c r="A261" i="5" a="1"/>
  <c r="A261" i="5" s="1"/>
  <c r="A262" i="5" a="1"/>
  <c r="A262" i="5"/>
  <c r="A263" i="5" a="1"/>
  <c r="A263" i="5" s="1"/>
  <c r="A264" i="5" a="1"/>
  <c r="A264" i="5" s="1"/>
  <c r="A265" i="5" a="1"/>
  <c r="A265" i="5" s="1"/>
  <c r="A266" i="5" a="1"/>
  <c r="A266" i="5" s="1"/>
  <c r="A267" i="5" a="1"/>
  <c r="A267" i="5" s="1"/>
  <c r="A268" i="5" a="1"/>
  <c r="A268" i="5" s="1"/>
  <c r="A269" i="5" a="1"/>
  <c r="A269" i="5" s="1"/>
  <c r="A270" i="5" a="1"/>
  <c r="A270" i="5"/>
  <c r="A271" i="5" a="1"/>
  <c r="A271" i="5" s="1"/>
  <c r="A272" i="5" a="1"/>
  <c r="A272" i="5" s="1"/>
  <c r="A273" i="5" a="1"/>
  <c r="A273" i="5" s="1"/>
  <c r="A274" i="5" a="1"/>
  <c r="A274" i="5" s="1"/>
  <c r="A275" i="5" a="1"/>
  <c r="A275" i="5" s="1"/>
  <c r="A38" i="5" a="1"/>
  <c r="A38" i="5" s="1"/>
  <c r="A37" i="5" a="1"/>
  <c r="A37" i="5" s="1"/>
  <c r="W30" i="5"/>
  <c r="D30" i="5" s="1"/>
  <c r="U188" i="5"/>
  <c r="U189" i="5" s="1"/>
  <c r="U31" i="5"/>
  <c r="U32" i="5" s="1"/>
  <c r="U33" i="5" s="1"/>
  <c r="U34" i="5" s="1"/>
  <c r="U35" i="5" s="1"/>
  <c r="Q31" i="5"/>
  <c r="Q32" i="5" s="1"/>
  <c r="Q33" i="5" s="1"/>
  <c r="Q34" i="5" s="1"/>
  <c r="M31" i="5"/>
  <c r="I31" i="5"/>
  <c r="I32" i="5" s="1"/>
  <c r="I33" i="5" s="1"/>
  <c r="E31" i="5"/>
  <c r="E32" i="5" s="1"/>
  <c r="X29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T28" i="2"/>
  <c r="P28" i="2"/>
  <c r="L28" i="2"/>
  <c r="H28" i="2"/>
  <c r="D28" i="2"/>
  <c r="I39" i="4"/>
  <c r="U35" i="4"/>
  <c r="AC34" i="4"/>
  <c r="Q34" i="4"/>
  <c r="E34" i="4"/>
  <c r="AC33" i="4"/>
  <c r="Y33" i="4"/>
  <c r="U33" i="4"/>
  <c r="U34" i="4" s="1"/>
  <c r="Q33" i="4"/>
  <c r="M33" i="4"/>
  <c r="M34" i="4" s="1"/>
  <c r="I33" i="4"/>
  <c r="E33" i="4"/>
  <c r="AE32" i="4"/>
  <c r="X32" i="4" s="1"/>
  <c r="AB32" i="4"/>
  <c r="T32" i="4"/>
  <c r="P32" i="4"/>
  <c r="L32" i="4"/>
  <c r="H32" i="4"/>
  <c r="D32" i="4"/>
  <c r="S37" i="9" l="1"/>
  <c r="L37" i="9" s="1"/>
  <c r="Q39" i="9"/>
  <c r="M38" i="9"/>
  <c r="I38" i="9"/>
  <c r="E38" i="9"/>
  <c r="T32" i="8"/>
  <c r="P32" i="8"/>
  <c r="Q36" i="8"/>
  <c r="H32" i="8"/>
  <c r="D32" i="8"/>
  <c r="L32" i="8"/>
  <c r="M36" i="8"/>
  <c r="I34" i="8"/>
  <c r="S33" i="8"/>
  <c r="P33" i="8" s="1"/>
  <c r="E34" i="8"/>
  <c r="M35" i="7"/>
  <c r="Q36" i="7"/>
  <c r="E33" i="7"/>
  <c r="P31" i="7"/>
  <c r="T31" i="7"/>
  <c r="H31" i="7"/>
  <c r="L31" i="7"/>
  <c r="I33" i="7"/>
  <c r="S32" i="7"/>
  <c r="D32" i="7" s="1"/>
  <c r="W31" i="5"/>
  <c r="X31" i="5" s="1"/>
  <c r="T30" i="5"/>
  <c r="M32" i="5"/>
  <c r="M33" i="5" s="1"/>
  <c r="M34" i="5" s="1"/>
  <c r="I34" i="5"/>
  <c r="Q35" i="5"/>
  <c r="U36" i="5"/>
  <c r="H30" i="5"/>
  <c r="L30" i="5"/>
  <c r="E33" i="5"/>
  <c r="P30" i="5"/>
  <c r="U190" i="5"/>
  <c r="Y34" i="4"/>
  <c r="E35" i="4"/>
  <c r="Q35" i="4"/>
  <c r="I34" i="4"/>
  <c r="U36" i="4"/>
  <c r="M35" i="4"/>
  <c r="AE33" i="4"/>
  <c r="H33" i="4" s="1"/>
  <c r="AC35" i="4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1" i="1"/>
  <c r="Q22" i="1"/>
  <c r="Q23" i="1"/>
  <c r="Q24" i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1" i="1"/>
  <c r="M21" i="1"/>
  <c r="M22" i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I22" i="1"/>
  <c r="I23" i="1" s="1"/>
  <c r="I21" i="1"/>
  <c r="E23" i="1"/>
  <c r="E24" i="1"/>
  <c r="E25" i="1" s="1"/>
  <c r="E26" i="1" s="1"/>
  <c r="E27" i="1" s="1"/>
  <c r="E22" i="1"/>
  <c r="E21" i="1"/>
  <c r="D20" i="1"/>
  <c r="H20" i="1"/>
  <c r="P20" i="1"/>
  <c r="L20" i="1"/>
  <c r="S20" i="1"/>
  <c r="D37" i="9" l="1"/>
  <c r="P37" i="9"/>
  <c r="T37" i="9"/>
  <c r="H37" i="9"/>
  <c r="Q40" i="9"/>
  <c r="E39" i="9"/>
  <c r="I39" i="9"/>
  <c r="M39" i="9"/>
  <c r="S39" i="9" s="1"/>
  <c r="S38" i="9"/>
  <c r="D33" i="8"/>
  <c r="Q37" i="8"/>
  <c r="H33" i="8"/>
  <c r="I35" i="8"/>
  <c r="E35" i="8"/>
  <c r="S34" i="8"/>
  <c r="M37" i="8"/>
  <c r="T33" i="8"/>
  <c r="L33" i="8"/>
  <c r="H32" i="7"/>
  <c r="E34" i="7"/>
  <c r="Q37" i="7"/>
  <c r="T32" i="7"/>
  <c r="L32" i="7"/>
  <c r="P32" i="7"/>
  <c r="M36" i="7"/>
  <c r="I34" i="7"/>
  <c r="S33" i="7"/>
  <c r="H33" i="7" s="1"/>
  <c r="L31" i="5"/>
  <c r="H31" i="5"/>
  <c r="D31" i="5"/>
  <c r="T31" i="5"/>
  <c r="P31" i="5"/>
  <c r="W32" i="5"/>
  <c r="W33" i="5"/>
  <c r="Q36" i="5"/>
  <c r="I35" i="5"/>
  <c r="E34" i="5"/>
  <c r="W34" i="5" s="1"/>
  <c r="X34" i="5" s="1"/>
  <c r="U37" i="5"/>
  <c r="M35" i="5"/>
  <c r="U191" i="5"/>
  <c r="X33" i="4"/>
  <c r="I35" i="4"/>
  <c r="AE34" i="4"/>
  <c r="U37" i="4"/>
  <c r="Q36" i="4"/>
  <c r="D33" i="4"/>
  <c r="AB33" i="4"/>
  <c r="T33" i="4"/>
  <c r="P33" i="4"/>
  <c r="AF33" i="4"/>
  <c r="L33" i="4"/>
  <c r="M36" i="4"/>
  <c r="AC36" i="4"/>
  <c r="E36" i="4"/>
  <c r="Y35" i="4"/>
  <c r="X34" i="4"/>
  <c r="S21" i="1"/>
  <c r="L21" i="1" s="1"/>
  <c r="I24" i="1"/>
  <c r="S23" i="1"/>
  <c r="E28" i="1"/>
  <c r="T39" i="9" l="1"/>
  <c r="P39" i="9"/>
  <c r="Q41" i="9"/>
  <c r="T38" i="9"/>
  <c r="P38" i="9"/>
  <c r="M40" i="9"/>
  <c r="L39" i="9"/>
  <c r="L38" i="9"/>
  <c r="H38" i="9"/>
  <c r="I40" i="9"/>
  <c r="H39" i="9"/>
  <c r="D38" i="9"/>
  <c r="D39" i="9"/>
  <c r="E40" i="9"/>
  <c r="S40" i="9" s="1"/>
  <c r="T40" i="9" s="1"/>
  <c r="H34" i="8"/>
  <c r="P34" i="8"/>
  <c r="Q38" i="8"/>
  <c r="D34" i="8"/>
  <c r="I36" i="8"/>
  <c r="E36" i="8"/>
  <c r="T34" i="8"/>
  <c r="L34" i="8"/>
  <c r="M38" i="8"/>
  <c r="S35" i="8"/>
  <c r="M37" i="7"/>
  <c r="E35" i="7"/>
  <c r="I35" i="7"/>
  <c r="S34" i="7"/>
  <c r="Q38" i="7"/>
  <c r="T33" i="7"/>
  <c r="P33" i="7"/>
  <c r="L33" i="7"/>
  <c r="D33" i="7"/>
  <c r="X33" i="5"/>
  <c r="X32" i="5"/>
  <c r="L32" i="5"/>
  <c r="P32" i="5"/>
  <c r="H32" i="5"/>
  <c r="D32" i="5"/>
  <c r="T32" i="5"/>
  <c r="I36" i="5"/>
  <c r="U38" i="5"/>
  <c r="T33" i="5"/>
  <c r="P33" i="5"/>
  <c r="H33" i="5"/>
  <c r="L33" i="5"/>
  <c r="E35" i="5"/>
  <c r="W35" i="5" s="1"/>
  <c r="X35" i="5" s="1"/>
  <c r="D33" i="5"/>
  <c r="U192" i="5"/>
  <c r="Q37" i="5"/>
  <c r="M36" i="5"/>
  <c r="Y36" i="4"/>
  <c r="Q37" i="4"/>
  <c r="AC37" i="4"/>
  <c r="E37" i="4"/>
  <c r="AF34" i="4"/>
  <c r="T34" i="4"/>
  <c r="L34" i="4"/>
  <c r="D34" i="4"/>
  <c r="AB34" i="4"/>
  <c r="P34" i="4"/>
  <c r="H34" i="4"/>
  <c r="AE35" i="4"/>
  <c r="U38" i="4"/>
  <c r="M37" i="4"/>
  <c r="I36" i="4"/>
  <c r="H35" i="4"/>
  <c r="D21" i="1"/>
  <c r="P21" i="1"/>
  <c r="H21" i="1"/>
  <c r="H23" i="1"/>
  <c r="P23" i="1"/>
  <c r="D23" i="1"/>
  <c r="L23" i="1"/>
  <c r="I25" i="1"/>
  <c r="S24" i="1"/>
  <c r="E29" i="1"/>
  <c r="S22" i="1"/>
  <c r="D22" i="1" s="1"/>
  <c r="H40" i="9" l="1"/>
  <c r="I41" i="9"/>
  <c r="L40" i="9"/>
  <c r="M41" i="9"/>
  <c r="Q42" i="9"/>
  <c r="D40" i="9"/>
  <c r="E41" i="9"/>
  <c r="P40" i="9"/>
  <c r="D35" i="8"/>
  <c r="P35" i="8"/>
  <c r="Q39" i="8"/>
  <c r="E37" i="8"/>
  <c r="T35" i="8"/>
  <c r="L35" i="8"/>
  <c r="S36" i="8"/>
  <c r="P36" i="8" s="1"/>
  <c r="M39" i="8"/>
  <c r="I37" i="8"/>
  <c r="H35" i="8"/>
  <c r="Q39" i="7"/>
  <c r="T34" i="7"/>
  <c r="P34" i="7"/>
  <c r="L34" i="7"/>
  <c r="H34" i="7"/>
  <c r="I36" i="7"/>
  <c r="S35" i="7"/>
  <c r="H35" i="7" s="1"/>
  <c r="E36" i="7"/>
  <c r="D34" i="7"/>
  <c r="M38" i="7"/>
  <c r="U193" i="5"/>
  <c r="M37" i="5"/>
  <c r="U39" i="5"/>
  <c r="E36" i="5"/>
  <c r="W36" i="5" s="1"/>
  <c r="X36" i="5" s="1"/>
  <c r="Q38" i="5"/>
  <c r="I37" i="5"/>
  <c r="M38" i="4"/>
  <c r="AC38" i="4"/>
  <c r="I37" i="4"/>
  <c r="AE37" i="4" s="1"/>
  <c r="E38" i="4"/>
  <c r="U39" i="4"/>
  <c r="AF35" i="4"/>
  <c r="T35" i="4"/>
  <c r="L35" i="4"/>
  <c r="P35" i="4"/>
  <c r="AB35" i="4"/>
  <c r="D35" i="4"/>
  <c r="AE36" i="4"/>
  <c r="H36" i="4" s="1"/>
  <c r="Q38" i="4"/>
  <c r="Y37" i="4"/>
  <c r="X36" i="4"/>
  <c r="X35" i="4"/>
  <c r="X30" i="2"/>
  <c r="P24" i="1"/>
  <c r="L24" i="1"/>
  <c r="H24" i="1"/>
  <c r="D24" i="1"/>
  <c r="I26" i="1"/>
  <c r="S25" i="1"/>
  <c r="H25" i="1" s="1"/>
  <c r="E30" i="1"/>
  <c r="P22" i="1"/>
  <c r="L22" i="1"/>
  <c r="H22" i="1"/>
  <c r="S41" i="9" l="1"/>
  <c r="T41" i="9" s="1"/>
  <c r="E42" i="9"/>
  <c r="Q43" i="9"/>
  <c r="M42" i="9"/>
  <c r="I42" i="9"/>
  <c r="H36" i="8"/>
  <c r="Q40" i="8"/>
  <c r="I38" i="8"/>
  <c r="S37" i="8"/>
  <c r="T36" i="8"/>
  <c r="L36" i="8"/>
  <c r="M40" i="8"/>
  <c r="E38" i="8"/>
  <c r="D36" i="8"/>
  <c r="D35" i="7"/>
  <c r="I37" i="7"/>
  <c r="S36" i="7"/>
  <c r="D36" i="7" s="1"/>
  <c r="E37" i="7"/>
  <c r="T35" i="7"/>
  <c r="P35" i="7"/>
  <c r="L35" i="7"/>
  <c r="Q40" i="7"/>
  <c r="M39" i="7"/>
  <c r="Q39" i="5"/>
  <c r="E37" i="5"/>
  <c r="W37" i="5" s="1"/>
  <c r="X37" i="5" s="1"/>
  <c r="M38" i="5"/>
  <c r="U194" i="5"/>
  <c r="U40" i="5"/>
  <c r="T34" i="5"/>
  <c r="P34" i="5"/>
  <c r="H34" i="5"/>
  <c r="L34" i="5"/>
  <c r="D34" i="5"/>
  <c r="I38" i="5"/>
  <c r="AF37" i="4"/>
  <c r="T37" i="4"/>
  <c r="AB37" i="4"/>
  <c r="L37" i="4"/>
  <c r="D37" i="4"/>
  <c r="P37" i="4"/>
  <c r="Y38" i="4"/>
  <c r="X37" i="4"/>
  <c r="U40" i="4"/>
  <c r="E39" i="4"/>
  <c r="AE38" i="4"/>
  <c r="P38" i="4" s="1"/>
  <c r="Q39" i="4"/>
  <c r="M39" i="4"/>
  <c r="AF36" i="4"/>
  <c r="T36" i="4"/>
  <c r="P36" i="4"/>
  <c r="AB36" i="4"/>
  <c r="D36" i="4"/>
  <c r="L36" i="4"/>
  <c r="H37" i="4"/>
  <c r="I38" i="4"/>
  <c r="AC39" i="4"/>
  <c r="X31" i="2"/>
  <c r="P25" i="1"/>
  <c r="L25" i="1"/>
  <c r="D25" i="1"/>
  <c r="S26" i="1"/>
  <c r="I27" i="1"/>
  <c r="H26" i="1"/>
  <c r="E31" i="1"/>
  <c r="H41" i="9" l="1"/>
  <c r="L41" i="9"/>
  <c r="D41" i="9"/>
  <c r="P41" i="9"/>
  <c r="S42" i="9"/>
  <c r="P42" i="9" s="1"/>
  <c r="I43" i="9"/>
  <c r="E43" i="9"/>
  <c r="M43" i="9"/>
  <c r="Q44" i="9"/>
  <c r="H37" i="8"/>
  <c r="P37" i="8"/>
  <c r="Q41" i="8"/>
  <c r="D37" i="8"/>
  <c r="E39" i="8"/>
  <c r="S38" i="8"/>
  <c r="M41" i="8"/>
  <c r="T37" i="8"/>
  <c r="L37" i="8"/>
  <c r="I39" i="8"/>
  <c r="Q41" i="7"/>
  <c r="T36" i="7"/>
  <c r="P36" i="7"/>
  <c r="L36" i="7"/>
  <c r="E38" i="7"/>
  <c r="H36" i="7"/>
  <c r="M40" i="7"/>
  <c r="I38" i="7"/>
  <c r="S37" i="7"/>
  <c r="D37" i="7" s="1"/>
  <c r="I39" i="5"/>
  <c r="U195" i="5"/>
  <c r="T35" i="5"/>
  <c r="P35" i="5"/>
  <c r="H35" i="5"/>
  <c r="L35" i="5"/>
  <c r="D35" i="5"/>
  <c r="Q40" i="5"/>
  <c r="T36" i="5"/>
  <c r="P36" i="5"/>
  <c r="H36" i="5"/>
  <c r="L36" i="5"/>
  <c r="D37" i="5"/>
  <c r="M39" i="5"/>
  <c r="E38" i="5"/>
  <c r="W38" i="5" s="1"/>
  <c r="X38" i="5" s="1"/>
  <c r="D36" i="5"/>
  <c r="U41" i="5"/>
  <c r="AC40" i="4"/>
  <c r="E40" i="4"/>
  <c r="Y39" i="4"/>
  <c r="X38" i="4"/>
  <c r="M40" i="4"/>
  <c r="AF38" i="4"/>
  <c r="T38" i="4"/>
  <c r="H38" i="4"/>
  <c r="D38" i="4"/>
  <c r="U41" i="4"/>
  <c r="L38" i="4"/>
  <c r="AB38" i="4"/>
  <c r="Q40" i="4"/>
  <c r="X32" i="2"/>
  <c r="S27" i="1"/>
  <c r="H27" i="1" s="1"/>
  <c r="I28" i="1"/>
  <c r="L26" i="1"/>
  <c r="P26" i="1"/>
  <c r="D26" i="1"/>
  <c r="E32" i="1"/>
  <c r="L42" i="9" l="1"/>
  <c r="T42" i="9"/>
  <c r="D42" i="9"/>
  <c r="H42" i="9"/>
  <c r="E44" i="9"/>
  <c r="I44" i="9"/>
  <c r="Q45" i="9"/>
  <c r="S43" i="9"/>
  <c r="D43" i="9" s="1"/>
  <c r="M44" i="9"/>
  <c r="S44" i="9" s="1"/>
  <c r="H38" i="8"/>
  <c r="P38" i="8"/>
  <c r="Q42" i="8"/>
  <c r="I40" i="8"/>
  <c r="M42" i="8"/>
  <c r="T38" i="8"/>
  <c r="L38" i="8"/>
  <c r="S39" i="8"/>
  <c r="P39" i="8" s="1"/>
  <c r="D39" i="8"/>
  <c r="E40" i="8"/>
  <c r="D38" i="8"/>
  <c r="H37" i="7"/>
  <c r="M41" i="7"/>
  <c r="E39" i="7"/>
  <c r="T37" i="7"/>
  <c r="P37" i="7"/>
  <c r="L37" i="7"/>
  <c r="Q42" i="7"/>
  <c r="I39" i="7"/>
  <c r="S38" i="7"/>
  <c r="H38" i="7" s="1"/>
  <c r="U42" i="5"/>
  <c r="E39" i="5"/>
  <c r="W39" i="5" s="1"/>
  <c r="X39" i="5" s="1"/>
  <c r="M40" i="5"/>
  <c r="U196" i="5"/>
  <c r="T37" i="5"/>
  <c r="P37" i="5"/>
  <c r="H37" i="5"/>
  <c r="L37" i="5"/>
  <c r="I40" i="5"/>
  <c r="Q41" i="5"/>
  <c r="U42" i="4"/>
  <c r="I40" i="4"/>
  <c r="AE39" i="4"/>
  <c r="Q41" i="4"/>
  <c r="Y40" i="4"/>
  <c r="X39" i="4"/>
  <c r="E41" i="4"/>
  <c r="AC41" i="4"/>
  <c r="M41" i="4"/>
  <c r="X33" i="2"/>
  <c r="I29" i="1"/>
  <c r="S28" i="1"/>
  <c r="H28" i="1" s="1"/>
  <c r="D27" i="1"/>
  <c r="P27" i="1"/>
  <c r="L27" i="1"/>
  <c r="E33" i="1"/>
  <c r="L43" i="9" l="1"/>
  <c r="T44" i="9"/>
  <c r="H43" i="9"/>
  <c r="P44" i="9"/>
  <c r="Q46" i="9"/>
  <c r="H44" i="9"/>
  <c r="I45" i="9"/>
  <c r="D44" i="9"/>
  <c r="E45" i="9"/>
  <c r="M45" i="9"/>
  <c r="L44" i="9"/>
  <c r="T43" i="9"/>
  <c r="P43" i="9"/>
  <c r="Q43" i="8"/>
  <c r="E41" i="8"/>
  <c r="T39" i="8"/>
  <c r="L39" i="8"/>
  <c r="S40" i="8"/>
  <c r="M43" i="8"/>
  <c r="I41" i="8"/>
  <c r="H39" i="8"/>
  <c r="D38" i="7"/>
  <c r="E40" i="7"/>
  <c r="I40" i="7"/>
  <c r="S39" i="7"/>
  <c r="M42" i="7"/>
  <c r="Q43" i="7"/>
  <c r="T38" i="7"/>
  <c r="P38" i="7"/>
  <c r="L38" i="7"/>
  <c r="E40" i="5"/>
  <c r="W40" i="5" s="1"/>
  <c r="X40" i="5" s="1"/>
  <c r="Q42" i="5"/>
  <c r="I41" i="5"/>
  <c r="U197" i="5"/>
  <c r="M41" i="5"/>
  <c r="U43" i="5"/>
  <c r="U43" i="4"/>
  <c r="E42" i="4"/>
  <c r="Q42" i="4"/>
  <c r="AF39" i="4"/>
  <c r="T39" i="4"/>
  <c r="D39" i="4"/>
  <c r="P39" i="4"/>
  <c r="L39" i="4"/>
  <c r="AB39" i="4"/>
  <c r="H39" i="4"/>
  <c r="AC42" i="4"/>
  <c r="Y41" i="4"/>
  <c r="AE40" i="4"/>
  <c r="M42" i="4"/>
  <c r="H40" i="4"/>
  <c r="I41" i="4"/>
  <c r="X34" i="2"/>
  <c r="L28" i="1"/>
  <c r="D28" i="1"/>
  <c r="P28" i="1"/>
  <c r="I30" i="1"/>
  <c r="S29" i="1"/>
  <c r="E34" i="1"/>
  <c r="E46" i="9" l="1"/>
  <c r="M46" i="9"/>
  <c r="S46" i="9" s="1"/>
  <c r="P46" i="9" s="1"/>
  <c r="I46" i="9"/>
  <c r="Q47" i="9"/>
  <c r="S45" i="9"/>
  <c r="H45" i="9" s="1"/>
  <c r="D40" i="8"/>
  <c r="P40" i="8"/>
  <c r="Q44" i="8"/>
  <c r="H40" i="8"/>
  <c r="S41" i="8"/>
  <c r="P41" i="8" s="1"/>
  <c r="M44" i="8"/>
  <c r="I42" i="8"/>
  <c r="T40" i="8"/>
  <c r="L40" i="8"/>
  <c r="E42" i="8"/>
  <c r="D41" i="8"/>
  <c r="T39" i="7"/>
  <c r="P39" i="7"/>
  <c r="L39" i="7"/>
  <c r="H39" i="7"/>
  <c r="Q44" i="7"/>
  <c r="I41" i="7"/>
  <c r="S40" i="7"/>
  <c r="D40" i="7" s="1"/>
  <c r="D39" i="7"/>
  <c r="M43" i="7"/>
  <c r="E41" i="7"/>
  <c r="T39" i="5"/>
  <c r="P39" i="5"/>
  <c r="H39" i="5"/>
  <c r="L39" i="5"/>
  <c r="D39" i="5"/>
  <c r="U198" i="5"/>
  <c r="Q43" i="5"/>
  <c r="I42" i="5"/>
  <c r="T38" i="5"/>
  <c r="P38" i="5"/>
  <c r="H38" i="5"/>
  <c r="L38" i="5"/>
  <c r="D38" i="5"/>
  <c r="M42" i="5"/>
  <c r="E41" i="5"/>
  <c r="W41" i="5" s="1"/>
  <c r="X41" i="5" s="1"/>
  <c r="U44" i="5"/>
  <c r="M43" i="4"/>
  <c r="Y42" i="4"/>
  <c r="I42" i="4"/>
  <c r="H41" i="4"/>
  <c r="AF40" i="4"/>
  <c r="T40" i="4"/>
  <c r="P40" i="4"/>
  <c r="D40" i="4"/>
  <c r="AB40" i="4"/>
  <c r="L40" i="4"/>
  <c r="Q43" i="4"/>
  <c r="X40" i="4"/>
  <c r="AE41" i="4"/>
  <c r="AC43" i="4"/>
  <c r="E43" i="4"/>
  <c r="U44" i="4"/>
  <c r="X35" i="2"/>
  <c r="D29" i="1"/>
  <c r="P29" i="1"/>
  <c r="L29" i="1"/>
  <c r="H29" i="1"/>
  <c r="I31" i="1"/>
  <c r="S30" i="1"/>
  <c r="H30" i="1"/>
  <c r="E35" i="1"/>
  <c r="T46" i="9" l="1"/>
  <c r="L45" i="9"/>
  <c r="Q48" i="9"/>
  <c r="H46" i="9"/>
  <c r="I47" i="9"/>
  <c r="L46" i="9"/>
  <c r="M47" i="9"/>
  <c r="E47" i="9"/>
  <c r="D46" i="9"/>
  <c r="T45" i="9"/>
  <c r="P45" i="9"/>
  <c r="D45" i="9"/>
  <c r="H41" i="8"/>
  <c r="Q45" i="8"/>
  <c r="I43" i="8"/>
  <c r="T41" i="8"/>
  <c r="L41" i="8"/>
  <c r="E43" i="8"/>
  <c r="M45" i="8"/>
  <c r="S42" i="8"/>
  <c r="P42" i="8" s="1"/>
  <c r="H40" i="7"/>
  <c r="Q45" i="7"/>
  <c r="E42" i="7"/>
  <c r="M44" i="7"/>
  <c r="I42" i="7"/>
  <c r="S41" i="7"/>
  <c r="D41" i="7" s="1"/>
  <c r="T40" i="7"/>
  <c r="P40" i="7"/>
  <c r="L40" i="7"/>
  <c r="U45" i="5"/>
  <c r="E42" i="5"/>
  <c r="W42" i="5" s="1"/>
  <c r="X42" i="5" s="1"/>
  <c r="I43" i="5"/>
  <c r="T40" i="5"/>
  <c r="P40" i="5"/>
  <c r="L40" i="5"/>
  <c r="H40" i="5"/>
  <c r="M43" i="5"/>
  <c r="D40" i="5"/>
  <c r="Q44" i="5"/>
  <c r="U199" i="5"/>
  <c r="E44" i="4"/>
  <c r="AC44" i="4"/>
  <c r="AB43" i="4"/>
  <c r="AF41" i="4"/>
  <c r="T41" i="4"/>
  <c r="AB41" i="4"/>
  <c r="P41" i="4"/>
  <c r="L41" i="4"/>
  <c r="D41" i="4"/>
  <c r="I43" i="4"/>
  <c r="H42" i="4"/>
  <c r="X42" i="4"/>
  <c r="Y43" i="4"/>
  <c r="AE43" i="4"/>
  <c r="L43" i="4" s="1"/>
  <c r="P43" i="4"/>
  <c r="Q44" i="4"/>
  <c r="X41" i="4"/>
  <c r="U45" i="4"/>
  <c r="AE42" i="4"/>
  <c r="M44" i="4"/>
  <c r="X36" i="2"/>
  <c r="D30" i="1"/>
  <c r="P30" i="1"/>
  <c r="L30" i="1"/>
  <c r="I32" i="1"/>
  <c r="S31" i="1"/>
  <c r="H31" i="1" s="1"/>
  <c r="E36" i="1"/>
  <c r="M48" i="9" l="1"/>
  <c r="E48" i="9"/>
  <c r="Q49" i="9"/>
  <c r="I48" i="9"/>
  <c r="S47" i="9"/>
  <c r="D47" i="9" s="1"/>
  <c r="Q46" i="8"/>
  <c r="S43" i="8"/>
  <c r="M46" i="8"/>
  <c r="E44" i="8"/>
  <c r="I44" i="8"/>
  <c r="T42" i="8"/>
  <c r="L42" i="8"/>
  <c r="D42" i="8"/>
  <c r="H42" i="8"/>
  <c r="I43" i="7"/>
  <c r="S42" i="7"/>
  <c r="M45" i="7"/>
  <c r="Q46" i="7"/>
  <c r="T41" i="7"/>
  <c r="P41" i="7"/>
  <c r="L41" i="7"/>
  <c r="H41" i="7"/>
  <c r="E43" i="7"/>
  <c r="Q45" i="5"/>
  <c r="T41" i="5"/>
  <c r="P41" i="5"/>
  <c r="H41" i="5"/>
  <c r="L41" i="5"/>
  <c r="D41" i="5"/>
  <c r="M44" i="5"/>
  <c r="E43" i="5"/>
  <c r="W43" i="5" s="1"/>
  <c r="X43" i="5" s="1"/>
  <c r="U46" i="5"/>
  <c r="U200" i="5"/>
  <c r="I44" i="5"/>
  <c r="X43" i="4"/>
  <c r="Y44" i="4"/>
  <c r="AC45" i="4"/>
  <c r="E45" i="4"/>
  <c r="AF43" i="4"/>
  <c r="T43" i="4"/>
  <c r="D43" i="4"/>
  <c r="I44" i="4"/>
  <c r="H43" i="4"/>
  <c r="M45" i="4"/>
  <c r="L44" i="4"/>
  <c r="AF42" i="4"/>
  <c r="T42" i="4"/>
  <c r="L42" i="4"/>
  <c r="P42" i="4"/>
  <c r="D42" i="4"/>
  <c r="AB42" i="4"/>
  <c r="U46" i="4"/>
  <c r="Q45" i="4"/>
  <c r="AE44" i="4"/>
  <c r="P44" i="4"/>
  <c r="X37" i="2"/>
  <c r="D31" i="1"/>
  <c r="L31" i="1"/>
  <c r="P31" i="1"/>
  <c r="I33" i="1"/>
  <c r="S32" i="1"/>
  <c r="H32" i="1" s="1"/>
  <c r="E37" i="1"/>
  <c r="I49" i="9" l="1"/>
  <c r="S49" i="9" s="1"/>
  <c r="T49" i="9" s="1"/>
  <c r="S48" i="9"/>
  <c r="H48" i="9" s="1"/>
  <c r="E49" i="9"/>
  <c r="T47" i="9"/>
  <c r="P47" i="9"/>
  <c r="H47" i="9"/>
  <c r="M49" i="9"/>
  <c r="Q50" i="9"/>
  <c r="L47" i="9"/>
  <c r="D43" i="8"/>
  <c r="P43" i="8"/>
  <c r="Q47" i="8"/>
  <c r="H43" i="8"/>
  <c r="I45" i="8"/>
  <c r="S44" i="8"/>
  <c r="P44" i="8" s="1"/>
  <c r="E45" i="8"/>
  <c r="M47" i="8"/>
  <c r="T43" i="8"/>
  <c r="L43" i="8"/>
  <c r="T42" i="7"/>
  <c r="P42" i="7"/>
  <c r="L42" i="7"/>
  <c r="Q47" i="7"/>
  <c r="M46" i="7"/>
  <c r="E44" i="7"/>
  <c r="H42" i="7"/>
  <c r="D42" i="7"/>
  <c r="I44" i="7"/>
  <c r="S43" i="7"/>
  <c r="D43" i="7" s="1"/>
  <c r="Q46" i="5"/>
  <c r="U47" i="5"/>
  <c r="M45" i="5"/>
  <c r="E44" i="5"/>
  <c r="W44" i="5" s="1"/>
  <c r="X44" i="5" s="1"/>
  <c r="I45" i="5"/>
  <c r="U201" i="5"/>
  <c r="AF44" i="4"/>
  <c r="T44" i="4"/>
  <c r="Q46" i="4"/>
  <c r="U47" i="4"/>
  <c r="D44" i="4"/>
  <c r="E46" i="4"/>
  <c r="AB44" i="4"/>
  <c r="AC46" i="4"/>
  <c r="M46" i="4"/>
  <c r="I45" i="4"/>
  <c r="AE45" i="4" s="1"/>
  <c r="H44" i="4"/>
  <c r="X44" i="4"/>
  <c r="Y45" i="4"/>
  <c r="X38" i="2"/>
  <c r="D32" i="1"/>
  <c r="P32" i="1"/>
  <c r="L32" i="1"/>
  <c r="I34" i="1"/>
  <c r="S33" i="1"/>
  <c r="H33" i="1" s="1"/>
  <c r="E38" i="1"/>
  <c r="L48" i="9" l="1"/>
  <c r="D48" i="9"/>
  <c r="P49" i="9"/>
  <c r="E50" i="9"/>
  <c r="D49" i="9"/>
  <c r="T48" i="9"/>
  <c r="P48" i="9"/>
  <c r="Q51" i="9"/>
  <c r="L49" i="9"/>
  <c r="M50" i="9"/>
  <c r="H49" i="9"/>
  <c r="I50" i="9"/>
  <c r="Q48" i="8"/>
  <c r="D44" i="8"/>
  <c r="H44" i="8"/>
  <c r="M48" i="8"/>
  <c r="S45" i="8"/>
  <c r="P45" i="8" s="1"/>
  <c r="E46" i="8"/>
  <c r="T44" i="8"/>
  <c r="L44" i="8"/>
  <c r="I46" i="8"/>
  <c r="M47" i="7"/>
  <c r="T43" i="7"/>
  <c r="P43" i="7"/>
  <c r="L43" i="7"/>
  <c r="I45" i="7"/>
  <c r="S44" i="7"/>
  <c r="H44" i="7" s="1"/>
  <c r="E45" i="7"/>
  <c r="Q48" i="7"/>
  <c r="H43" i="7"/>
  <c r="M46" i="5"/>
  <c r="U48" i="5"/>
  <c r="Q47" i="5"/>
  <c r="T42" i="5"/>
  <c r="P42" i="5"/>
  <c r="H42" i="5"/>
  <c r="L42" i="5"/>
  <c r="D42" i="5"/>
  <c r="E45" i="5"/>
  <c r="W45" i="5" s="1"/>
  <c r="X45" i="5" s="1"/>
  <c r="U202" i="5"/>
  <c r="I46" i="5"/>
  <c r="AF45" i="4"/>
  <c r="T45" i="4"/>
  <c r="AB45" i="4"/>
  <c r="L45" i="4"/>
  <c r="P45" i="4"/>
  <c r="D45" i="4"/>
  <c r="Q47" i="4"/>
  <c r="U48" i="4"/>
  <c r="AC47" i="4"/>
  <c r="E47" i="4"/>
  <c r="X45" i="4"/>
  <c r="Y46" i="4"/>
  <c r="H45" i="4"/>
  <c r="I46" i="4"/>
  <c r="M47" i="4"/>
  <c r="X39" i="2"/>
  <c r="D33" i="1"/>
  <c r="P33" i="1"/>
  <c r="L33" i="1"/>
  <c r="I35" i="1"/>
  <c r="S34" i="1"/>
  <c r="H34" i="1" s="1"/>
  <c r="E39" i="1"/>
  <c r="I51" i="9" l="1"/>
  <c r="M51" i="9"/>
  <c r="S50" i="9"/>
  <c r="L50" i="9" s="1"/>
  <c r="Q52" i="9"/>
  <c r="E51" i="9"/>
  <c r="D50" i="9"/>
  <c r="H45" i="8"/>
  <c r="D45" i="8"/>
  <c r="Q49" i="8"/>
  <c r="S46" i="8"/>
  <c r="I47" i="8"/>
  <c r="E47" i="8"/>
  <c r="T45" i="8"/>
  <c r="L45" i="8"/>
  <c r="M49" i="8"/>
  <c r="D44" i="7"/>
  <c r="E46" i="7"/>
  <c r="I46" i="7"/>
  <c r="S45" i="7"/>
  <c r="H45" i="7" s="1"/>
  <c r="M48" i="7"/>
  <c r="T44" i="7"/>
  <c r="P44" i="7"/>
  <c r="L44" i="7"/>
  <c r="Q49" i="7"/>
  <c r="E46" i="5"/>
  <c r="W46" i="5" s="1"/>
  <c r="X46" i="5" s="1"/>
  <c r="T43" i="5"/>
  <c r="P43" i="5"/>
  <c r="H43" i="5"/>
  <c r="L43" i="5"/>
  <c r="D43" i="5"/>
  <c r="Q48" i="5"/>
  <c r="U203" i="5"/>
  <c r="I47" i="5"/>
  <c r="U49" i="5"/>
  <c r="M47" i="5"/>
  <c r="E48" i="4"/>
  <c r="AC48" i="4"/>
  <c r="U49" i="4"/>
  <c r="Q48" i="4"/>
  <c r="M48" i="4"/>
  <c r="I47" i="4"/>
  <c r="AE46" i="4"/>
  <c r="X46" i="4"/>
  <c r="Y47" i="4"/>
  <c r="X40" i="2"/>
  <c r="D34" i="1"/>
  <c r="P34" i="1"/>
  <c r="L34" i="1"/>
  <c r="I36" i="1"/>
  <c r="S35" i="1"/>
  <c r="H35" i="1" s="1"/>
  <c r="E40" i="1"/>
  <c r="S51" i="9" l="1"/>
  <c r="T51" i="9"/>
  <c r="P51" i="9"/>
  <c r="M52" i="9"/>
  <c r="L51" i="9"/>
  <c r="Q53" i="9"/>
  <c r="T50" i="9"/>
  <c r="P50" i="9"/>
  <c r="I52" i="9"/>
  <c r="H51" i="9"/>
  <c r="D51" i="9"/>
  <c r="E52" i="9"/>
  <c r="H50" i="9"/>
  <c r="D46" i="8"/>
  <c r="P46" i="8"/>
  <c r="Q50" i="8"/>
  <c r="H46" i="8"/>
  <c r="M50" i="8"/>
  <c r="E48" i="8"/>
  <c r="I48" i="8"/>
  <c r="T46" i="8"/>
  <c r="L46" i="8"/>
  <c r="S47" i="8"/>
  <c r="M49" i="7"/>
  <c r="I47" i="7"/>
  <c r="S46" i="7"/>
  <c r="D46" i="7"/>
  <c r="E47" i="7"/>
  <c r="T45" i="7"/>
  <c r="P45" i="7"/>
  <c r="L45" i="7"/>
  <c r="Q50" i="7"/>
  <c r="D45" i="7"/>
  <c r="Q49" i="5"/>
  <c r="T45" i="5"/>
  <c r="P45" i="5"/>
  <c r="L45" i="5"/>
  <c r="H45" i="5"/>
  <c r="T44" i="5"/>
  <c r="P44" i="5"/>
  <c r="H44" i="5"/>
  <c r="L44" i="5"/>
  <c r="D44" i="5"/>
  <c r="M48" i="5"/>
  <c r="I48" i="5"/>
  <c r="E47" i="5"/>
  <c r="W47" i="5" s="1"/>
  <c r="X47" i="5" s="1"/>
  <c r="U204" i="5"/>
  <c r="U50" i="5"/>
  <c r="D45" i="5"/>
  <c r="U50" i="4"/>
  <c r="AC49" i="4"/>
  <c r="H47" i="4"/>
  <c r="I48" i="4"/>
  <c r="AE48" i="4" s="1"/>
  <c r="Q49" i="4"/>
  <c r="Y48" i="4"/>
  <c r="AF46" i="4"/>
  <c r="T46" i="4"/>
  <c r="P46" i="4"/>
  <c r="L46" i="4"/>
  <c r="AB46" i="4"/>
  <c r="D46" i="4"/>
  <c r="E49" i="4"/>
  <c r="H46" i="4"/>
  <c r="M49" i="4"/>
  <c r="AE47" i="4"/>
  <c r="X41" i="2"/>
  <c r="D35" i="1"/>
  <c r="P35" i="1"/>
  <c r="L35" i="1"/>
  <c r="I37" i="1"/>
  <c r="S36" i="1"/>
  <c r="H36" i="1" s="1"/>
  <c r="E41" i="1"/>
  <c r="M53" i="9" l="1"/>
  <c r="I53" i="9"/>
  <c r="S52" i="9"/>
  <c r="H52" i="9" s="1"/>
  <c r="Q54" i="9"/>
  <c r="E53" i="9"/>
  <c r="H47" i="8"/>
  <c r="P47" i="8"/>
  <c r="Q51" i="8"/>
  <c r="S48" i="8"/>
  <c r="P48" i="8" s="1"/>
  <c r="I49" i="8"/>
  <c r="D47" i="8"/>
  <c r="E49" i="8"/>
  <c r="M51" i="8"/>
  <c r="T47" i="8"/>
  <c r="L47" i="8"/>
  <c r="Q51" i="7"/>
  <c r="I48" i="7"/>
  <c r="S47" i="7"/>
  <c r="E48" i="7"/>
  <c r="D47" i="7"/>
  <c r="T46" i="7"/>
  <c r="P46" i="7"/>
  <c r="L46" i="7"/>
  <c r="H46" i="7"/>
  <c r="M50" i="7"/>
  <c r="U205" i="5"/>
  <c r="M49" i="5"/>
  <c r="E48" i="5"/>
  <c r="W48" i="5" s="1"/>
  <c r="X48" i="5" s="1"/>
  <c r="U51" i="5"/>
  <c r="T46" i="5"/>
  <c r="P46" i="5"/>
  <c r="H46" i="5"/>
  <c r="L46" i="5"/>
  <c r="D46" i="5"/>
  <c r="I49" i="5"/>
  <c r="Q50" i="5"/>
  <c r="AF48" i="4"/>
  <c r="T48" i="4"/>
  <c r="D48" i="4"/>
  <c r="AB48" i="4"/>
  <c r="P48" i="4"/>
  <c r="L48" i="4"/>
  <c r="E50" i="4"/>
  <c r="U51" i="4"/>
  <c r="AF47" i="4"/>
  <c r="T47" i="4"/>
  <c r="P47" i="4"/>
  <c r="L47" i="4"/>
  <c r="AB47" i="4"/>
  <c r="D47" i="4"/>
  <c r="AC50" i="4"/>
  <c r="Y49" i="4"/>
  <c r="X48" i="4"/>
  <c r="H48" i="4"/>
  <c r="I49" i="4"/>
  <c r="X47" i="4"/>
  <c r="M50" i="4"/>
  <c r="Q50" i="4"/>
  <c r="X42" i="2"/>
  <c r="D36" i="1"/>
  <c r="L36" i="1"/>
  <c r="P36" i="1"/>
  <c r="I38" i="1"/>
  <c r="S37" i="1"/>
  <c r="H37" i="1" s="1"/>
  <c r="E42" i="1"/>
  <c r="D52" i="9" l="1"/>
  <c r="S53" i="9"/>
  <c r="L53" i="9" s="1"/>
  <c r="L52" i="9"/>
  <c r="T53" i="9"/>
  <c r="P53" i="9"/>
  <c r="I54" i="9"/>
  <c r="Q55" i="9"/>
  <c r="E54" i="9"/>
  <c r="T52" i="9"/>
  <c r="P52" i="9"/>
  <c r="M54" i="9"/>
  <c r="Q52" i="8"/>
  <c r="D48" i="8"/>
  <c r="M52" i="8"/>
  <c r="E50" i="8"/>
  <c r="H48" i="8"/>
  <c r="I50" i="8"/>
  <c r="S49" i="8"/>
  <c r="T48" i="8"/>
  <c r="L48" i="8"/>
  <c r="T47" i="7"/>
  <c r="P47" i="7"/>
  <c r="L47" i="7"/>
  <c r="H47" i="7"/>
  <c r="I49" i="7"/>
  <c r="S48" i="7"/>
  <c r="D48" i="7" s="1"/>
  <c r="E49" i="7"/>
  <c r="M51" i="7"/>
  <c r="Q52" i="7"/>
  <c r="U52" i="5"/>
  <c r="T47" i="5"/>
  <c r="P47" i="5"/>
  <c r="L47" i="5"/>
  <c r="H47" i="5"/>
  <c r="U206" i="5"/>
  <c r="E49" i="5"/>
  <c r="W49" i="5" s="1"/>
  <c r="X49" i="5" s="1"/>
  <c r="D47" i="5"/>
  <c r="Q51" i="5"/>
  <c r="M50" i="5"/>
  <c r="I50" i="5"/>
  <c r="M51" i="4"/>
  <c r="AC51" i="4"/>
  <c r="H49" i="4"/>
  <c r="I50" i="4"/>
  <c r="Y50" i="4"/>
  <c r="X49" i="4"/>
  <c r="E51" i="4"/>
  <c r="U52" i="4"/>
  <c r="Q51" i="4"/>
  <c r="AE49" i="4"/>
  <c r="X43" i="2"/>
  <c r="L37" i="1"/>
  <c r="P37" i="1"/>
  <c r="D37" i="1"/>
  <c r="I39" i="1"/>
  <c r="S38" i="1"/>
  <c r="E43" i="1"/>
  <c r="H53" i="9" l="1"/>
  <c r="D53" i="9"/>
  <c r="E55" i="9"/>
  <c r="Q56" i="9"/>
  <c r="I55" i="9"/>
  <c r="S54" i="9"/>
  <c r="M55" i="9"/>
  <c r="D49" i="8"/>
  <c r="P49" i="8"/>
  <c r="Q53" i="8"/>
  <c r="T49" i="8"/>
  <c r="L49" i="8"/>
  <c r="I51" i="8"/>
  <c r="E51" i="8"/>
  <c r="S50" i="8"/>
  <c r="P50" i="8" s="1"/>
  <c r="H49" i="8"/>
  <c r="M53" i="8"/>
  <c r="T48" i="7"/>
  <c r="P48" i="7"/>
  <c r="L48" i="7"/>
  <c r="H48" i="7"/>
  <c r="Q53" i="7"/>
  <c r="M52" i="7"/>
  <c r="E50" i="7"/>
  <c r="I50" i="7"/>
  <c r="S49" i="7"/>
  <c r="H49" i="7" s="1"/>
  <c r="I51" i="5"/>
  <c r="E50" i="5"/>
  <c r="W50" i="5" s="1"/>
  <c r="X50" i="5" s="1"/>
  <c r="U207" i="5"/>
  <c r="Q52" i="5"/>
  <c r="M51" i="5"/>
  <c r="U53" i="5"/>
  <c r="AC52" i="4"/>
  <c r="E52" i="4"/>
  <c r="H50" i="4"/>
  <c r="I51" i="4"/>
  <c r="AF49" i="4"/>
  <c r="T49" i="4"/>
  <c r="L49" i="4"/>
  <c r="P49" i="4"/>
  <c r="AB49" i="4"/>
  <c r="D49" i="4"/>
  <c r="AE50" i="4"/>
  <c r="M52" i="4"/>
  <c r="U53" i="4"/>
  <c r="Y51" i="4"/>
  <c r="X50" i="4"/>
  <c r="Q52" i="4"/>
  <c r="AE51" i="4"/>
  <c r="L51" i="4" s="1"/>
  <c r="X44" i="2"/>
  <c r="P38" i="1"/>
  <c r="D38" i="1"/>
  <c r="L38" i="1"/>
  <c r="H38" i="1"/>
  <c r="I40" i="1"/>
  <c r="S39" i="1"/>
  <c r="H39" i="1" s="1"/>
  <c r="E44" i="1"/>
  <c r="T54" i="9" l="1"/>
  <c r="P54" i="9"/>
  <c r="E56" i="9"/>
  <c r="L54" i="9"/>
  <c r="Q57" i="9"/>
  <c r="M56" i="9"/>
  <c r="I56" i="9"/>
  <c r="S55" i="9"/>
  <c r="L55" i="9" s="1"/>
  <c r="H54" i="9"/>
  <c r="D54" i="9"/>
  <c r="Q54" i="8"/>
  <c r="T50" i="8"/>
  <c r="L50" i="8"/>
  <c r="S51" i="8"/>
  <c r="P51" i="8" s="1"/>
  <c r="D50" i="8"/>
  <c r="I52" i="8"/>
  <c r="H50" i="8"/>
  <c r="M54" i="8"/>
  <c r="D51" i="8"/>
  <c r="E52" i="8"/>
  <c r="D49" i="7"/>
  <c r="E51" i="7"/>
  <c r="M53" i="7"/>
  <c r="Q54" i="7"/>
  <c r="T49" i="7"/>
  <c r="P49" i="7"/>
  <c r="L49" i="7"/>
  <c r="I51" i="7"/>
  <c r="S50" i="7"/>
  <c r="D50" i="7" s="1"/>
  <c r="T48" i="5"/>
  <c r="P48" i="5"/>
  <c r="L48" i="5"/>
  <c r="H48" i="5"/>
  <c r="D48" i="5"/>
  <c r="U208" i="5"/>
  <c r="D50" i="5"/>
  <c r="T49" i="5"/>
  <c r="P49" i="5"/>
  <c r="H49" i="5"/>
  <c r="L49" i="5"/>
  <c r="U54" i="5"/>
  <c r="I52" i="5"/>
  <c r="M52" i="5"/>
  <c r="Q53" i="5"/>
  <c r="E51" i="5"/>
  <c r="W51" i="5" s="1"/>
  <c r="X51" i="5" s="1"/>
  <c r="D49" i="5"/>
  <c r="D51" i="4"/>
  <c r="P51" i="4"/>
  <c r="U54" i="4"/>
  <c r="E53" i="4"/>
  <c r="AF51" i="4"/>
  <c r="T51" i="4"/>
  <c r="Q53" i="4"/>
  <c r="H51" i="4"/>
  <c r="I52" i="4"/>
  <c r="M53" i="4"/>
  <c r="AC53" i="4"/>
  <c r="Y52" i="4"/>
  <c r="X51" i="4"/>
  <c r="AF50" i="4"/>
  <c r="T50" i="4"/>
  <c r="L50" i="4"/>
  <c r="AB50" i="4"/>
  <c r="D50" i="4"/>
  <c r="P50" i="4"/>
  <c r="AB51" i="4"/>
  <c r="X45" i="2"/>
  <c r="D39" i="1"/>
  <c r="P39" i="1"/>
  <c r="L39" i="1"/>
  <c r="I41" i="1"/>
  <c r="S40" i="1"/>
  <c r="H40" i="1" s="1"/>
  <c r="E45" i="1"/>
  <c r="S56" i="9" l="1"/>
  <c r="P56" i="9" s="1"/>
  <c r="T56" i="9"/>
  <c r="T55" i="9"/>
  <c r="P55" i="9"/>
  <c r="H55" i="9"/>
  <c r="E57" i="9"/>
  <c r="M57" i="9"/>
  <c r="D55" i="9"/>
  <c r="I57" i="9"/>
  <c r="Q58" i="9"/>
  <c r="H51" i="8"/>
  <c r="Q55" i="8"/>
  <c r="M55" i="8"/>
  <c r="I53" i="8"/>
  <c r="S52" i="8"/>
  <c r="P52" i="8" s="1"/>
  <c r="T51" i="8"/>
  <c r="L51" i="8"/>
  <c r="E53" i="8"/>
  <c r="H50" i="7"/>
  <c r="M54" i="7"/>
  <c r="Q55" i="7"/>
  <c r="I52" i="7"/>
  <c r="S51" i="7"/>
  <c r="T50" i="7"/>
  <c r="P50" i="7"/>
  <c r="L50" i="7"/>
  <c r="D51" i="7"/>
  <c r="E52" i="7"/>
  <c r="E52" i="5"/>
  <c r="W52" i="5" s="1"/>
  <c r="X52" i="5" s="1"/>
  <c r="Q54" i="5"/>
  <c r="T50" i="5"/>
  <c r="P50" i="5"/>
  <c r="H50" i="5"/>
  <c r="L50" i="5"/>
  <c r="I53" i="5"/>
  <c r="U209" i="5"/>
  <c r="M53" i="5"/>
  <c r="U55" i="5"/>
  <c r="AC54" i="4"/>
  <c r="Y53" i="4"/>
  <c r="AE53" i="4" s="1"/>
  <c r="U55" i="4"/>
  <c r="I53" i="4"/>
  <c r="AE52" i="4"/>
  <c r="Q54" i="4"/>
  <c r="E54" i="4"/>
  <c r="M54" i="4"/>
  <c r="X46" i="2"/>
  <c r="D40" i="1"/>
  <c r="P40" i="1"/>
  <c r="L40" i="1"/>
  <c r="I42" i="1"/>
  <c r="S41" i="1"/>
  <c r="H41" i="1"/>
  <c r="E46" i="1"/>
  <c r="L56" i="9" l="1"/>
  <c r="H56" i="9"/>
  <c r="D56" i="9"/>
  <c r="I58" i="9"/>
  <c r="E58" i="9"/>
  <c r="M58" i="9"/>
  <c r="S57" i="9"/>
  <c r="D57" i="9" s="1"/>
  <c r="Q59" i="9"/>
  <c r="D52" i="8"/>
  <c r="Q56" i="8"/>
  <c r="T52" i="8"/>
  <c r="L52" i="8"/>
  <c r="H52" i="8"/>
  <c r="E54" i="8"/>
  <c r="I54" i="8"/>
  <c r="M56" i="8"/>
  <c r="S53" i="8"/>
  <c r="P53" i="8" s="1"/>
  <c r="T51" i="7"/>
  <c r="P51" i="7"/>
  <c r="L51" i="7"/>
  <c r="I53" i="7"/>
  <c r="S52" i="7"/>
  <c r="H52" i="7" s="1"/>
  <c r="H51" i="7"/>
  <c r="Q56" i="7"/>
  <c r="E53" i="7"/>
  <c r="D52" i="7"/>
  <c r="M55" i="7"/>
  <c r="I54" i="5"/>
  <c r="Q55" i="5"/>
  <c r="E53" i="5"/>
  <c r="W53" i="5" s="1"/>
  <c r="X53" i="5" s="1"/>
  <c r="D52" i="5"/>
  <c r="U56" i="5"/>
  <c r="M54" i="5"/>
  <c r="U210" i="5"/>
  <c r="AF53" i="4"/>
  <c r="T53" i="4"/>
  <c r="L53" i="4"/>
  <c r="D53" i="4"/>
  <c r="P53" i="4"/>
  <c r="AB53" i="4"/>
  <c r="AF52" i="4"/>
  <c r="T52" i="4"/>
  <c r="L52" i="4"/>
  <c r="AB52" i="4"/>
  <c r="D52" i="4"/>
  <c r="P52" i="4"/>
  <c r="U56" i="4"/>
  <c r="E55" i="4"/>
  <c r="AC55" i="4"/>
  <c r="Q55" i="4"/>
  <c r="H53" i="4"/>
  <c r="I54" i="4"/>
  <c r="H52" i="4"/>
  <c r="X52" i="4"/>
  <c r="M55" i="4"/>
  <c r="X53" i="4"/>
  <c r="Y54" i="4"/>
  <c r="X47" i="2"/>
  <c r="D41" i="1"/>
  <c r="P41" i="1"/>
  <c r="L41" i="1"/>
  <c r="I43" i="1"/>
  <c r="S42" i="1"/>
  <c r="H42" i="1"/>
  <c r="E47" i="1"/>
  <c r="L57" i="9" l="1"/>
  <c r="I59" i="9"/>
  <c r="S58" i="9"/>
  <c r="D58" i="9"/>
  <c r="E59" i="9"/>
  <c r="Q60" i="9"/>
  <c r="M59" i="9"/>
  <c r="L58" i="9"/>
  <c r="T57" i="9"/>
  <c r="P57" i="9"/>
  <c r="H57" i="9"/>
  <c r="Q57" i="8"/>
  <c r="S54" i="8"/>
  <c r="P54" i="8" s="1"/>
  <c r="E55" i="8"/>
  <c r="I55" i="8"/>
  <c r="T53" i="8"/>
  <c r="L53" i="8"/>
  <c r="M57" i="8"/>
  <c r="H53" i="8"/>
  <c r="D53" i="8"/>
  <c r="Q57" i="7"/>
  <c r="T52" i="7"/>
  <c r="P52" i="7"/>
  <c r="L52" i="7"/>
  <c r="M56" i="7"/>
  <c r="E54" i="7"/>
  <c r="I54" i="7"/>
  <c r="S53" i="7"/>
  <c r="D53" i="7" s="1"/>
  <c r="U57" i="5"/>
  <c r="E54" i="5"/>
  <c r="W54" i="5" s="1"/>
  <c r="X54" i="5" s="1"/>
  <c r="U211" i="5"/>
  <c r="T52" i="5"/>
  <c r="P52" i="5"/>
  <c r="H52" i="5"/>
  <c r="L52" i="5"/>
  <c r="Q56" i="5"/>
  <c r="T51" i="5"/>
  <c r="P51" i="5"/>
  <c r="L51" i="5"/>
  <c r="H51" i="5"/>
  <c r="D51" i="5"/>
  <c r="M55" i="5"/>
  <c r="I55" i="5"/>
  <c r="AC56" i="4"/>
  <c r="U57" i="4"/>
  <c r="I55" i="4"/>
  <c r="Y55" i="4"/>
  <c r="E56" i="4"/>
  <c r="M56" i="4"/>
  <c r="Q56" i="4"/>
  <c r="AE54" i="4"/>
  <c r="X48" i="2"/>
  <c r="P42" i="1"/>
  <c r="L42" i="1"/>
  <c r="D42" i="1"/>
  <c r="I44" i="1"/>
  <c r="S43" i="1"/>
  <c r="E48" i="1"/>
  <c r="Q61" i="9" l="1"/>
  <c r="E60" i="9"/>
  <c r="M60" i="9"/>
  <c r="S59" i="9"/>
  <c r="D59" i="9" s="1"/>
  <c r="T58" i="9"/>
  <c r="P58" i="9"/>
  <c r="I60" i="9"/>
  <c r="H59" i="9"/>
  <c r="H58" i="9"/>
  <c r="H54" i="8"/>
  <c r="Q58" i="8"/>
  <c r="D54" i="8"/>
  <c r="E56" i="8"/>
  <c r="I56" i="8"/>
  <c r="M58" i="8"/>
  <c r="S55" i="8"/>
  <c r="P55" i="8" s="1"/>
  <c r="T54" i="8"/>
  <c r="L54" i="8"/>
  <c r="H53" i="7"/>
  <c r="E55" i="7"/>
  <c r="M57" i="7"/>
  <c r="Q58" i="7"/>
  <c r="I55" i="7"/>
  <c r="S54" i="7"/>
  <c r="T53" i="7"/>
  <c r="P53" i="7"/>
  <c r="L53" i="7"/>
  <c r="M56" i="5"/>
  <c r="T53" i="5"/>
  <c r="P53" i="5"/>
  <c r="H53" i="5"/>
  <c r="L53" i="5"/>
  <c r="I56" i="5"/>
  <c r="Q57" i="5"/>
  <c r="U212" i="5"/>
  <c r="D53" i="5"/>
  <c r="E55" i="5"/>
  <c r="W55" i="5" s="1"/>
  <c r="X55" i="5" s="1"/>
  <c r="U58" i="5"/>
  <c r="AF54" i="4"/>
  <c r="T54" i="4"/>
  <c r="P54" i="4"/>
  <c r="D54" i="4"/>
  <c r="AB54" i="4"/>
  <c r="L54" i="4"/>
  <c r="I56" i="4"/>
  <c r="H54" i="4"/>
  <c r="Q57" i="4"/>
  <c r="U58" i="4"/>
  <c r="AE55" i="4"/>
  <c r="AC57" i="4"/>
  <c r="M57" i="4"/>
  <c r="E57" i="4"/>
  <c r="Y56" i="4"/>
  <c r="X54" i="4"/>
  <c r="X49" i="2"/>
  <c r="D43" i="1"/>
  <c r="L43" i="1"/>
  <c r="P43" i="1"/>
  <c r="H43" i="1"/>
  <c r="I45" i="1"/>
  <c r="S44" i="1"/>
  <c r="H44" i="1"/>
  <c r="E49" i="1"/>
  <c r="E61" i="9" l="1"/>
  <c r="T59" i="9"/>
  <c r="P59" i="9"/>
  <c r="L59" i="9"/>
  <c r="Q62" i="9"/>
  <c r="I61" i="9"/>
  <c r="M61" i="9"/>
  <c r="S60" i="9"/>
  <c r="H60" i="9" s="1"/>
  <c r="Q59" i="8"/>
  <c r="M59" i="8"/>
  <c r="T55" i="8"/>
  <c r="L55" i="8"/>
  <c r="I57" i="8"/>
  <c r="H55" i="8"/>
  <c r="S56" i="8"/>
  <c r="D55" i="8"/>
  <c r="E57" i="8"/>
  <c r="T54" i="7"/>
  <c r="P54" i="7"/>
  <c r="L54" i="7"/>
  <c r="H54" i="7"/>
  <c r="Q59" i="7"/>
  <c r="E56" i="7"/>
  <c r="I56" i="7"/>
  <c r="S55" i="7"/>
  <c r="H55" i="7" s="1"/>
  <c r="M58" i="7"/>
  <c r="D54" i="7"/>
  <c r="Q58" i="5"/>
  <c r="I57" i="5"/>
  <c r="M57" i="5"/>
  <c r="U59" i="5"/>
  <c r="E56" i="5"/>
  <c r="W56" i="5" s="1"/>
  <c r="X56" i="5" s="1"/>
  <c r="U213" i="5"/>
  <c r="U59" i="4"/>
  <c r="X56" i="4"/>
  <c r="Y57" i="4"/>
  <c r="AC58" i="4"/>
  <c r="AB57" i="4"/>
  <c r="AF55" i="4"/>
  <c r="T55" i="4"/>
  <c r="D55" i="4"/>
  <c r="L55" i="4"/>
  <c r="AB55" i="4"/>
  <c r="P55" i="4"/>
  <c r="AE56" i="4"/>
  <c r="P57" i="4"/>
  <c r="Q58" i="4"/>
  <c r="AE57" i="4"/>
  <c r="X55" i="4"/>
  <c r="E58" i="4"/>
  <c r="H55" i="4"/>
  <c r="M58" i="4"/>
  <c r="I57" i="4"/>
  <c r="X50" i="2"/>
  <c r="D44" i="1"/>
  <c r="L44" i="1"/>
  <c r="P44" i="1"/>
  <c r="I46" i="1"/>
  <c r="S45" i="1"/>
  <c r="H45" i="1" s="1"/>
  <c r="E50" i="1"/>
  <c r="T60" i="9" l="1"/>
  <c r="P60" i="9"/>
  <c r="L60" i="9"/>
  <c r="E62" i="9"/>
  <c r="I62" i="9"/>
  <c r="M62" i="9"/>
  <c r="Q63" i="9"/>
  <c r="S62" i="9"/>
  <c r="S61" i="9"/>
  <c r="H61" i="9" s="1"/>
  <c r="D60" i="9"/>
  <c r="H56" i="8"/>
  <c r="P56" i="8"/>
  <c r="Q60" i="8"/>
  <c r="D56" i="8"/>
  <c r="T56" i="8"/>
  <c r="L56" i="8"/>
  <c r="M60" i="8"/>
  <c r="S57" i="8"/>
  <c r="P57" i="8" s="1"/>
  <c r="I58" i="8"/>
  <c r="E58" i="8"/>
  <c r="Q60" i="7"/>
  <c r="T55" i="7"/>
  <c r="P55" i="7"/>
  <c r="L55" i="7"/>
  <c r="E57" i="7"/>
  <c r="I57" i="7"/>
  <c r="S56" i="7"/>
  <c r="D55" i="7"/>
  <c r="M59" i="7"/>
  <c r="E57" i="5"/>
  <c r="W57" i="5" s="1"/>
  <c r="X57" i="5" s="1"/>
  <c r="M58" i="5"/>
  <c r="Q59" i="5"/>
  <c r="U60" i="5"/>
  <c r="I58" i="5"/>
  <c r="T54" i="5"/>
  <c r="P54" i="5"/>
  <c r="L54" i="5"/>
  <c r="H54" i="5"/>
  <c r="D54" i="5"/>
  <c r="U214" i="5"/>
  <c r="E59" i="4"/>
  <c r="AF57" i="4"/>
  <c r="T57" i="4"/>
  <c r="AE58" i="4"/>
  <c r="L58" i="4" s="1"/>
  <c r="Q59" i="4"/>
  <c r="AF56" i="4"/>
  <c r="T56" i="4"/>
  <c r="D56" i="4"/>
  <c r="P56" i="4"/>
  <c r="AB56" i="4"/>
  <c r="L56" i="4"/>
  <c r="AC59" i="4"/>
  <c r="X57" i="4"/>
  <c r="Y58" i="4"/>
  <c r="U60" i="4"/>
  <c r="H57" i="4"/>
  <c r="I58" i="4"/>
  <c r="H56" i="4"/>
  <c r="L57" i="4"/>
  <c r="M59" i="4"/>
  <c r="D57" i="4"/>
  <c r="X51" i="2"/>
  <c r="I47" i="1"/>
  <c r="S46" i="1"/>
  <c r="H46" i="1" s="1"/>
  <c r="D45" i="1"/>
  <c r="P45" i="1"/>
  <c r="L45" i="1"/>
  <c r="E51" i="1"/>
  <c r="L61" i="9" l="1"/>
  <c r="D61" i="9"/>
  <c r="T62" i="9"/>
  <c r="P62" i="9"/>
  <c r="D62" i="9"/>
  <c r="E63" i="9"/>
  <c r="Q64" i="9"/>
  <c r="H62" i="9"/>
  <c r="I63" i="9"/>
  <c r="L62" i="9"/>
  <c r="M63" i="9"/>
  <c r="S63" i="9" s="1"/>
  <c r="T61" i="9"/>
  <c r="P61" i="9"/>
  <c r="D57" i="8"/>
  <c r="Q61" i="8"/>
  <c r="H57" i="8"/>
  <c r="M61" i="8"/>
  <c r="E59" i="8"/>
  <c r="S58" i="8"/>
  <c r="H58" i="8" s="1"/>
  <c r="I59" i="8"/>
  <c r="T57" i="8"/>
  <c r="L57" i="8"/>
  <c r="T56" i="7"/>
  <c r="P56" i="7"/>
  <c r="L56" i="7"/>
  <c r="D56" i="7"/>
  <c r="H56" i="7"/>
  <c r="E58" i="7"/>
  <c r="Q61" i="7"/>
  <c r="I58" i="7"/>
  <c r="S57" i="7"/>
  <c r="M60" i="7"/>
  <c r="T56" i="5"/>
  <c r="P56" i="5"/>
  <c r="H56" i="5"/>
  <c r="L56" i="5"/>
  <c r="D56" i="5"/>
  <c r="I59" i="5"/>
  <c r="U215" i="5"/>
  <c r="T55" i="5"/>
  <c r="P55" i="5"/>
  <c r="L55" i="5"/>
  <c r="H55" i="5"/>
  <c r="D55" i="5"/>
  <c r="M59" i="5"/>
  <c r="U61" i="5"/>
  <c r="Q60" i="5"/>
  <c r="E58" i="5"/>
  <c r="W58" i="5" s="1"/>
  <c r="X58" i="5" s="1"/>
  <c r="Y59" i="4"/>
  <c r="X58" i="4"/>
  <c r="AC60" i="4"/>
  <c r="U61" i="4"/>
  <c r="AB58" i="4"/>
  <c r="M60" i="4"/>
  <c r="H58" i="4"/>
  <c r="I59" i="4"/>
  <c r="AF58" i="4"/>
  <c r="T58" i="4"/>
  <c r="P58" i="4"/>
  <c r="D58" i="4"/>
  <c r="E60" i="4"/>
  <c r="Q60" i="4"/>
  <c r="X52" i="2"/>
  <c r="D46" i="1"/>
  <c r="P46" i="1"/>
  <c r="L46" i="1"/>
  <c r="I48" i="1"/>
  <c r="S47" i="1"/>
  <c r="H47" i="1" s="1"/>
  <c r="E52" i="1"/>
  <c r="T63" i="9" l="1"/>
  <c r="P63" i="9"/>
  <c r="H63" i="9"/>
  <c r="I64" i="9"/>
  <c r="Q65" i="9"/>
  <c r="D63" i="9"/>
  <c r="E64" i="9"/>
  <c r="L63" i="9"/>
  <c r="M64" i="9"/>
  <c r="D58" i="8"/>
  <c r="P58" i="8"/>
  <c r="Q62" i="8"/>
  <c r="I60" i="8"/>
  <c r="E60" i="8"/>
  <c r="T58" i="8"/>
  <c r="L58" i="8"/>
  <c r="S59" i="8"/>
  <c r="P59" i="8" s="1"/>
  <c r="M62" i="8"/>
  <c r="I59" i="7"/>
  <c r="S58" i="7"/>
  <c r="D58" i="7" s="1"/>
  <c r="E59" i="7"/>
  <c r="M61" i="7"/>
  <c r="T57" i="7"/>
  <c r="P57" i="7"/>
  <c r="L57" i="7"/>
  <c r="H57" i="7"/>
  <c r="D57" i="7"/>
  <c r="Q62" i="7"/>
  <c r="U62" i="5"/>
  <c r="E59" i="5"/>
  <c r="W59" i="5" s="1"/>
  <c r="X59" i="5" s="1"/>
  <c r="Q61" i="5"/>
  <c r="U216" i="5"/>
  <c r="I60" i="5"/>
  <c r="M60" i="5"/>
  <c r="E61" i="4"/>
  <c r="Y60" i="4"/>
  <c r="Q61" i="4"/>
  <c r="M61" i="4"/>
  <c r="U62" i="4"/>
  <c r="AC61" i="4"/>
  <c r="I60" i="4"/>
  <c r="AE59" i="4"/>
  <c r="X53" i="2"/>
  <c r="P47" i="1"/>
  <c r="L47" i="1"/>
  <c r="D47" i="1"/>
  <c r="I49" i="1"/>
  <c r="S48" i="1"/>
  <c r="H48" i="1" s="1"/>
  <c r="E53" i="1"/>
  <c r="E65" i="9" l="1"/>
  <c r="I65" i="9"/>
  <c r="M65" i="9"/>
  <c r="Q66" i="9"/>
  <c r="S64" i="9"/>
  <c r="Q63" i="8"/>
  <c r="M63" i="8"/>
  <c r="S60" i="8"/>
  <c r="P60" i="8" s="1"/>
  <c r="E61" i="8"/>
  <c r="T59" i="8"/>
  <c r="L59" i="8"/>
  <c r="D59" i="8"/>
  <c r="I61" i="8"/>
  <c r="H59" i="8"/>
  <c r="E60" i="7"/>
  <c r="M62" i="7"/>
  <c r="T58" i="7"/>
  <c r="P58" i="7"/>
  <c r="L58" i="7"/>
  <c r="Q63" i="7"/>
  <c r="H58" i="7"/>
  <c r="I60" i="7"/>
  <c r="S59" i="7"/>
  <c r="H59" i="7" s="1"/>
  <c r="I61" i="5"/>
  <c r="Q62" i="5"/>
  <c r="E60" i="5"/>
  <c r="W60" i="5" s="1"/>
  <c r="X60" i="5" s="1"/>
  <c r="U63" i="5"/>
  <c r="M61" i="5"/>
  <c r="U217" i="5"/>
  <c r="T57" i="5"/>
  <c r="P57" i="5"/>
  <c r="L57" i="5"/>
  <c r="H57" i="5"/>
  <c r="D57" i="5"/>
  <c r="H60" i="4"/>
  <c r="I61" i="4"/>
  <c r="AE61" i="4"/>
  <c r="Q62" i="4"/>
  <c r="AF59" i="4"/>
  <c r="T59" i="4"/>
  <c r="L59" i="4"/>
  <c r="AB59" i="4"/>
  <c r="D59" i="4"/>
  <c r="P59" i="4"/>
  <c r="Y61" i="4"/>
  <c r="X60" i="4"/>
  <c r="X59" i="4"/>
  <c r="H59" i="4"/>
  <c r="E62" i="4"/>
  <c r="D61" i="4"/>
  <c r="AC62" i="4"/>
  <c r="U63" i="4"/>
  <c r="M62" i="4"/>
  <c r="AE60" i="4"/>
  <c r="X54" i="2"/>
  <c r="L48" i="1"/>
  <c r="P48" i="1"/>
  <c r="D48" i="1"/>
  <c r="I50" i="1"/>
  <c r="S49" i="1"/>
  <c r="H49" i="1"/>
  <c r="E54" i="1"/>
  <c r="S65" i="9" l="1"/>
  <c r="T64" i="9"/>
  <c r="P64" i="9"/>
  <c r="T65" i="9"/>
  <c r="P65" i="9"/>
  <c r="L64" i="9"/>
  <c r="H64" i="9"/>
  <c r="Q67" i="9"/>
  <c r="H65" i="9"/>
  <c r="I66" i="9"/>
  <c r="D64" i="9"/>
  <c r="L65" i="9"/>
  <c r="M66" i="9"/>
  <c r="E66" i="9"/>
  <c r="D65" i="9"/>
  <c r="H60" i="8"/>
  <c r="D60" i="8"/>
  <c r="Q64" i="8"/>
  <c r="I62" i="8"/>
  <c r="E62" i="8"/>
  <c r="S61" i="8"/>
  <c r="P61" i="8" s="1"/>
  <c r="T60" i="8"/>
  <c r="L60" i="8"/>
  <c r="M64" i="8"/>
  <c r="Q64" i="7"/>
  <c r="M63" i="7"/>
  <c r="T59" i="7"/>
  <c r="P59" i="7"/>
  <c r="L59" i="7"/>
  <c r="E61" i="7"/>
  <c r="I61" i="7"/>
  <c r="S60" i="7"/>
  <c r="D60" i="7" s="1"/>
  <c r="D59" i="7"/>
  <c r="T58" i="5"/>
  <c r="P58" i="5"/>
  <c r="L58" i="5"/>
  <c r="H58" i="5"/>
  <c r="D58" i="5"/>
  <c r="U218" i="5"/>
  <c r="M62" i="5"/>
  <c r="U64" i="5"/>
  <c r="E61" i="5"/>
  <c r="W61" i="5" s="1"/>
  <c r="X61" i="5" s="1"/>
  <c r="Q63" i="5"/>
  <c r="I62" i="5"/>
  <c r="AF61" i="4"/>
  <c r="T61" i="4"/>
  <c r="E63" i="4"/>
  <c r="I62" i="4"/>
  <c r="H61" i="4"/>
  <c r="Y62" i="4"/>
  <c r="X61" i="4"/>
  <c r="U64" i="4"/>
  <c r="AC63" i="4"/>
  <c r="Q63" i="4"/>
  <c r="AE62" i="4"/>
  <c r="L62" i="4" s="1"/>
  <c r="P61" i="4"/>
  <c r="AF60" i="4"/>
  <c r="T60" i="4"/>
  <c r="L60" i="4"/>
  <c r="AB60" i="4"/>
  <c r="D60" i="4"/>
  <c r="P60" i="4"/>
  <c r="L61" i="4"/>
  <c r="M63" i="4"/>
  <c r="AB61" i="4"/>
  <c r="X55" i="2"/>
  <c r="D49" i="1"/>
  <c r="L49" i="1"/>
  <c r="P49" i="1"/>
  <c r="I51" i="1"/>
  <c r="S50" i="1"/>
  <c r="H50" i="1"/>
  <c r="E55" i="1"/>
  <c r="S66" i="9" l="1"/>
  <c r="T66" i="9" s="1"/>
  <c r="Q68" i="9"/>
  <c r="D66" i="9"/>
  <c r="E67" i="9"/>
  <c r="M67" i="9"/>
  <c r="L66" i="9"/>
  <c r="I67" i="9"/>
  <c r="H66" i="9"/>
  <c r="Q65" i="8"/>
  <c r="D61" i="8"/>
  <c r="E63" i="8"/>
  <c r="M65" i="8"/>
  <c r="S62" i="8"/>
  <c r="P62" i="8" s="1"/>
  <c r="I63" i="8"/>
  <c r="T61" i="8"/>
  <c r="L61" i="8"/>
  <c r="H61" i="8"/>
  <c r="H60" i="7"/>
  <c r="E62" i="7"/>
  <c r="M64" i="7"/>
  <c r="I62" i="7"/>
  <c r="S61" i="7"/>
  <c r="H61" i="7" s="1"/>
  <c r="Q65" i="7"/>
  <c r="T60" i="7"/>
  <c r="P60" i="7"/>
  <c r="L60" i="7"/>
  <c r="T60" i="5"/>
  <c r="P60" i="5"/>
  <c r="H60" i="5"/>
  <c r="L60" i="5"/>
  <c r="D60" i="5"/>
  <c r="U65" i="5"/>
  <c r="M63" i="5"/>
  <c r="E62" i="5"/>
  <c r="W62" i="5" s="1"/>
  <c r="X62" i="5" s="1"/>
  <c r="U219" i="5"/>
  <c r="Q64" i="5"/>
  <c r="T59" i="5"/>
  <c r="P59" i="5"/>
  <c r="H59" i="5"/>
  <c r="L59" i="5"/>
  <c r="D59" i="5"/>
  <c r="I63" i="5"/>
  <c r="AC64" i="4"/>
  <c r="Y63" i="4"/>
  <c r="X62" i="4"/>
  <c r="AF62" i="4"/>
  <c r="T62" i="4"/>
  <c r="Q64" i="4"/>
  <c r="M64" i="4"/>
  <c r="AB62" i="4"/>
  <c r="U65" i="4"/>
  <c r="H62" i="4"/>
  <c r="I63" i="4"/>
  <c r="D62" i="4"/>
  <c r="P62" i="4"/>
  <c r="E64" i="4"/>
  <c r="X56" i="2"/>
  <c r="I52" i="1"/>
  <c r="S51" i="1"/>
  <c r="D50" i="1"/>
  <c r="L50" i="1"/>
  <c r="P50" i="1"/>
  <c r="E56" i="1"/>
  <c r="P66" i="9" l="1"/>
  <c r="S67" i="9"/>
  <c r="T67" i="9"/>
  <c r="P67" i="9"/>
  <c r="M68" i="9"/>
  <c r="L67" i="9"/>
  <c r="H67" i="9"/>
  <c r="I68" i="9"/>
  <c r="E68" i="9"/>
  <c r="D67" i="9"/>
  <c r="Q69" i="9"/>
  <c r="S68" i="9"/>
  <c r="T68" i="9" s="1"/>
  <c r="H62" i="8"/>
  <c r="Q66" i="8"/>
  <c r="M66" i="8"/>
  <c r="E64" i="8"/>
  <c r="I64" i="8"/>
  <c r="T62" i="8"/>
  <c r="L62" i="8"/>
  <c r="S63" i="8"/>
  <c r="P63" i="8" s="1"/>
  <c r="D62" i="8"/>
  <c r="T61" i="7"/>
  <c r="P61" i="7"/>
  <c r="L61" i="7"/>
  <c r="Q66" i="7"/>
  <c r="M65" i="7"/>
  <c r="I63" i="7"/>
  <c r="S62" i="7"/>
  <c r="H62" i="7" s="1"/>
  <c r="E63" i="7"/>
  <c r="D61" i="7"/>
  <c r="E63" i="5"/>
  <c r="W63" i="5" s="1"/>
  <c r="X63" i="5" s="1"/>
  <c r="Q65" i="5"/>
  <c r="I64" i="5"/>
  <c r="M64" i="5"/>
  <c r="U66" i="5"/>
  <c r="U220" i="5"/>
  <c r="U66" i="4"/>
  <c r="I64" i="4"/>
  <c r="Q65" i="4"/>
  <c r="Y64" i="4"/>
  <c r="AC65" i="4"/>
  <c r="M65" i="4"/>
  <c r="E65" i="4"/>
  <c r="AE63" i="4"/>
  <c r="X57" i="2"/>
  <c r="D51" i="1"/>
  <c r="P51" i="1"/>
  <c r="L51" i="1"/>
  <c r="H51" i="1"/>
  <c r="I53" i="1"/>
  <c r="S52" i="1"/>
  <c r="E57" i="1"/>
  <c r="Q70" i="9" l="1"/>
  <c r="I69" i="9"/>
  <c r="H68" i="9"/>
  <c r="M69" i="9"/>
  <c r="L68" i="9"/>
  <c r="P68" i="9"/>
  <c r="D68" i="9"/>
  <c r="E69" i="9"/>
  <c r="Q67" i="8"/>
  <c r="E65" i="8"/>
  <c r="T63" i="8"/>
  <c r="L63" i="8"/>
  <c r="I65" i="8"/>
  <c r="D63" i="8"/>
  <c r="S64" i="8"/>
  <c r="P64" i="8" s="1"/>
  <c r="H63" i="8"/>
  <c r="M67" i="8"/>
  <c r="M66" i="7"/>
  <c r="E64" i="7"/>
  <c r="Q67" i="7"/>
  <c r="T62" i="7"/>
  <c r="P62" i="7"/>
  <c r="L62" i="7"/>
  <c r="I64" i="7"/>
  <c r="S63" i="7"/>
  <c r="H63" i="7" s="1"/>
  <c r="D62" i="7"/>
  <c r="M65" i="5"/>
  <c r="E64" i="5"/>
  <c r="W64" i="5" s="1"/>
  <c r="X64" i="5" s="1"/>
  <c r="I65" i="5"/>
  <c r="Q66" i="5"/>
  <c r="U221" i="5"/>
  <c r="T61" i="5"/>
  <c r="P61" i="5"/>
  <c r="L61" i="5"/>
  <c r="H61" i="5"/>
  <c r="D61" i="5"/>
  <c r="U67" i="5"/>
  <c r="Q66" i="4"/>
  <c r="E66" i="4"/>
  <c r="AF63" i="4"/>
  <c r="T63" i="4"/>
  <c r="P63" i="4"/>
  <c r="D63" i="4"/>
  <c r="L63" i="4"/>
  <c r="AB63" i="4"/>
  <c r="I65" i="4"/>
  <c r="H63" i="4"/>
  <c r="U67" i="4"/>
  <c r="M66" i="4"/>
  <c r="AC66" i="4"/>
  <c r="X63" i="4"/>
  <c r="Y65" i="4"/>
  <c r="AE64" i="4"/>
  <c r="H64" i="4" s="1"/>
  <c r="X58" i="2"/>
  <c r="D52" i="1"/>
  <c r="P52" i="1"/>
  <c r="L52" i="1"/>
  <c r="H52" i="1"/>
  <c r="I54" i="1"/>
  <c r="S53" i="1"/>
  <c r="H53" i="1" s="1"/>
  <c r="E58" i="1"/>
  <c r="I70" i="9" l="1"/>
  <c r="Q71" i="9"/>
  <c r="E70" i="9"/>
  <c r="M70" i="9"/>
  <c r="S69" i="9"/>
  <c r="Q68" i="8"/>
  <c r="S65" i="8"/>
  <c r="P65" i="8" s="1"/>
  <c r="I66" i="8"/>
  <c r="T64" i="8"/>
  <c r="L64" i="8"/>
  <c r="E66" i="8"/>
  <c r="H64" i="8"/>
  <c r="M68" i="8"/>
  <c r="D64" i="8"/>
  <c r="D63" i="7"/>
  <c r="Q68" i="7"/>
  <c r="E65" i="7"/>
  <c r="M67" i="7"/>
  <c r="I65" i="7"/>
  <c r="S64" i="7"/>
  <c r="T63" i="7"/>
  <c r="P63" i="7"/>
  <c r="L63" i="7"/>
  <c r="Q67" i="5"/>
  <c r="U222" i="5"/>
  <c r="T62" i="5"/>
  <c r="P62" i="5"/>
  <c r="L62" i="5"/>
  <c r="H62" i="5"/>
  <c r="D62" i="5"/>
  <c r="I66" i="5"/>
  <c r="U68" i="5"/>
  <c r="E65" i="5"/>
  <c r="W65" i="5" s="1"/>
  <c r="X65" i="5" s="1"/>
  <c r="M66" i="5"/>
  <c r="M67" i="4"/>
  <c r="H65" i="4"/>
  <c r="I66" i="4"/>
  <c r="AE66" i="4" s="1"/>
  <c r="E67" i="4"/>
  <c r="AE65" i="4"/>
  <c r="X65" i="4"/>
  <c r="Y66" i="4"/>
  <c r="U68" i="4"/>
  <c r="Q67" i="4"/>
  <c r="AF64" i="4"/>
  <c r="T64" i="4"/>
  <c r="AB64" i="4"/>
  <c r="D64" i="4"/>
  <c r="P64" i="4"/>
  <c r="L64" i="4"/>
  <c r="X64" i="4"/>
  <c r="AC67" i="4"/>
  <c r="X59" i="2"/>
  <c r="D53" i="1"/>
  <c r="L53" i="1"/>
  <c r="P53" i="1"/>
  <c r="I55" i="1"/>
  <c r="S54" i="1"/>
  <c r="H54" i="1" s="1"/>
  <c r="E59" i="1"/>
  <c r="M71" i="9" l="1"/>
  <c r="T69" i="9"/>
  <c r="P69" i="9"/>
  <c r="E71" i="9"/>
  <c r="S70" i="9"/>
  <c r="D70" i="9" s="1"/>
  <c r="Q72" i="9"/>
  <c r="H70" i="9"/>
  <c r="I71" i="9"/>
  <c r="S71" i="9" s="1"/>
  <c r="L69" i="9"/>
  <c r="D69" i="9"/>
  <c r="H69" i="9"/>
  <c r="Q69" i="8"/>
  <c r="D65" i="8"/>
  <c r="H65" i="8"/>
  <c r="M69" i="8"/>
  <c r="I67" i="8"/>
  <c r="S66" i="8"/>
  <c r="P66" i="8" s="1"/>
  <c r="E67" i="8"/>
  <c r="T65" i="8"/>
  <c r="L65" i="8"/>
  <c r="T64" i="7"/>
  <c r="P64" i="7"/>
  <c r="L64" i="7"/>
  <c r="E66" i="7"/>
  <c r="D64" i="7"/>
  <c r="I66" i="7"/>
  <c r="S65" i="7"/>
  <c r="H64" i="7"/>
  <c r="M68" i="7"/>
  <c r="Q69" i="7"/>
  <c r="I67" i="5"/>
  <c r="M67" i="5"/>
  <c r="U223" i="5"/>
  <c r="T63" i="5"/>
  <c r="P63" i="5"/>
  <c r="L63" i="5"/>
  <c r="H63" i="5"/>
  <c r="D63" i="5"/>
  <c r="E66" i="5"/>
  <c r="W66" i="5" s="1"/>
  <c r="X66" i="5" s="1"/>
  <c r="U69" i="5"/>
  <c r="Q68" i="5"/>
  <c r="AF66" i="4"/>
  <c r="T66" i="4"/>
  <c r="AB66" i="4"/>
  <c r="L66" i="4"/>
  <c r="D66" i="4"/>
  <c r="P66" i="4"/>
  <c r="H66" i="4"/>
  <c r="I67" i="4"/>
  <c r="AC68" i="4"/>
  <c r="E68" i="4"/>
  <c r="AE67" i="4"/>
  <c r="P67" i="4"/>
  <c r="Q68" i="4"/>
  <c r="M68" i="4"/>
  <c r="L67" i="4"/>
  <c r="U69" i="4"/>
  <c r="Y67" i="4"/>
  <c r="X66" i="4"/>
  <c r="AF65" i="4"/>
  <c r="T65" i="4"/>
  <c r="D65" i="4"/>
  <c r="AB65" i="4"/>
  <c r="L65" i="4"/>
  <c r="P65" i="4"/>
  <c r="X60" i="2"/>
  <c r="D54" i="1"/>
  <c r="P54" i="1"/>
  <c r="L54" i="1"/>
  <c r="I56" i="1"/>
  <c r="S55" i="1"/>
  <c r="H55" i="1" s="1"/>
  <c r="E60" i="1"/>
  <c r="T71" i="9" l="1"/>
  <c r="P71" i="9"/>
  <c r="Q73" i="9"/>
  <c r="E72" i="9"/>
  <c r="D71" i="9"/>
  <c r="H71" i="9"/>
  <c r="I72" i="9"/>
  <c r="L71" i="9"/>
  <c r="M72" i="9"/>
  <c r="T70" i="9"/>
  <c r="P70" i="9"/>
  <c r="L70" i="9"/>
  <c r="D66" i="8"/>
  <c r="Q70" i="8"/>
  <c r="S67" i="8"/>
  <c r="H67" i="8" s="1"/>
  <c r="E68" i="8"/>
  <c r="T66" i="8"/>
  <c r="L66" i="8"/>
  <c r="I68" i="8"/>
  <c r="H66" i="8"/>
  <c r="M70" i="8"/>
  <c r="T65" i="7"/>
  <c r="P65" i="7"/>
  <c r="L65" i="7"/>
  <c r="I67" i="7"/>
  <c r="S66" i="7"/>
  <c r="H66" i="7" s="1"/>
  <c r="E67" i="7"/>
  <c r="H65" i="7"/>
  <c r="Q70" i="7"/>
  <c r="D65" i="7"/>
  <c r="M69" i="7"/>
  <c r="E67" i="5"/>
  <c r="W67" i="5" s="1"/>
  <c r="X67" i="5" s="1"/>
  <c r="D66" i="5"/>
  <c r="U224" i="5"/>
  <c r="M68" i="5"/>
  <c r="T64" i="5"/>
  <c r="P64" i="5"/>
  <c r="H64" i="5"/>
  <c r="L64" i="5"/>
  <c r="D64" i="5"/>
  <c r="I68" i="5"/>
  <c r="Q69" i="5"/>
  <c r="U70" i="5"/>
  <c r="U70" i="4"/>
  <c r="Q69" i="4"/>
  <c r="AF67" i="4"/>
  <c r="T67" i="4"/>
  <c r="M69" i="4"/>
  <c r="D67" i="4"/>
  <c r="E69" i="4"/>
  <c r="AB67" i="4"/>
  <c r="AC69" i="4"/>
  <c r="X67" i="4"/>
  <c r="Y68" i="4"/>
  <c r="I68" i="4"/>
  <c r="H67" i="4"/>
  <c r="X61" i="2"/>
  <c r="D55" i="1"/>
  <c r="L55" i="1"/>
  <c r="P55" i="1"/>
  <c r="I57" i="1"/>
  <c r="S56" i="1"/>
  <c r="H56" i="1" s="1"/>
  <c r="E61" i="1"/>
  <c r="M73" i="9" l="1"/>
  <c r="I73" i="9"/>
  <c r="E73" i="9"/>
  <c r="S73" i="9"/>
  <c r="P73" i="9"/>
  <c r="Q74" i="9"/>
  <c r="S72" i="9"/>
  <c r="D67" i="8"/>
  <c r="P67" i="8"/>
  <c r="Q71" i="8"/>
  <c r="E69" i="8"/>
  <c r="I69" i="8"/>
  <c r="M71" i="8"/>
  <c r="T67" i="8"/>
  <c r="L67" i="8"/>
  <c r="S68" i="8"/>
  <c r="P68" i="8" s="1"/>
  <c r="D66" i="7"/>
  <c r="T66" i="7"/>
  <c r="P66" i="7"/>
  <c r="L66" i="7"/>
  <c r="Q71" i="7"/>
  <c r="I68" i="7"/>
  <c r="S67" i="7"/>
  <c r="E68" i="7"/>
  <c r="M70" i="7"/>
  <c r="I69" i="5"/>
  <c r="M69" i="5"/>
  <c r="T65" i="5"/>
  <c r="P65" i="5"/>
  <c r="L65" i="5"/>
  <c r="H65" i="5"/>
  <c r="D65" i="5"/>
  <c r="U71" i="5"/>
  <c r="T66" i="5"/>
  <c r="P66" i="5"/>
  <c r="H66" i="5"/>
  <c r="L66" i="5"/>
  <c r="U225" i="5"/>
  <c r="Q70" i="5"/>
  <c r="E68" i="5"/>
  <c r="W68" i="5" s="1"/>
  <c r="X68" i="5" s="1"/>
  <c r="D67" i="5"/>
  <c r="X68" i="4"/>
  <c r="Y69" i="4"/>
  <c r="H68" i="4"/>
  <c r="I69" i="4"/>
  <c r="Q70" i="4"/>
  <c r="M70" i="4"/>
  <c r="AE68" i="4"/>
  <c r="AC70" i="4"/>
  <c r="U71" i="4"/>
  <c r="E70" i="4"/>
  <c r="X62" i="2"/>
  <c r="D56" i="1"/>
  <c r="L56" i="1"/>
  <c r="P56" i="1"/>
  <c r="I58" i="1"/>
  <c r="S57" i="1"/>
  <c r="H57" i="1" s="1"/>
  <c r="E62" i="1"/>
  <c r="T72" i="9" l="1"/>
  <c r="P72" i="9"/>
  <c r="T73" i="9"/>
  <c r="E74" i="9"/>
  <c r="D73" i="9"/>
  <c r="D72" i="9"/>
  <c r="Q75" i="9"/>
  <c r="I74" i="9"/>
  <c r="H73" i="9"/>
  <c r="M74" i="9"/>
  <c r="S74" i="9" s="1"/>
  <c r="L73" i="9"/>
  <c r="H72" i="9"/>
  <c r="L72" i="9"/>
  <c r="Q72" i="8"/>
  <c r="T68" i="8"/>
  <c r="L68" i="8"/>
  <c r="I70" i="8"/>
  <c r="M72" i="8"/>
  <c r="H68" i="8"/>
  <c r="S69" i="8"/>
  <c r="P69" i="8" s="1"/>
  <c r="E70" i="8"/>
  <c r="D68" i="8"/>
  <c r="M71" i="7"/>
  <c r="T67" i="7"/>
  <c r="P67" i="7"/>
  <c r="L67" i="7"/>
  <c r="I69" i="7"/>
  <c r="S68" i="7"/>
  <c r="H68" i="7" s="1"/>
  <c r="E69" i="7"/>
  <c r="H67" i="7"/>
  <c r="D67" i="7"/>
  <c r="Q72" i="7"/>
  <c r="Q71" i="5"/>
  <c r="U72" i="5"/>
  <c r="M70" i="5"/>
  <c r="E69" i="5"/>
  <c r="W69" i="5" s="1"/>
  <c r="X69" i="5" s="1"/>
  <c r="D68" i="5"/>
  <c r="T67" i="5"/>
  <c r="P67" i="5"/>
  <c r="L67" i="5"/>
  <c r="H67" i="5"/>
  <c r="U226" i="5"/>
  <c r="I70" i="5"/>
  <c r="U72" i="4"/>
  <c r="Q71" i="4"/>
  <c r="I70" i="4"/>
  <c r="AC71" i="4"/>
  <c r="M71" i="4"/>
  <c r="E71" i="4"/>
  <c r="Y70" i="4"/>
  <c r="X69" i="4"/>
  <c r="AF68" i="4"/>
  <c r="T68" i="4"/>
  <c r="L68" i="4"/>
  <c r="D68" i="4"/>
  <c r="P68" i="4"/>
  <c r="AB68" i="4"/>
  <c r="AE69" i="4"/>
  <c r="X63" i="2"/>
  <c r="D57" i="1"/>
  <c r="P57" i="1"/>
  <c r="L57" i="1"/>
  <c r="I59" i="1"/>
  <c r="S58" i="1"/>
  <c r="H58" i="1" s="1"/>
  <c r="E63" i="1"/>
  <c r="T74" i="9" l="1"/>
  <c r="P74" i="9"/>
  <c r="D74" i="9"/>
  <c r="E75" i="9"/>
  <c r="L74" i="9"/>
  <c r="M75" i="9"/>
  <c r="I75" i="9"/>
  <c r="H74" i="9"/>
  <c r="Q76" i="9"/>
  <c r="S75" i="9"/>
  <c r="T75" i="9" s="1"/>
  <c r="D69" i="8"/>
  <c r="Q73" i="8"/>
  <c r="T69" i="8"/>
  <c r="L69" i="8"/>
  <c r="H69" i="8"/>
  <c r="I71" i="8"/>
  <c r="S70" i="8"/>
  <c r="P70" i="8" s="1"/>
  <c r="M73" i="8"/>
  <c r="E71" i="8"/>
  <c r="D68" i="7"/>
  <c r="E70" i="7"/>
  <c r="I70" i="7"/>
  <c r="S69" i="7"/>
  <c r="T68" i="7"/>
  <c r="P68" i="7"/>
  <c r="L68" i="7"/>
  <c r="Q73" i="7"/>
  <c r="M72" i="7"/>
  <c r="T68" i="5"/>
  <c r="P68" i="5"/>
  <c r="L68" i="5"/>
  <c r="H68" i="5"/>
  <c r="Q72" i="5"/>
  <c r="M71" i="5"/>
  <c r="U227" i="5"/>
  <c r="E70" i="5"/>
  <c r="W70" i="5" s="1"/>
  <c r="X70" i="5" s="1"/>
  <c r="I71" i="5"/>
  <c r="U73" i="5"/>
  <c r="Y71" i="4"/>
  <c r="M72" i="4"/>
  <c r="E72" i="4"/>
  <c r="I71" i="4"/>
  <c r="Q72" i="4"/>
  <c r="U73" i="4"/>
  <c r="AF69" i="4"/>
  <c r="T69" i="4"/>
  <c r="L69" i="4"/>
  <c r="AB69" i="4"/>
  <c r="P69" i="4"/>
  <c r="D69" i="4"/>
  <c r="AC72" i="4"/>
  <c r="H69" i="4"/>
  <c r="AE70" i="4"/>
  <c r="X64" i="2"/>
  <c r="I60" i="1"/>
  <c r="S59" i="1"/>
  <c r="H59" i="1"/>
  <c r="L58" i="1"/>
  <c r="P58" i="1"/>
  <c r="D58" i="1"/>
  <c r="E64" i="1"/>
  <c r="P75" i="9" l="1"/>
  <c r="D75" i="9"/>
  <c r="E76" i="9"/>
  <c r="H75" i="9"/>
  <c r="I76" i="9"/>
  <c r="Q77" i="9"/>
  <c r="M76" i="9"/>
  <c r="L75" i="9"/>
  <c r="Q74" i="8"/>
  <c r="E72" i="8"/>
  <c r="T70" i="8"/>
  <c r="L70" i="8"/>
  <c r="I72" i="8"/>
  <c r="M74" i="8"/>
  <c r="S71" i="8"/>
  <c r="P71" i="8" s="1"/>
  <c r="H70" i="8"/>
  <c r="D70" i="8"/>
  <c r="Q74" i="7"/>
  <c r="T69" i="7"/>
  <c r="P69" i="7"/>
  <c r="L69" i="7"/>
  <c r="H69" i="7"/>
  <c r="I71" i="7"/>
  <c r="S70" i="7"/>
  <c r="H70" i="7" s="1"/>
  <c r="E71" i="7"/>
  <c r="M73" i="7"/>
  <c r="D69" i="7"/>
  <c r="U228" i="5"/>
  <c r="I72" i="5"/>
  <c r="M72" i="5"/>
  <c r="E71" i="5"/>
  <c r="W71" i="5" s="1"/>
  <c r="X71" i="5" s="1"/>
  <c r="Q73" i="5"/>
  <c r="U74" i="5"/>
  <c r="Y72" i="4"/>
  <c r="AF70" i="4"/>
  <c r="T70" i="4"/>
  <c r="L70" i="4"/>
  <c r="AB70" i="4"/>
  <c r="P70" i="4"/>
  <c r="D70" i="4"/>
  <c r="U74" i="4"/>
  <c r="Q73" i="4"/>
  <c r="AE71" i="4"/>
  <c r="AC73" i="4"/>
  <c r="H71" i="4"/>
  <c r="I72" i="4"/>
  <c r="AE72" i="4" s="1"/>
  <c r="H70" i="4"/>
  <c r="E73" i="4"/>
  <c r="M73" i="4"/>
  <c r="X70" i="4"/>
  <c r="X65" i="2"/>
  <c r="L59" i="1"/>
  <c r="P59" i="1"/>
  <c r="D59" i="1"/>
  <c r="I61" i="1"/>
  <c r="S60" i="1"/>
  <c r="H60" i="1" s="1"/>
  <c r="E65" i="1"/>
  <c r="E77" i="9" l="1"/>
  <c r="M77" i="9"/>
  <c r="Q78" i="9"/>
  <c r="S76" i="9"/>
  <c r="H76" i="9"/>
  <c r="I77" i="9"/>
  <c r="Q75" i="8"/>
  <c r="S72" i="8"/>
  <c r="P72" i="8" s="1"/>
  <c r="T71" i="8"/>
  <c r="L71" i="8"/>
  <c r="I73" i="8"/>
  <c r="M75" i="8"/>
  <c r="D71" i="8"/>
  <c r="H71" i="8"/>
  <c r="E73" i="8"/>
  <c r="D70" i="7"/>
  <c r="E72" i="7"/>
  <c r="I72" i="7"/>
  <c r="S71" i="7"/>
  <c r="T70" i="7"/>
  <c r="P70" i="7"/>
  <c r="L70" i="7"/>
  <c r="M74" i="7"/>
  <c r="Q75" i="7"/>
  <c r="Q74" i="5"/>
  <c r="E72" i="5"/>
  <c r="W72" i="5" s="1"/>
  <c r="X72" i="5" s="1"/>
  <c r="M73" i="5"/>
  <c r="U75" i="5"/>
  <c r="U229" i="5"/>
  <c r="T69" i="5"/>
  <c r="P69" i="5"/>
  <c r="H69" i="5"/>
  <c r="L69" i="5"/>
  <c r="D69" i="5"/>
  <c r="I73" i="5"/>
  <c r="AF72" i="4"/>
  <c r="T72" i="4"/>
  <c r="D72" i="4"/>
  <c r="P72" i="4"/>
  <c r="L72" i="4"/>
  <c r="AB72" i="4"/>
  <c r="H72" i="4"/>
  <c r="I73" i="4"/>
  <c r="AC74" i="4"/>
  <c r="AF71" i="4"/>
  <c r="T71" i="4"/>
  <c r="L71" i="4"/>
  <c r="D71" i="4"/>
  <c r="P71" i="4"/>
  <c r="AB71" i="4"/>
  <c r="X71" i="4"/>
  <c r="Q74" i="4"/>
  <c r="M74" i="4"/>
  <c r="U75" i="4"/>
  <c r="E74" i="4"/>
  <c r="X72" i="4"/>
  <c r="Y73" i="4"/>
  <c r="X66" i="2"/>
  <c r="L60" i="1"/>
  <c r="P60" i="1"/>
  <c r="D60" i="1"/>
  <c r="I62" i="1"/>
  <c r="S61" i="1"/>
  <c r="H61" i="1"/>
  <c r="E66" i="1"/>
  <c r="I78" i="9" l="1"/>
  <c r="M78" i="9"/>
  <c r="T76" i="9"/>
  <c r="P76" i="9"/>
  <c r="S77" i="9"/>
  <c r="L77" i="9" s="1"/>
  <c r="Q79" i="9"/>
  <c r="L76" i="9"/>
  <c r="E78" i="9"/>
  <c r="D76" i="9"/>
  <c r="D72" i="8"/>
  <c r="Q76" i="8"/>
  <c r="H72" i="8"/>
  <c r="S73" i="8"/>
  <c r="P73" i="8" s="1"/>
  <c r="I74" i="8"/>
  <c r="E74" i="8"/>
  <c r="M76" i="8"/>
  <c r="T72" i="8"/>
  <c r="L72" i="8"/>
  <c r="M75" i="7"/>
  <c r="T71" i="7"/>
  <c r="P71" i="7"/>
  <c r="L71" i="7"/>
  <c r="H71" i="7"/>
  <c r="I73" i="7"/>
  <c r="S72" i="7"/>
  <c r="H72" i="7" s="1"/>
  <c r="D71" i="7"/>
  <c r="Q76" i="7"/>
  <c r="E73" i="7"/>
  <c r="T71" i="5"/>
  <c r="P71" i="5"/>
  <c r="L71" i="5"/>
  <c r="H71" i="5"/>
  <c r="D71" i="5"/>
  <c r="U230" i="5"/>
  <c r="I74" i="5"/>
  <c r="Q75" i="5"/>
  <c r="T70" i="5"/>
  <c r="P70" i="5"/>
  <c r="L70" i="5"/>
  <c r="H70" i="5"/>
  <c r="D70" i="5"/>
  <c r="E73" i="5"/>
  <c r="W73" i="5" s="1"/>
  <c r="X73" i="5" s="1"/>
  <c r="U76" i="5"/>
  <c r="M74" i="5"/>
  <c r="Y74" i="4"/>
  <c r="U76" i="4"/>
  <c r="M75" i="4"/>
  <c r="I74" i="4"/>
  <c r="AE74" i="4"/>
  <c r="Q75" i="4"/>
  <c r="P74" i="4"/>
  <c r="AE73" i="4"/>
  <c r="H73" i="4" s="1"/>
  <c r="AC75" i="4"/>
  <c r="E75" i="4"/>
  <c r="X67" i="2"/>
  <c r="D61" i="1"/>
  <c r="L61" i="1"/>
  <c r="P61" i="1"/>
  <c r="I63" i="1"/>
  <c r="S62" i="1"/>
  <c r="H62" i="1" s="1"/>
  <c r="E67" i="1"/>
  <c r="M79" i="9" l="1"/>
  <c r="E79" i="9"/>
  <c r="S78" i="9"/>
  <c r="D78" i="9" s="1"/>
  <c r="I79" i="9"/>
  <c r="Q80" i="9"/>
  <c r="T77" i="9"/>
  <c r="P77" i="9"/>
  <c r="D77" i="9"/>
  <c r="H77" i="9"/>
  <c r="H73" i="8"/>
  <c r="D73" i="8"/>
  <c r="Q77" i="8"/>
  <c r="T73" i="8"/>
  <c r="L73" i="8"/>
  <c r="E75" i="8"/>
  <c r="S74" i="8"/>
  <c r="P74" i="8" s="1"/>
  <c r="M77" i="8"/>
  <c r="I75" i="8"/>
  <c r="I74" i="7"/>
  <c r="S73" i="7"/>
  <c r="D73" i="7" s="1"/>
  <c r="T72" i="7"/>
  <c r="P72" i="7"/>
  <c r="L72" i="7"/>
  <c r="E74" i="7"/>
  <c r="D72" i="7"/>
  <c r="Q77" i="7"/>
  <c r="M76" i="7"/>
  <c r="M75" i="5"/>
  <c r="Q76" i="5"/>
  <c r="U231" i="5"/>
  <c r="I75" i="5"/>
  <c r="U77" i="5"/>
  <c r="E74" i="5"/>
  <c r="W74" i="5" s="1"/>
  <c r="X74" i="5" s="1"/>
  <c r="AF74" i="4"/>
  <c r="T74" i="4"/>
  <c r="H74" i="4"/>
  <c r="I75" i="4"/>
  <c r="Q76" i="4"/>
  <c r="AE75" i="4"/>
  <c r="M76" i="4"/>
  <c r="AF73" i="4"/>
  <c r="T73" i="4"/>
  <c r="D73" i="4"/>
  <c r="P73" i="4"/>
  <c r="AB73" i="4"/>
  <c r="L73" i="4"/>
  <c r="D74" i="4"/>
  <c r="U77" i="4"/>
  <c r="L74" i="4"/>
  <c r="E76" i="4"/>
  <c r="AB74" i="4"/>
  <c r="X73" i="4"/>
  <c r="AC76" i="4"/>
  <c r="Y75" i="4"/>
  <c r="X74" i="4"/>
  <c r="X68" i="2"/>
  <c r="I64" i="1"/>
  <c r="S63" i="1"/>
  <c r="H63" i="1" s="1"/>
  <c r="D62" i="1"/>
  <c r="L62" i="1"/>
  <c r="P62" i="1"/>
  <c r="E68" i="1"/>
  <c r="S79" i="9" l="1"/>
  <c r="H78" i="9"/>
  <c r="T79" i="9"/>
  <c r="P79" i="9"/>
  <c r="Q81" i="9"/>
  <c r="H79" i="9"/>
  <c r="I80" i="9"/>
  <c r="M80" i="9"/>
  <c r="L79" i="9"/>
  <c r="T78" i="9"/>
  <c r="P78" i="9"/>
  <c r="E80" i="9"/>
  <c r="S80" i="9" s="1"/>
  <c r="D79" i="9"/>
  <c r="L78" i="9"/>
  <c r="H74" i="8"/>
  <c r="Q78" i="8"/>
  <c r="I76" i="8"/>
  <c r="S75" i="8"/>
  <c r="P75" i="8" s="1"/>
  <c r="T74" i="8"/>
  <c r="L74" i="8"/>
  <c r="E76" i="8"/>
  <c r="M78" i="8"/>
  <c r="D74" i="8"/>
  <c r="Q78" i="7"/>
  <c r="E75" i="7"/>
  <c r="T73" i="7"/>
  <c r="P73" i="7"/>
  <c r="L73" i="7"/>
  <c r="I75" i="7"/>
  <c r="S74" i="7"/>
  <c r="H74" i="7" s="1"/>
  <c r="M77" i="7"/>
  <c r="H73" i="7"/>
  <c r="U78" i="5"/>
  <c r="I76" i="5"/>
  <c r="E75" i="5"/>
  <c r="W75" i="5" s="1"/>
  <c r="X75" i="5" s="1"/>
  <c r="U232" i="5"/>
  <c r="Q77" i="5"/>
  <c r="T72" i="5"/>
  <c r="P72" i="5"/>
  <c r="H72" i="5"/>
  <c r="L72" i="5"/>
  <c r="D72" i="5"/>
  <c r="M76" i="5"/>
  <c r="Q77" i="4"/>
  <c r="AF75" i="4"/>
  <c r="T75" i="4"/>
  <c r="U78" i="4"/>
  <c r="H75" i="4"/>
  <c r="I76" i="4"/>
  <c r="Y76" i="4"/>
  <c r="X75" i="4"/>
  <c r="AB75" i="4"/>
  <c r="AC77" i="4"/>
  <c r="D75" i="4"/>
  <c r="L75" i="4"/>
  <c r="E77" i="4"/>
  <c r="M77" i="4"/>
  <c r="P75" i="4"/>
  <c r="X69" i="2"/>
  <c r="I65" i="1"/>
  <c r="S64" i="1"/>
  <c r="H64" i="1" s="1"/>
  <c r="D63" i="1"/>
  <c r="P63" i="1"/>
  <c r="L63" i="1"/>
  <c r="E69" i="1"/>
  <c r="T80" i="9" l="1"/>
  <c r="P80" i="9"/>
  <c r="I81" i="9"/>
  <c r="H80" i="9"/>
  <c r="D80" i="9"/>
  <c r="E81" i="9"/>
  <c r="L80" i="9"/>
  <c r="M81" i="9"/>
  <c r="Q82" i="9"/>
  <c r="D75" i="8"/>
  <c r="Q79" i="8"/>
  <c r="M79" i="8"/>
  <c r="S76" i="8"/>
  <c r="E77" i="8"/>
  <c r="T75" i="8"/>
  <c r="L75" i="8"/>
  <c r="I77" i="8"/>
  <c r="H75" i="8"/>
  <c r="I76" i="7"/>
  <c r="S75" i="7"/>
  <c r="D74" i="7"/>
  <c r="D75" i="7"/>
  <c r="E76" i="7"/>
  <c r="T74" i="7"/>
  <c r="P74" i="7"/>
  <c r="L74" i="7"/>
  <c r="Q79" i="7"/>
  <c r="M78" i="7"/>
  <c r="E76" i="5"/>
  <c r="W76" i="5" s="1"/>
  <c r="X76" i="5" s="1"/>
  <c r="M77" i="5"/>
  <c r="U233" i="5"/>
  <c r="T73" i="5"/>
  <c r="P73" i="5"/>
  <c r="H73" i="5"/>
  <c r="L73" i="5"/>
  <c r="D73" i="5"/>
  <c r="I77" i="5"/>
  <c r="Q78" i="5"/>
  <c r="U79" i="5"/>
  <c r="U79" i="4"/>
  <c r="AC78" i="4"/>
  <c r="AE77" i="4"/>
  <c r="P77" i="4" s="1"/>
  <c r="Q78" i="4"/>
  <c r="Y77" i="4"/>
  <c r="I77" i="4"/>
  <c r="M78" i="4"/>
  <c r="E78" i="4"/>
  <c r="AE76" i="4"/>
  <c r="X70" i="2"/>
  <c r="I66" i="1"/>
  <c r="S65" i="1"/>
  <c r="H65" i="1" s="1"/>
  <c r="D64" i="1"/>
  <c r="P64" i="1"/>
  <c r="L64" i="1"/>
  <c r="E70" i="1"/>
  <c r="M82" i="9" l="1"/>
  <c r="I82" i="9"/>
  <c r="Q83" i="9"/>
  <c r="E82" i="9"/>
  <c r="S81" i="9"/>
  <c r="D76" i="8"/>
  <c r="P76" i="8"/>
  <c r="Q80" i="8"/>
  <c r="H76" i="8"/>
  <c r="E78" i="8"/>
  <c r="I78" i="8"/>
  <c r="T76" i="8"/>
  <c r="L76" i="8"/>
  <c r="S77" i="8"/>
  <c r="M80" i="8"/>
  <c r="E77" i="7"/>
  <c r="Q80" i="7"/>
  <c r="M79" i="7"/>
  <c r="T75" i="7"/>
  <c r="P75" i="7"/>
  <c r="L75" i="7"/>
  <c r="H75" i="7"/>
  <c r="I77" i="7"/>
  <c r="S76" i="7"/>
  <c r="H76" i="7" s="1"/>
  <c r="U80" i="5"/>
  <c r="I78" i="5"/>
  <c r="T74" i="5"/>
  <c r="P74" i="5"/>
  <c r="L74" i="5"/>
  <c r="H74" i="5"/>
  <c r="D74" i="5"/>
  <c r="Q79" i="5"/>
  <c r="U234" i="5"/>
  <c r="M78" i="5"/>
  <c r="E77" i="5"/>
  <c r="W77" i="5" s="1"/>
  <c r="X77" i="5" s="1"/>
  <c r="Q79" i="4"/>
  <c r="AC79" i="4"/>
  <c r="AB77" i="4"/>
  <c r="AF76" i="4"/>
  <c r="T76" i="4"/>
  <c r="L76" i="4"/>
  <c r="AB76" i="4"/>
  <c r="D76" i="4"/>
  <c r="P76" i="4"/>
  <c r="D77" i="4"/>
  <c r="E79" i="4"/>
  <c r="M79" i="4"/>
  <c r="U80" i="4"/>
  <c r="L77" i="4"/>
  <c r="H77" i="4"/>
  <c r="I78" i="4"/>
  <c r="H76" i="4"/>
  <c r="X76" i="4"/>
  <c r="Y78" i="4"/>
  <c r="X77" i="4"/>
  <c r="AF77" i="4"/>
  <c r="T77" i="4"/>
  <c r="X71" i="2"/>
  <c r="D65" i="1"/>
  <c r="L65" i="1"/>
  <c r="P65" i="1"/>
  <c r="I67" i="1"/>
  <c r="S66" i="1"/>
  <c r="H66" i="1"/>
  <c r="E71" i="1"/>
  <c r="E83" i="9" l="1"/>
  <c r="S82" i="9"/>
  <c r="Q84" i="9"/>
  <c r="T81" i="9"/>
  <c r="P81" i="9"/>
  <c r="H81" i="9"/>
  <c r="H82" i="9"/>
  <c r="I83" i="9"/>
  <c r="D81" i="9"/>
  <c r="L81" i="9"/>
  <c r="L82" i="9"/>
  <c r="M83" i="9"/>
  <c r="D77" i="8"/>
  <c r="P77" i="8"/>
  <c r="Q81" i="8"/>
  <c r="H77" i="8"/>
  <c r="S78" i="8"/>
  <c r="P78" i="8" s="1"/>
  <c r="I79" i="8"/>
  <c r="M81" i="8"/>
  <c r="T77" i="8"/>
  <c r="L77" i="8"/>
  <c r="E79" i="8"/>
  <c r="M80" i="7"/>
  <c r="Q81" i="7"/>
  <c r="T76" i="7"/>
  <c r="P76" i="7"/>
  <c r="L76" i="7"/>
  <c r="D76" i="7"/>
  <c r="I78" i="7"/>
  <c r="S77" i="7"/>
  <c r="E78" i="7"/>
  <c r="E78" i="5"/>
  <c r="W78" i="5" s="1"/>
  <c r="X78" i="5" s="1"/>
  <c r="Q80" i="5"/>
  <c r="U81" i="5"/>
  <c r="T75" i="5"/>
  <c r="P75" i="5"/>
  <c r="L75" i="5"/>
  <c r="H75" i="5"/>
  <c r="D75" i="5"/>
  <c r="U235" i="5"/>
  <c r="T76" i="5"/>
  <c r="P76" i="5"/>
  <c r="L76" i="5"/>
  <c r="H76" i="5"/>
  <c r="D76" i="5"/>
  <c r="I79" i="5"/>
  <c r="M79" i="5"/>
  <c r="E80" i="4"/>
  <c r="Y79" i="4"/>
  <c r="AE78" i="4"/>
  <c r="H78" i="4"/>
  <c r="I79" i="4"/>
  <c r="U81" i="4"/>
  <c r="AC80" i="4"/>
  <c r="M80" i="4"/>
  <c r="Q80" i="4"/>
  <c r="X72" i="2"/>
  <c r="D66" i="1"/>
  <c r="L66" i="1"/>
  <c r="P66" i="1"/>
  <c r="I68" i="1"/>
  <c r="S67" i="1"/>
  <c r="H67" i="1"/>
  <c r="E72" i="1"/>
  <c r="S83" i="9" l="1"/>
  <c r="T83" i="9" s="1"/>
  <c r="P83" i="9"/>
  <c r="Q85" i="9"/>
  <c r="H83" i="9"/>
  <c r="I84" i="9"/>
  <c r="L83" i="9"/>
  <c r="M84" i="9"/>
  <c r="T82" i="9"/>
  <c r="P82" i="9"/>
  <c r="E84" i="9"/>
  <c r="D83" i="9"/>
  <c r="D82" i="9"/>
  <c r="D78" i="8"/>
  <c r="H78" i="8"/>
  <c r="Q82" i="8"/>
  <c r="M82" i="8"/>
  <c r="I80" i="8"/>
  <c r="S79" i="8"/>
  <c r="T78" i="8"/>
  <c r="L78" i="8"/>
  <c r="E80" i="8"/>
  <c r="T77" i="7"/>
  <c r="P77" i="7"/>
  <c r="L77" i="7"/>
  <c r="Q82" i="7"/>
  <c r="H77" i="7"/>
  <c r="E79" i="7"/>
  <c r="I79" i="7"/>
  <c r="S78" i="7"/>
  <c r="D77" i="7"/>
  <c r="M81" i="7"/>
  <c r="I80" i="5"/>
  <c r="M80" i="5"/>
  <c r="U82" i="5"/>
  <c r="E79" i="5"/>
  <c r="W79" i="5" s="1"/>
  <c r="X79" i="5" s="1"/>
  <c r="Q81" i="5"/>
  <c r="U236" i="5"/>
  <c r="U82" i="4"/>
  <c r="I80" i="4"/>
  <c r="AF78" i="4"/>
  <c r="T78" i="4"/>
  <c r="D78" i="4"/>
  <c r="AB78" i="4"/>
  <c r="L78" i="4"/>
  <c r="P78" i="4"/>
  <c r="X79" i="4"/>
  <c r="Y80" i="4"/>
  <c r="AE80" i="4" s="1"/>
  <c r="M81" i="4"/>
  <c r="Q81" i="4"/>
  <c r="X78" i="4"/>
  <c r="AC81" i="4"/>
  <c r="AE79" i="4"/>
  <c r="H79" i="4" s="1"/>
  <c r="E81" i="4"/>
  <c r="X73" i="2"/>
  <c r="I69" i="1"/>
  <c r="S68" i="1"/>
  <c r="H68" i="1" s="1"/>
  <c r="D67" i="1"/>
  <c r="L67" i="1"/>
  <c r="P67" i="1"/>
  <c r="E73" i="1"/>
  <c r="E85" i="9" l="1"/>
  <c r="S84" i="9"/>
  <c r="Q86" i="9"/>
  <c r="L84" i="9"/>
  <c r="M85" i="9"/>
  <c r="I85" i="9"/>
  <c r="H84" i="9"/>
  <c r="D79" i="8"/>
  <c r="P79" i="8"/>
  <c r="Q83" i="8"/>
  <c r="E81" i="8"/>
  <c r="T79" i="8"/>
  <c r="L79" i="8"/>
  <c r="S80" i="8"/>
  <c r="P80" i="8" s="1"/>
  <c r="H79" i="8"/>
  <c r="M83" i="8"/>
  <c r="I81" i="8"/>
  <c r="T78" i="7"/>
  <c r="P78" i="7"/>
  <c r="L78" i="7"/>
  <c r="I80" i="7"/>
  <c r="S79" i="7"/>
  <c r="D79" i="7" s="1"/>
  <c r="E80" i="7"/>
  <c r="D78" i="7"/>
  <c r="Q83" i="7"/>
  <c r="M82" i="7"/>
  <c r="H78" i="7"/>
  <c r="Q82" i="5"/>
  <c r="T77" i="5"/>
  <c r="P77" i="5"/>
  <c r="H77" i="5"/>
  <c r="L77" i="5"/>
  <c r="D77" i="5"/>
  <c r="U237" i="5"/>
  <c r="E80" i="5"/>
  <c r="W80" i="5" s="1"/>
  <c r="X80" i="5" s="1"/>
  <c r="M81" i="5"/>
  <c r="U83" i="5"/>
  <c r="I81" i="5"/>
  <c r="AF80" i="4"/>
  <c r="T80" i="4"/>
  <c r="L80" i="4"/>
  <c r="P80" i="4"/>
  <c r="D80" i="4"/>
  <c r="AB80" i="4"/>
  <c r="M82" i="4"/>
  <c r="E82" i="4"/>
  <c r="Q82" i="4"/>
  <c r="AE81" i="4"/>
  <c r="U83" i="4"/>
  <c r="H80" i="4"/>
  <c r="I81" i="4"/>
  <c r="X80" i="4"/>
  <c r="Y81" i="4"/>
  <c r="AF79" i="4"/>
  <c r="T79" i="4"/>
  <c r="L79" i="4"/>
  <c r="D79" i="4"/>
  <c r="P79" i="4"/>
  <c r="AB79" i="4"/>
  <c r="AC82" i="4"/>
  <c r="X74" i="2"/>
  <c r="I70" i="1"/>
  <c r="S69" i="1"/>
  <c r="D68" i="1"/>
  <c r="L68" i="1"/>
  <c r="P68" i="1"/>
  <c r="E74" i="1"/>
  <c r="S85" i="9" l="1"/>
  <c r="T85" i="9" s="1"/>
  <c r="Q87" i="9"/>
  <c r="L85" i="9"/>
  <c r="M86" i="9"/>
  <c r="T84" i="9"/>
  <c r="P84" i="9"/>
  <c r="H85" i="9"/>
  <c r="I86" i="9"/>
  <c r="E86" i="9"/>
  <c r="S86" i="9" s="1"/>
  <c r="D85" i="9"/>
  <c r="D84" i="9"/>
  <c r="H80" i="8"/>
  <c r="Q84" i="8"/>
  <c r="M84" i="8"/>
  <c r="T80" i="8"/>
  <c r="L80" i="8"/>
  <c r="S81" i="8"/>
  <c r="P81" i="8" s="1"/>
  <c r="D80" i="8"/>
  <c r="I82" i="8"/>
  <c r="E82" i="8"/>
  <c r="Q84" i="7"/>
  <c r="T79" i="7"/>
  <c r="P79" i="7"/>
  <c r="L79" i="7"/>
  <c r="E81" i="7"/>
  <c r="H79" i="7"/>
  <c r="I81" i="7"/>
  <c r="S80" i="7"/>
  <c r="H80" i="7" s="1"/>
  <c r="M83" i="7"/>
  <c r="T78" i="5"/>
  <c r="P78" i="5"/>
  <c r="H78" i="5"/>
  <c r="L78" i="5"/>
  <c r="D78" i="5"/>
  <c r="U84" i="5"/>
  <c r="M82" i="5"/>
  <c r="E81" i="5"/>
  <c r="W81" i="5" s="1"/>
  <c r="X81" i="5" s="1"/>
  <c r="U238" i="5"/>
  <c r="I82" i="5"/>
  <c r="Q83" i="5"/>
  <c r="M83" i="4"/>
  <c r="AF81" i="4"/>
  <c r="T81" i="4"/>
  <c r="Q83" i="4"/>
  <c r="D81" i="4"/>
  <c r="Y82" i="4"/>
  <c r="X81" i="4"/>
  <c r="H81" i="4"/>
  <c r="I82" i="4"/>
  <c r="AB81" i="4"/>
  <c r="AC83" i="4"/>
  <c r="E83" i="4"/>
  <c r="L81" i="4"/>
  <c r="U84" i="4"/>
  <c r="P81" i="4"/>
  <c r="X75" i="2"/>
  <c r="D69" i="1"/>
  <c r="P69" i="1"/>
  <c r="L69" i="1"/>
  <c r="I71" i="1"/>
  <c r="S70" i="1"/>
  <c r="H70" i="1" s="1"/>
  <c r="H69" i="1"/>
  <c r="E75" i="1"/>
  <c r="P85" i="9" l="1"/>
  <c r="T86" i="9"/>
  <c r="P86" i="9"/>
  <c r="H86" i="9"/>
  <c r="I87" i="9"/>
  <c r="Q88" i="9"/>
  <c r="D86" i="9"/>
  <c r="E87" i="9"/>
  <c r="L86" i="9"/>
  <c r="M87" i="9"/>
  <c r="D81" i="8"/>
  <c r="H81" i="8"/>
  <c r="Q85" i="8"/>
  <c r="E83" i="8"/>
  <c r="I83" i="8"/>
  <c r="S82" i="8"/>
  <c r="P82" i="8" s="1"/>
  <c r="M85" i="8"/>
  <c r="T81" i="8"/>
  <c r="L81" i="8"/>
  <c r="D80" i="7"/>
  <c r="E82" i="7"/>
  <c r="I82" i="7"/>
  <c r="S81" i="7"/>
  <c r="T80" i="7"/>
  <c r="P80" i="7"/>
  <c r="L80" i="7"/>
  <c r="M84" i="7"/>
  <c r="Q85" i="7"/>
  <c r="T79" i="5"/>
  <c r="P79" i="5"/>
  <c r="H79" i="5"/>
  <c r="L79" i="5"/>
  <c r="D79" i="5"/>
  <c r="U85" i="5"/>
  <c r="I83" i="5"/>
  <c r="U239" i="5"/>
  <c r="M83" i="5"/>
  <c r="Q84" i="5"/>
  <c r="E82" i="5"/>
  <c r="W82" i="5" s="1"/>
  <c r="X82" i="5" s="1"/>
  <c r="I83" i="4"/>
  <c r="Q84" i="4"/>
  <c r="AE82" i="4"/>
  <c r="E84" i="4"/>
  <c r="AC84" i="4"/>
  <c r="Y83" i="4"/>
  <c r="X82" i="4"/>
  <c r="U85" i="4"/>
  <c r="M84" i="4"/>
  <c r="X76" i="2"/>
  <c r="D70" i="1"/>
  <c r="P70" i="1"/>
  <c r="L70" i="1"/>
  <c r="I72" i="1"/>
  <c r="S71" i="1"/>
  <c r="H71" i="1" s="1"/>
  <c r="E76" i="1"/>
  <c r="S87" i="9" l="1"/>
  <c r="T87" i="9"/>
  <c r="P87" i="9"/>
  <c r="M88" i="9"/>
  <c r="L87" i="9"/>
  <c r="H87" i="9"/>
  <c r="I88" i="9"/>
  <c r="D87" i="9"/>
  <c r="E88" i="9"/>
  <c r="Q89" i="9"/>
  <c r="Q86" i="8"/>
  <c r="I84" i="8"/>
  <c r="M86" i="8"/>
  <c r="S83" i="8"/>
  <c r="P83" i="8" s="1"/>
  <c r="E84" i="8"/>
  <c r="T82" i="8"/>
  <c r="L82" i="8"/>
  <c r="H82" i="8"/>
  <c r="D82" i="8"/>
  <c r="T81" i="7"/>
  <c r="P81" i="7"/>
  <c r="L81" i="7"/>
  <c r="H81" i="7"/>
  <c r="I83" i="7"/>
  <c r="S82" i="7"/>
  <c r="D82" i="7" s="1"/>
  <c r="E83" i="7"/>
  <c r="Q86" i="7"/>
  <c r="D81" i="7"/>
  <c r="M85" i="7"/>
  <c r="U240" i="5"/>
  <c r="U86" i="5"/>
  <c r="E83" i="5"/>
  <c r="W83" i="5" s="1"/>
  <c r="X83" i="5" s="1"/>
  <c r="T81" i="5"/>
  <c r="P81" i="5"/>
  <c r="L81" i="5"/>
  <c r="H81" i="5"/>
  <c r="T80" i="5"/>
  <c r="P80" i="5"/>
  <c r="L80" i="5"/>
  <c r="H80" i="5"/>
  <c r="D80" i="5"/>
  <c r="M84" i="5"/>
  <c r="I84" i="5"/>
  <c r="D81" i="5"/>
  <c r="Q85" i="5"/>
  <c r="AF82" i="4"/>
  <c r="T82" i="4"/>
  <c r="L82" i="4"/>
  <c r="AB82" i="4"/>
  <c r="P82" i="4"/>
  <c r="D82" i="4"/>
  <c r="M85" i="4"/>
  <c r="X83" i="4"/>
  <c r="Y84" i="4"/>
  <c r="AC85" i="4"/>
  <c r="E85" i="4"/>
  <c r="Q85" i="4"/>
  <c r="AE83" i="4"/>
  <c r="H83" i="4"/>
  <c r="I84" i="4"/>
  <c r="U86" i="4"/>
  <c r="H82" i="4"/>
  <c r="X77" i="2"/>
  <c r="P71" i="1"/>
  <c r="L71" i="1"/>
  <c r="D71" i="1"/>
  <c r="I73" i="1"/>
  <c r="S72" i="1"/>
  <c r="H72" i="1"/>
  <c r="E77" i="1"/>
  <c r="I89" i="9" l="1"/>
  <c r="E89" i="9"/>
  <c r="Q90" i="9"/>
  <c r="M89" i="9"/>
  <c r="S88" i="9"/>
  <c r="D88" i="9" s="1"/>
  <c r="Q87" i="8"/>
  <c r="D83" i="8"/>
  <c r="S84" i="8"/>
  <c r="P84" i="8" s="1"/>
  <c r="T83" i="8"/>
  <c r="L83" i="8"/>
  <c r="M87" i="8"/>
  <c r="I85" i="8"/>
  <c r="E85" i="8"/>
  <c r="H83" i="8"/>
  <c r="Q87" i="7"/>
  <c r="T82" i="7"/>
  <c r="P82" i="7"/>
  <c r="L82" i="7"/>
  <c r="I84" i="7"/>
  <c r="S83" i="7"/>
  <c r="H83" i="7" s="1"/>
  <c r="E84" i="7"/>
  <c r="H82" i="7"/>
  <c r="M86" i="7"/>
  <c r="Q86" i="5"/>
  <c r="U87" i="5"/>
  <c r="I85" i="5"/>
  <c r="M85" i="5"/>
  <c r="U241" i="5"/>
  <c r="E84" i="5"/>
  <c r="W84" i="5" s="1"/>
  <c r="X84" i="5" s="1"/>
  <c r="E86" i="4"/>
  <c r="Y85" i="4"/>
  <c r="M86" i="4"/>
  <c r="AC86" i="4"/>
  <c r="U87" i="4"/>
  <c r="H84" i="4"/>
  <c r="I85" i="4"/>
  <c r="AF83" i="4"/>
  <c r="T83" i="4"/>
  <c r="D83" i="4"/>
  <c r="P83" i="4"/>
  <c r="L83" i="4"/>
  <c r="AB83" i="4"/>
  <c r="AE84" i="4"/>
  <c r="Q86" i="4"/>
  <c r="X78" i="2"/>
  <c r="D72" i="1"/>
  <c r="L72" i="1"/>
  <c r="P72" i="1"/>
  <c r="I74" i="1"/>
  <c r="S73" i="1"/>
  <c r="H73" i="1" s="1"/>
  <c r="E78" i="1"/>
  <c r="S89" i="9" l="1"/>
  <c r="P89" i="9" s="1"/>
  <c r="T89" i="9"/>
  <c r="M90" i="9"/>
  <c r="L88" i="9"/>
  <c r="E90" i="9"/>
  <c r="Q91" i="9"/>
  <c r="T88" i="9"/>
  <c r="P88" i="9"/>
  <c r="H88" i="9"/>
  <c r="I90" i="9"/>
  <c r="D84" i="8"/>
  <c r="H84" i="8"/>
  <c r="Q88" i="8"/>
  <c r="E86" i="8"/>
  <c r="M88" i="8"/>
  <c r="I86" i="8"/>
  <c r="T84" i="8"/>
  <c r="L84" i="8"/>
  <c r="S85" i="8"/>
  <c r="P85" i="8" s="1"/>
  <c r="D83" i="7"/>
  <c r="I85" i="7"/>
  <c r="S84" i="7"/>
  <c r="D84" i="7" s="1"/>
  <c r="T83" i="7"/>
  <c r="P83" i="7"/>
  <c r="L83" i="7"/>
  <c r="E85" i="7"/>
  <c r="M87" i="7"/>
  <c r="Q88" i="7"/>
  <c r="U242" i="5"/>
  <c r="T83" i="5"/>
  <c r="P83" i="5"/>
  <c r="H83" i="5"/>
  <c r="L83" i="5"/>
  <c r="M86" i="5"/>
  <c r="I86" i="5"/>
  <c r="D83" i="5"/>
  <c r="Q87" i="5"/>
  <c r="T82" i="5"/>
  <c r="P82" i="5"/>
  <c r="L82" i="5"/>
  <c r="H82" i="5"/>
  <c r="D82" i="5"/>
  <c r="U88" i="5"/>
  <c r="E85" i="5"/>
  <c r="W85" i="5" s="1"/>
  <c r="X85" i="5" s="1"/>
  <c r="D84" i="5"/>
  <c r="U88" i="4"/>
  <c r="AF84" i="4"/>
  <c r="T84" i="4"/>
  <c r="D84" i="4"/>
  <c r="P84" i="4"/>
  <c r="L84" i="4"/>
  <c r="AB84" i="4"/>
  <c r="X85" i="4"/>
  <c r="Y86" i="4"/>
  <c r="I86" i="4"/>
  <c r="H85" i="4"/>
  <c r="Q87" i="4"/>
  <c r="AE85" i="4"/>
  <c r="AC87" i="4"/>
  <c r="M87" i="4"/>
  <c r="X84" i="4"/>
  <c r="E87" i="4"/>
  <c r="X79" i="2"/>
  <c r="L73" i="1"/>
  <c r="D73" i="1"/>
  <c r="P73" i="1"/>
  <c r="I75" i="1"/>
  <c r="S74" i="1"/>
  <c r="H74" i="1" s="1"/>
  <c r="E79" i="1"/>
  <c r="S90" i="9" l="1"/>
  <c r="T90" i="9" s="1"/>
  <c r="H89" i="9"/>
  <c r="D89" i="9"/>
  <c r="L89" i="9"/>
  <c r="Q92" i="9"/>
  <c r="D90" i="9"/>
  <c r="E91" i="9"/>
  <c r="H90" i="9"/>
  <c r="I91" i="9"/>
  <c r="M91" i="9"/>
  <c r="L90" i="9"/>
  <c r="P90" i="9"/>
  <c r="Q89" i="8"/>
  <c r="T85" i="8"/>
  <c r="L85" i="8"/>
  <c r="M89" i="8"/>
  <c r="I87" i="8"/>
  <c r="E87" i="8"/>
  <c r="S86" i="8"/>
  <c r="H85" i="8"/>
  <c r="D85" i="8"/>
  <c r="E86" i="7"/>
  <c r="M88" i="7"/>
  <c r="T84" i="7"/>
  <c r="P84" i="7"/>
  <c r="L84" i="7"/>
  <c r="H84" i="7"/>
  <c r="Q89" i="7"/>
  <c r="I86" i="7"/>
  <c r="S85" i="7"/>
  <c r="H85" i="7" s="1"/>
  <c r="Q88" i="5"/>
  <c r="T84" i="5"/>
  <c r="P84" i="5"/>
  <c r="L84" i="5"/>
  <c r="H84" i="5"/>
  <c r="U89" i="5"/>
  <c r="I87" i="5"/>
  <c r="M87" i="5"/>
  <c r="E86" i="5"/>
  <c r="W86" i="5" s="1"/>
  <c r="X86" i="5" s="1"/>
  <c r="U243" i="5"/>
  <c r="I87" i="4"/>
  <c r="Y87" i="4"/>
  <c r="AE87" i="4" s="1"/>
  <c r="M88" i="4"/>
  <c r="E88" i="4"/>
  <c r="AC88" i="4"/>
  <c r="AF85" i="4"/>
  <c r="T85" i="4"/>
  <c r="D85" i="4"/>
  <c r="L85" i="4"/>
  <c r="AB85" i="4"/>
  <c r="P85" i="4"/>
  <c r="AE86" i="4"/>
  <c r="Q88" i="4"/>
  <c r="U89" i="4"/>
  <c r="X80" i="2"/>
  <c r="D74" i="1"/>
  <c r="L74" i="1"/>
  <c r="P74" i="1"/>
  <c r="I76" i="1"/>
  <c r="S75" i="1"/>
  <c r="H75" i="1" s="1"/>
  <c r="E80" i="1"/>
  <c r="S91" i="9" l="1"/>
  <c r="T91" i="9"/>
  <c r="P91" i="9"/>
  <c r="H91" i="9"/>
  <c r="I92" i="9"/>
  <c r="M92" i="9"/>
  <c r="L91" i="9"/>
  <c r="E92" i="9"/>
  <c r="D91" i="9"/>
  <c r="S92" i="9"/>
  <c r="T92" i="9" s="1"/>
  <c r="Q93" i="9"/>
  <c r="H86" i="8"/>
  <c r="P86" i="8"/>
  <c r="Q90" i="8"/>
  <c r="M90" i="8"/>
  <c r="S87" i="8"/>
  <c r="P87" i="8" s="1"/>
  <c r="D86" i="8"/>
  <c r="T86" i="8"/>
  <c r="L86" i="8"/>
  <c r="I88" i="8"/>
  <c r="E88" i="8"/>
  <c r="Q90" i="7"/>
  <c r="M89" i="7"/>
  <c r="T85" i="7"/>
  <c r="P85" i="7"/>
  <c r="L85" i="7"/>
  <c r="E87" i="7"/>
  <c r="I87" i="7"/>
  <c r="S86" i="7"/>
  <c r="D86" i="7" s="1"/>
  <c r="D85" i="7"/>
  <c r="I88" i="5"/>
  <c r="U244" i="5"/>
  <c r="Q89" i="5"/>
  <c r="M88" i="5"/>
  <c r="U90" i="5"/>
  <c r="E87" i="5"/>
  <c r="W87" i="5" s="1"/>
  <c r="X87" i="5" s="1"/>
  <c r="AF87" i="4"/>
  <c r="T87" i="4"/>
  <c r="L87" i="4"/>
  <c r="AB87" i="4"/>
  <c r="P87" i="4"/>
  <c r="D87" i="4"/>
  <c r="M89" i="4"/>
  <c r="AC89" i="4"/>
  <c r="AF86" i="4"/>
  <c r="T86" i="4"/>
  <c r="AB86" i="4"/>
  <c r="L86" i="4"/>
  <c r="D86" i="4"/>
  <c r="P86" i="4"/>
  <c r="X86" i="4"/>
  <c r="U90" i="4"/>
  <c r="Y88" i="4"/>
  <c r="X87" i="4"/>
  <c r="Q89" i="4"/>
  <c r="H87" i="4"/>
  <c r="I88" i="4"/>
  <c r="AE88" i="4" s="1"/>
  <c r="E89" i="4"/>
  <c r="H86" i="4"/>
  <c r="X81" i="2"/>
  <c r="D75" i="1"/>
  <c r="L75" i="1"/>
  <c r="P75" i="1"/>
  <c r="I77" i="1"/>
  <c r="S76" i="1"/>
  <c r="H76" i="1" s="1"/>
  <c r="E81" i="1"/>
  <c r="P92" i="9" l="1"/>
  <c r="H92" i="9"/>
  <c r="I93" i="9"/>
  <c r="Q94" i="9"/>
  <c r="D92" i="9"/>
  <c r="E93" i="9"/>
  <c r="L92" i="9"/>
  <c r="M93" i="9"/>
  <c r="Q91" i="8"/>
  <c r="H87" i="8"/>
  <c r="I89" i="8"/>
  <c r="S88" i="8"/>
  <c r="D88" i="8" s="1"/>
  <c r="M91" i="8"/>
  <c r="E89" i="8"/>
  <c r="T87" i="8"/>
  <c r="L87" i="8"/>
  <c r="D87" i="8"/>
  <c r="H86" i="7"/>
  <c r="E88" i="7"/>
  <c r="M90" i="7"/>
  <c r="Q91" i="7"/>
  <c r="I88" i="7"/>
  <c r="S87" i="7"/>
  <c r="H87" i="7" s="1"/>
  <c r="T86" i="7"/>
  <c r="P86" i="7"/>
  <c r="L86" i="7"/>
  <c r="M89" i="5"/>
  <c r="T85" i="5"/>
  <c r="P85" i="5"/>
  <c r="L85" i="5"/>
  <c r="H85" i="5"/>
  <c r="D85" i="5"/>
  <c r="I89" i="5"/>
  <c r="U91" i="5"/>
  <c r="Q90" i="5"/>
  <c r="U245" i="5"/>
  <c r="E88" i="5"/>
  <c r="W88" i="5" s="1"/>
  <c r="X88" i="5" s="1"/>
  <c r="AF88" i="4"/>
  <c r="T88" i="4"/>
  <c r="L88" i="4"/>
  <c r="D88" i="4"/>
  <c r="AB88" i="4"/>
  <c r="P88" i="4"/>
  <c r="AE89" i="4"/>
  <c r="Q90" i="4"/>
  <c r="P89" i="4"/>
  <c r="AC90" i="4"/>
  <c r="AB89" i="4"/>
  <c r="M90" i="4"/>
  <c r="H88" i="4"/>
  <c r="I89" i="4"/>
  <c r="Y89" i="4"/>
  <c r="X88" i="4"/>
  <c r="U91" i="4"/>
  <c r="E90" i="4"/>
  <c r="D89" i="4"/>
  <c r="X82" i="2"/>
  <c r="P76" i="1"/>
  <c r="L76" i="1"/>
  <c r="D76" i="1"/>
  <c r="I78" i="1"/>
  <c r="S77" i="1"/>
  <c r="H77" i="1" s="1"/>
  <c r="E82" i="1"/>
  <c r="E94" i="9" l="1"/>
  <c r="Q95" i="9"/>
  <c r="I94" i="9"/>
  <c r="M94" i="9"/>
  <c r="S93" i="9"/>
  <c r="H88" i="8"/>
  <c r="P88" i="8"/>
  <c r="Q92" i="8"/>
  <c r="S89" i="8"/>
  <c r="P89" i="8" s="1"/>
  <c r="E90" i="8"/>
  <c r="M92" i="8"/>
  <c r="T88" i="8"/>
  <c r="L88" i="8"/>
  <c r="I90" i="8"/>
  <c r="Q92" i="7"/>
  <c r="M91" i="7"/>
  <c r="T87" i="7"/>
  <c r="P87" i="7"/>
  <c r="L87" i="7"/>
  <c r="I89" i="7"/>
  <c r="S88" i="7"/>
  <c r="H88" i="7" s="1"/>
  <c r="E89" i="7"/>
  <c r="D87" i="7"/>
  <c r="Q91" i="5"/>
  <c r="U92" i="5"/>
  <c r="E89" i="5"/>
  <c r="W89" i="5" s="1"/>
  <c r="X89" i="5" s="1"/>
  <c r="U246" i="5"/>
  <c r="I90" i="5"/>
  <c r="T86" i="5"/>
  <c r="P86" i="5"/>
  <c r="H86" i="5"/>
  <c r="L86" i="5"/>
  <c r="D86" i="5"/>
  <c r="M90" i="5"/>
  <c r="AF89" i="4"/>
  <c r="T89" i="4"/>
  <c r="U92" i="4"/>
  <c r="AC91" i="4"/>
  <c r="Q91" i="4"/>
  <c r="X89" i="4"/>
  <c r="Y90" i="4"/>
  <c r="H89" i="4"/>
  <c r="I90" i="4"/>
  <c r="E91" i="4"/>
  <c r="M91" i="4"/>
  <c r="L89" i="4"/>
  <c r="X83" i="2"/>
  <c r="D77" i="1"/>
  <c r="P77" i="1"/>
  <c r="L77" i="1"/>
  <c r="I79" i="1"/>
  <c r="S78" i="1"/>
  <c r="H78" i="1" s="1"/>
  <c r="E83" i="1"/>
  <c r="M95" i="9" l="1"/>
  <c r="T93" i="9"/>
  <c r="P93" i="9"/>
  <c r="D93" i="9"/>
  <c r="L93" i="9"/>
  <c r="I95" i="9"/>
  <c r="H93" i="9"/>
  <c r="Q96" i="9"/>
  <c r="S94" i="9"/>
  <c r="H94" i="9" s="1"/>
  <c r="E95" i="9"/>
  <c r="S95" i="9" s="1"/>
  <c r="P95" i="9" s="1"/>
  <c r="Q93" i="8"/>
  <c r="H89" i="8"/>
  <c r="D89" i="8"/>
  <c r="I91" i="8"/>
  <c r="S90" i="8"/>
  <c r="P90" i="8" s="1"/>
  <c r="M93" i="8"/>
  <c r="E91" i="8"/>
  <c r="T89" i="8"/>
  <c r="L89" i="8"/>
  <c r="E90" i="7"/>
  <c r="I90" i="7"/>
  <c r="S89" i="7"/>
  <c r="M92" i="7"/>
  <c r="T88" i="7"/>
  <c r="P88" i="7"/>
  <c r="L88" i="7"/>
  <c r="D88" i="7"/>
  <c r="Q93" i="7"/>
  <c r="U247" i="5"/>
  <c r="E90" i="5"/>
  <c r="W90" i="5" s="1"/>
  <c r="X90" i="5" s="1"/>
  <c r="T87" i="5"/>
  <c r="P87" i="5"/>
  <c r="H87" i="5"/>
  <c r="L87" i="5"/>
  <c r="D87" i="5"/>
  <c r="U93" i="5"/>
  <c r="I91" i="5"/>
  <c r="M91" i="5"/>
  <c r="Q92" i="5"/>
  <c r="AC92" i="4"/>
  <c r="Y91" i="4"/>
  <c r="Q92" i="4"/>
  <c r="M92" i="4"/>
  <c r="E92" i="4"/>
  <c r="AE90" i="4"/>
  <c r="U93" i="4"/>
  <c r="I91" i="4"/>
  <c r="AE91" i="4" s="1"/>
  <c r="X84" i="2"/>
  <c r="D78" i="1"/>
  <c r="P78" i="1"/>
  <c r="L78" i="1"/>
  <c r="I80" i="1"/>
  <c r="S79" i="1"/>
  <c r="H79" i="1"/>
  <c r="E84" i="1"/>
  <c r="T95" i="9" l="1"/>
  <c r="D94" i="9"/>
  <c r="I96" i="9"/>
  <c r="H95" i="9"/>
  <c r="Q97" i="9"/>
  <c r="E96" i="9"/>
  <c r="D95" i="9"/>
  <c r="L95" i="9"/>
  <c r="M96" i="9"/>
  <c r="T94" i="9"/>
  <c r="P94" i="9"/>
  <c r="L94" i="9"/>
  <c r="Q94" i="8"/>
  <c r="D90" i="8"/>
  <c r="T90" i="8"/>
  <c r="L90" i="8"/>
  <c r="S91" i="8"/>
  <c r="P91" i="8" s="1"/>
  <c r="H90" i="8"/>
  <c r="E92" i="8"/>
  <c r="M94" i="8"/>
  <c r="I92" i="8"/>
  <c r="M93" i="7"/>
  <c r="T89" i="7"/>
  <c r="P89" i="7"/>
  <c r="L89" i="7"/>
  <c r="I91" i="7"/>
  <c r="S90" i="7"/>
  <c r="H90" i="7" s="1"/>
  <c r="H89" i="7"/>
  <c r="Q94" i="7"/>
  <c r="E91" i="7"/>
  <c r="D89" i="7"/>
  <c r="T89" i="5"/>
  <c r="P89" i="5"/>
  <c r="L89" i="5"/>
  <c r="H89" i="5"/>
  <c r="D89" i="5"/>
  <c r="T88" i="5"/>
  <c r="P88" i="5"/>
  <c r="L88" i="5"/>
  <c r="H88" i="5"/>
  <c r="D88" i="5"/>
  <c r="Q93" i="5"/>
  <c r="I92" i="5"/>
  <c r="U248" i="5"/>
  <c r="M92" i="5"/>
  <c r="E91" i="5"/>
  <c r="W91" i="5" s="1"/>
  <c r="X91" i="5" s="1"/>
  <c r="U94" i="5"/>
  <c r="D90" i="5"/>
  <c r="AF91" i="4"/>
  <c r="T91" i="4"/>
  <c r="D91" i="4"/>
  <c r="AB91" i="4"/>
  <c r="P91" i="4"/>
  <c r="L91" i="4"/>
  <c r="Q93" i="4"/>
  <c r="AF90" i="4"/>
  <c r="T90" i="4"/>
  <c r="L90" i="4"/>
  <c r="AB90" i="4"/>
  <c r="D90" i="4"/>
  <c r="P90" i="4"/>
  <c r="M93" i="4"/>
  <c r="X91" i="4"/>
  <c r="Y92" i="4"/>
  <c r="E93" i="4"/>
  <c r="I92" i="4"/>
  <c r="AE92" i="4" s="1"/>
  <c r="H91" i="4"/>
  <c r="H90" i="4"/>
  <c r="X90" i="4"/>
  <c r="U94" i="4"/>
  <c r="AC93" i="4"/>
  <c r="X85" i="2"/>
  <c r="D79" i="1"/>
  <c r="L79" i="1"/>
  <c r="P79" i="1"/>
  <c r="I81" i="1"/>
  <c r="S80" i="1"/>
  <c r="H80" i="1"/>
  <c r="E85" i="1"/>
  <c r="M97" i="9" l="1"/>
  <c r="E97" i="9"/>
  <c r="Q98" i="9"/>
  <c r="S96" i="9"/>
  <c r="H96" i="9" s="1"/>
  <c r="I97" i="9"/>
  <c r="H91" i="8"/>
  <c r="D91" i="8"/>
  <c r="Q95" i="8"/>
  <c r="M95" i="8"/>
  <c r="T91" i="8"/>
  <c r="L91" i="8"/>
  <c r="I93" i="8"/>
  <c r="E93" i="8"/>
  <c r="S92" i="8"/>
  <c r="P92" i="8" s="1"/>
  <c r="T90" i="7"/>
  <c r="P90" i="7"/>
  <c r="L90" i="7"/>
  <c r="I92" i="7"/>
  <c r="S91" i="7"/>
  <c r="Q95" i="7"/>
  <c r="M94" i="7"/>
  <c r="D90" i="7"/>
  <c r="E92" i="7"/>
  <c r="E92" i="5"/>
  <c r="W92" i="5" s="1"/>
  <c r="X92" i="5" s="1"/>
  <c r="M93" i="5"/>
  <c r="U95" i="5"/>
  <c r="U249" i="5"/>
  <c r="I93" i="5"/>
  <c r="Q94" i="5"/>
  <c r="T90" i="5"/>
  <c r="P90" i="5"/>
  <c r="H90" i="5"/>
  <c r="L90" i="5"/>
  <c r="AF92" i="4"/>
  <c r="T92" i="4"/>
  <c r="L92" i="4"/>
  <c r="AB92" i="4"/>
  <c r="P92" i="4"/>
  <c r="D92" i="4"/>
  <c r="H92" i="4"/>
  <c r="I93" i="4"/>
  <c r="X92" i="4"/>
  <c r="Y93" i="4"/>
  <c r="M94" i="4"/>
  <c r="Q94" i="4"/>
  <c r="AC94" i="4"/>
  <c r="U95" i="4"/>
  <c r="E94" i="4"/>
  <c r="X86" i="2"/>
  <c r="L80" i="1"/>
  <c r="P80" i="1"/>
  <c r="D80" i="1"/>
  <c r="I82" i="1"/>
  <c r="S81" i="1"/>
  <c r="E86" i="1"/>
  <c r="E98" i="9" l="1"/>
  <c r="T96" i="9"/>
  <c r="P96" i="9"/>
  <c r="D96" i="9"/>
  <c r="I98" i="9"/>
  <c r="S97" i="9"/>
  <c r="M98" i="9"/>
  <c r="L97" i="9"/>
  <c r="Q99" i="9"/>
  <c r="S98" i="9"/>
  <c r="T98" i="9" s="1"/>
  <c r="L96" i="9"/>
  <c r="Q96" i="8"/>
  <c r="T92" i="8"/>
  <c r="L92" i="8"/>
  <c r="I94" i="8"/>
  <c r="S93" i="8"/>
  <c r="E94" i="8"/>
  <c r="D92" i="8"/>
  <c r="H92" i="8"/>
  <c r="M96" i="8"/>
  <c r="Q96" i="7"/>
  <c r="T91" i="7"/>
  <c r="P91" i="7"/>
  <c r="L91" i="7"/>
  <c r="M95" i="7"/>
  <c r="I93" i="7"/>
  <c r="S92" i="7"/>
  <c r="H91" i="7"/>
  <c r="E93" i="7"/>
  <c r="D91" i="7"/>
  <c r="Q95" i="5"/>
  <c r="M94" i="5"/>
  <c r="U250" i="5"/>
  <c r="I94" i="5"/>
  <c r="U96" i="5"/>
  <c r="E93" i="5"/>
  <c r="W93" i="5" s="1"/>
  <c r="X93" i="5" s="1"/>
  <c r="Y94" i="4"/>
  <c r="E95" i="4"/>
  <c r="M95" i="4"/>
  <c r="U96" i="4"/>
  <c r="AC95" i="4"/>
  <c r="H93" i="4"/>
  <c r="I94" i="4"/>
  <c r="Q95" i="4"/>
  <c r="AE93" i="4"/>
  <c r="X87" i="2"/>
  <c r="D81" i="1"/>
  <c r="P81" i="1"/>
  <c r="L81" i="1"/>
  <c r="H81" i="1"/>
  <c r="I83" i="1"/>
  <c r="S82" i="1"/>
  <c r="H82" i="1" s="1"/>
  <c r="E87" i="1"/>
  <c r="Q100" i="9" l="1"/>
  <c r="T97" i="9"/>
  <c r="P97" i="9"/>
  <c r="H97" i="9"/>
  <c r="I99" i="9"/>
  <c r="H98" i="9"/>
  <c r="D98" i="9"/>
  <c r="E99" i="9"/>
  <c r="L98" i="9"/>
  <c r="M99" i="9"/>
  <c r="P98" i="9"/>
  <c r="D97" i="9"/>
  <c r="H93" i="8"/>
  <c r="P93" i="8"/>
  <c r="Q97" i="8"/>
  <c r="D93" i="8"/>
  <c r="E95" i="8"/>
  <c r="S94" i="8"/>
  <c r="P94" i="8" s="1"/>
  <c r="I95" i="8"/>
  <c r="T93" i="8"/>
  <c r="L93" i="8"/>
  <c r="M97" i="8"/>
  <c r="T92" i="7"/>
  <c r="P92" i="7"/>
  <c r="L92" i="7"/>
  <c r="H92" i="7"/>
  <c r="M96" i="7"/>
  <c r="I94" i="7"/>
  <c r="S93" i="7"/>
  <c r="H93" i="7" s="1"/>
  <c r="D92" i="7"/>
  <c r="Q97" i="7"/>
  <c r="E94" i="7"/>
  <c r="T91" i="5"/>
  <c r="P91" i="5"/>
  <c r="H91" i="5"/>
  <c r="L91" i="5"/>
  <c r="D91" i="5"/>
  <c r="U251" i="5"/>
  <c r="U97" i="5"/>
  <c r="M95" i="5"/>
  <c r="I95" i="5"/>
  <c r="Q96" i="5"/>
  <c r="E94" i="5"/>
  <c r="W94" i="5" s="1"/>
  <c r="X94" i="5" s="1"/>
  <c r="U97" i="4"/>
  <c r="I95" i="4"/>
  <c r="AE95" i="4" s="1"/>
  <c r="AC96" i="4"/>
  <c r="M96" i="4"/>
  <c r="AF93" i="4"/>
  <c r="T93" i="4"/>
  <c r="P93" i="4"/>
  <c r="AB93" i="4"/>
  <c r="D93" i="4"/>
  <c r="L93" i="4"/>
  <c r="AE94" i="4"/>
  <c r="E96" i="4"/>
  <c r="Q96" i="4"/>
  <c r="X93" i="4"/>
  <c r="Y95" i="4"/>
  <c r="X94" i="4"/>
  <c r="X88" i="2"/>
  <c r="P82" i="1"/>
  <c r="L82" i="1"/>
  <c r="D82" i="1"/>
  <c r="I84" i="1"/>
  <c r="S83" i="1"/>
  <c r="H83" i="1" s="1"/>
  <c r="E88" i="1"/>
  <c r="M100" i="9" l="1"/>
  <c r="E100" i="9"/>
  <c r="Q101" i="9"/>
  <c r="S99" i="9"/>
  <c r="I100" i="9"/>
  <c r="H99" i="9"/>
  <c r="H94" i="8"/>
  <c r="Q98" i="8"/>
  <c r="M98" i="8"/>
  <c r="I96" i="8"/>
  <c r="S95" i="8"/>
  <c r="D95" i="8" s="1"/>
  <c r="E96" i="8"/>
  <c r="T94" i="8"/>
  <c r="L94" i="8"/>
  <c r="D94" i="8"/>
  <c r="I95" i="7"/>
  <c r="S94" i="7"/>
  <c r="D94" i="7" s="1"/>
  <c r="M97" i="7"/>
  <c r="T93" i="7"/>
  <c r="P93" i="7"/>
  <c r="L93" i="7"/>
  <c r="E95" i="7"/>
  <c r="D93" i="7"/>
  <c r="Q98" i="7"/>
  <c r="M96" i="5"/>
  <c r="T93" i="5"/>
  <c r="P93" i="5"/>
  <c r="L93" i="5"/>
  <c r="H93" i="5"/>
  <c r="D93" i="5"/>
  <c r="Q97" i="5"/>
  <c r="U98" i="5"/>
  <c r="E95" i="5"/>
  <c r="W95" i="5" s="1"/>
  <c r="X95" i="5" s="1"/>
  <c r="I96" i="5"/>
  <c r="U252" i="5"/>
  <c r="T92" i="5"/>
  <c r="P92" i="5"/>
  <c r="L92" i="5"/>
  <c r="H92" i="5"/>
  <c r="D92" i="5"/>
  <c r="AF95" i="4"/>
  <c r="T95" i="4"/>
  <c r="L95" i="4"/>
  <c r="D95" i="4"/>
  <c r="AB95" i="4"/>
  <c r="P95" i="4"/>
  <c r="M97" i="4"/>
  <c r="Q97" i="4"/>
  <c r="AE96" i="4"/>
  <c r="D96" i="4" s="1"/>
  <c r="AC97" i="4"/>
  <c r="H95" i="4"/>
  <c r="I96" i="4"/>
  <c r="X95" i="4"/>
  <c r="Y96" i="4"/>
  <c r="E97" i="4"/>
  <c r="AF94" i="4"/>
  <c r="T94" i="4"/>
  <c r="P94" i="4"/>
  <c r="D94" i="4"/>
  <c r="L94" i="4"/>
  <c r="AB94" i="4"/>
  <c r="H94" i="4"/>
  <c r="U98" i="4"/>
  <c r="X89" i="2"/>
  <c r="P83" i="1"/>
  <c r="D83" i="1"/>
  <c r="L83" i="1"/>
  <c r="I85" i="1"/>
  <c r="S84" i="1"/>
  <c r="H84" i="1" s="1"/>
  <c r="E89" i="1"/>
  <c r="T99" i="9" l="1"/>
  <c r="P99" i="9"/>
  <c r="E101" i="9"/>
  <c r="Q102" i="9"/>
  <c r="D99" i="9"/>
  <c r="L99" i="9"/>
  <c r="I101" i="9"/>
  <c r="S100" i="9"/>
  <c r="D100" i="9" s="1"/>
  <c r="M101" i="9"/>
  <c r="H95" i="8"/>
  <c r="P95" i="8"/>
  <c r="Q99" i="8"/>
  <c r="I97" i="8"/>
  <c r="E97" i="8"/>
  <c r="S96" i="8"/>
  <c r="T95" i="8"/>
  <c r="L95" i="8"/>
  <c r="M99" i="8"/>
  <c r="E96" i="7"/>
  <c r="M98" i="7"/>
  <c r="T94" i="7"/>
  <c r="P94" i="7"/>
  <c r="L94" i="7"/>
  <c r="I96" i="7"/>
  <c r="S95" i="7"/>
  <c r="H95" i="7" s="1"/>
  <c r="Q99" i="7"/>
  <c r="H94" i="7"/>
  <c r="U253" i="5"/>
  <c r="M97" i="5"/>
  <c r="Q98" i="5"/>
  <c r="I97" i="5"/>
  <c r="U99" i="5"/>
  <c r="E96" i="5"/>
  <c r="W96" i="5" s="1"/>
  <c r="X96" i="5" s="1"/>
  <c r="AB96" i="4"/>
  <c r="P96" i="4"/>
  <c r="M98" i="4"/>
  <c r="Y97" i="4"/>
  <c r="X96" i="4"/>
  <c r="AF96" i="4"/>
  <c r="T96" i="4"/>
  <c r="L96" i="4"/>
  <c r="E98" i="4"/>
  <c r="H96" i="4"/>
  <c r="I97" i="4"/>
  <c r="Q98" i="4"/>
  <c r="U99" i="4"/>
  <c r="AC98" i="4"/>
  <c r="X90" i="2"/>
  <c r="L84" i="1"/>
  <c r="D84" i="1"/>
  <c r="P84" i="1"/>
  <c r="I86" i="1"/>
  <c r="S85" i="1"/>
  <c r="H85" i="1" s="1"/>
  <c r="E90" i="1"/>
  <c r="I102" i="9" l="1"/>
  <c r="T100" i="9"/>
  <c r="P100" i="9"/>
  <c r="S101" i="9"/>
  <c r="E102" i="9"/>
  <c r="D101" i="9"/>
  <c r="L100" i="9"/>
  <c r="H100" i="9"/>
  <c r="Q103" i="9"/>
  <c r="M102" i="9"/>
  <c r="S102" i="9" s="1"/>
  <c r="T102" i="9" s="1"/>
  <c r="D96" i="8"/>
  <c r="P96" i="8"/>
  <c r="Q100" i="8"/>
  <c r="E98" i="8"/>
  <c r="T96" i="8"/>
  <c r="L96" i="8"/>
  <c r="I98" i="8"/>
  <c r="M100" i="8"/>
  <c r="S97" i="8"/>
  <c r="P97" i="8" s="1"/>
  <c r="H96" i="8"/>
  <c r="M99" i="7"/>
  <c r="T95" i="7"/>
  <c r="P95" i="7"/>
  <c r="L95" i="7"/>
  <c r="I97" i="7"/>
  <c r="S96" i="7"/>
  <c r="H96" i="7" s="1"/>
  <c r="D95" i="7"/>
  <c r="Q100" i="7"/>
  <c r="E97" i="7"/>
  <c r="T94" i="5"/>
  <c r="P94" i="5"/>
  <c r="H94" i="5"/>
  <c r="L94" i="5"/>
  <c r="D94" i="5"/>
  <c r="U100" i="5"/>
  <c r="I98" i="5"/>
  <c r="Q99" i="5"/>
  <c r="M98" i="5"/>
  <c r="E97" i="5"/>
  <c r="W97" i="5" s="1"/>
  <c r="X97" i="5" s="1"/>
  <c r="U254" i="5"/>
  <c r="E99" i="4"/>
  <c r="AC99" i="4"/>
  <c r="Y98" i="4"/>
  <c r="U100" i="4"/>
  <c r="AE97" i="4"/>
  <c r="M99" i="4"/>
  <c r="Q99" i="4"/>
  <c r="I98" i="4"/>
  <c r="X91" i="2"/>
  <c r="D85" i="1"/>
  <c r="P85" i="1"/>
  <c r="L85" i="1"/>
  <c r="I87" i="1"/>
  <c r="S86" i="1"/>
  <c r="H86" i="1" s="1"/>
  <c r="E91" i="1"/>
  <c r="P102" i="9" l="1"/>
  <c r="T101" i="9"/>
  <c r="P101" i="9"/>
  <c r="Q104" i="9"/>
  <c r="L101" i="9"/>
  <c r="H101" i="9"/>
  <c r="D102" i="9"/>
  <c r="E103" i="9"/>
  <c r="M103" i="9"/>
  <c r="L102" i="9"/>
  <c r="I103" i="9"/>
  <c r="H102" i="9"/>
  <c r="Q101" i="8"/>
  <c r="T97" i="8"/>
  <c r="L97" i="8"/>
  <c r="M101" i="8"/>
  <c r="I99" i="8"/>
  <c r="E99" i="8"/>
  <c r="S98" i="8"/>
  <c r="P98" i="8" s="1"/>
  <c r="H97" i="8"/>
  <c r="D97" i="8"/>
  <c r="Q101" i="7"/>
  <c r="T96" i="7"/>
  <c r="P96" i="7"/>
  <c r="L96" i="7"/>
  <c r="I98" i="7"/>
  <c r="S97" i="7"/>
  <c r="H97" i="7" s="1"/>
  <c r="E98" i="7"/>
  <c r="M100" i="7"/>
  <c r="D96" i="7"/>
  <c r="T95" i="5"/>
  <c r="P95" i="5"/>
  <c r="H95" i="5"/>
  <c r="L95" i="5"/>
  <c r="D95" i="5"/>
  <c r="E98" i="5"/>
  <c r="W98" i="5" s="1"/>
  <c r="X98" i="5" s="1"/>
  <c r="I99" i="5"/>
  <c r="U255" i="5"/>
  <c r="M99" i="5"/>
  <c r="Q100" i="5"/>
  <c r="U101" i="5"/>
  <c r="U101" i="4"/>
  <c r="AF97" i="4"/>
  <c r="T97" i="4"/>
  <c r="P97" i="4"/>
  <c r="AB97" i="4"/>
  <c r="D97" i="4"/>
  <c r="L97" i="4"/>
  <c r="Y99" i="4"/>
  <c r="M100" i="4"/>
  <c r="X97" i="4"/>
  <c r="Q100" i="4"/>
  <c r="H97" i="4"/>
  <c r="I99" i="4"/>
  <c r="AE99" i="4" s="1"/>
  <c r="AC100" i="4"/>
  <c r="AE98" i="4"/>
  <c r="E100" i="4"/>
  <c r="X92" i="2"/>
  <c r="L86" i="1"/>
  <c r="D86" i="1"/>
  <c r="P86" i="1"/>
  <c r="I88" i="1"/>
  <c r="S87" i="1"/>
  <c r="H87" i="1" s="1"/>
  <c r="E92" i="1"/>
  <c r="I104" i="9" l="1"/>
  <c r="E104" i="9"/>
  <c r="S103" i="9"/>
  <c r="L103" i="9" s="1"/>
  <c r="M104" i="9"/>
  <c r="Q105" i="9"/>
  <c r="Q102" i="8"/>
  <c r="T98" i="8"/>
  <c r="L98" i="8"/>
  <c r="D98" i="8"/>
  <c r="H98" i="8"/>
  <c r="S99" i="8"/>
  <c r="P99" i="8" s="1"/>
  <c r="E100" i="8"/>
  <c r="M102" i="8"/>
  <c r="I100" i="8"/>
  <c r="D97" i="7"/>
  <c r="E99" i="7"/>
  <c r="M101" i="7"/>
  <c r="T97" i="7"/>
  <c r="P97" i="7"/>
  <c r="L97" i="7"/>
  <c r="I99" i="7"/>
  <c r="S98" i="7"/>
  <c r="Q102" i="7"/>
  <c r="T97" i="5"/>
  <c r="P97" i="5"/>
  <c r="L97" i="5"/>
  <c r="H97" i="5"/>
  <c r="U102" i="5"/>
  <c r="D97" i="5"/>
  <c r="M100" i="5"/>
  <c r="I100" i="5"/>
  <c r="E99" i="5"/>
  <c r="W99" i="5" s="1"/>
  <c r="X99" i="5" s="1"/>
  <c r="T96" i="5"/>
  <c r="P96" i="5"/>
  <c r="L96" i="5"/>
  <c r="H96" i="5"/>
  <c r="D96" i="5"/>
  <c r="Q101" i="5"/>
  <c r="U256" i="5"/>
  <c r="AF99" i="4"/>
  <c r="T99" i="4"/>
  <c r="L99" i="4"/>
  <c r="P99" i="4"/>
  <c r="AB99" i="4"/>
  <c r="D99" i="4"/>
  <c r="AF98" i="4"/>
  <c r="T98" i="4"/>
  <c r="P98" i="4"/>
  <c r="D98" i="4"/>
  <c r="AB98" i="4"/>
  <c r="L98" i="4"/>
  <c r="E101" i="4"/>
  <c r="Y100" i="4"/>
  <c r="X99" i="4"/>
  <c r="X98" i="4"/>
  <c r="AC101" i="4"/>
  <c r="H98" i="4"/>
  <c r="Q101" i="4"/>
  <c r="AE100" i="4"/>
  <c r="P100" i="4" s="1"/>
  <c r="U102" i="4"/>
  <c r="M101" i="4"/>
  <c r="H99" i="4"/>
  <c r="I100" i="4"/>
  <c r="X93" i="2"/>
  <c r="L87" i="1"/>
  <c r="P87" i="1"/>
  <c r="D87" i="1"/>
  <c r="I89" i="1"/>
  <c r="S88" i="1"/>
  <c r="H88" i="1" s="1"/>
  <c r="E93" i="1"/>
  <c r="S104" i="9" l="1"/>
  <c r="T104" i="9" s="1"/>
  <c r="T103" i="9"/>
  <c r="P103" i="9"/>
  <c r="D103" i="9"/>
  <c r="Q106" i="9"/>
  <c r="E105" i="9"/>
  <c r="D104" i="9"/>
  <c r="P104" i="9"/>
  <c r="L104" i="9"/>
  <c r="M105" i="9"/>
  <c r="I105" i="9"/>
  <c r="H104" i="9"/>
  <c r="H103" i="9"/>
  <c r="H99" i="8"/>
  <c r="D99" i="8"/>
  <c r="Q103" i="8"/>
  <c r="M103" i="8"/>
  <c r="E101" i="8"/>
  <c r="T99" i="8"/>
  <c r="L99" i="8"/>
  <c r="S100" i="8"/>
  <c r="I101" i="8"/>
  <c r="T98" i="7"/>
  <c r="P98" i="7"/>
  <c r="L98" i="7"/>
  <c r="I100" i="7"/>
  <c r="S99" i="7"/>
  <c r="H99" i="7" s="1"/>
  <c r="H98" i="7"/>
  <c r="Q103" i="7"/>
  <c r="M102" i="7"/>
  <c r="D98" i="7"/>
  <c r="E100" i="7"/>
  <c r="T98" i="5"/>
  <c r="P98" i="5"/>
  <c r="L98" i="5"/>
  <c r="H98" i="5"/>
  <c r="Q102" i="5"/>
  <c r="E100" i="5"/>
  <c r="W100" i="5" s="1"/>
  <c r="X100" i="5" s="1"/>
  <c r="M101" i="5"/>
  <c r="U257" i="5"/>
  <c r="D98" i="5"/>
  <c r="I101" i="5"/>
  <c r="U103" i="5"/>
  <c r="H100" i="4"/>
  <c r="I101" i="4"/>
  <c r="AF100" i="4"/>
  <c r="T100" i="4"/>
  <c r="AC102" i="4"/>
  <c r="U103" i="4"/>
  <c r="L100" i="4"/>
  <c r="Y101" i="4"/>
  <c r="X100" i="4"/>
  <c r="AE101" i="4"/>
  <c r="L101" i="4" s="1"/>
  <c r="Q102" i="4"/>
  <c r="AB100" i="4"/>
  <c r="M102" i="4"/>
  <c r="D100" i="4"/>
  <c r="E102" i="4"/>
  <c r="X94" i="2"/>
  <c r="P88" i="1"/>
  <c r="L88" i="1"/>
  <c r="D88" i="1"/>
  <c r="I90" i="1"/>
  <c r="S89" i="1"/>
  <c r="H89" i="1" s="1"/>
  <c r="E94" i="1"/>
  <c r="S105" i="9" l="1"/>
  <c r="T105" i="9" s="1"/>
  <c r="P105" i="9"/>
  <c r="H105" i="9"/>
  <c r="I106" i="9"/>
  <c r="Q107" i="9"/>
  <c r="L105" i="9"/>
  <c r="M106" i="9"/>
  <c r="E106" i="9"/>
  <c r="D105" i="9"/>
  <c r="D100" i="8"/>
  <c r="P100" i="8"/>
  <c r="Q104" i="8"/>
  <c r="H100" i="8"/>
  <c r="T100" i="8"/>
  <c r="L100" i="8"/>
  <c r="E102" i="8"/>
  <c r="I102" i="8"/>
  <c r="M104" i="8"/>
  <c r="S101" i="8"/>
  <c r="Q104" i="7"/>
  <c r="T99" i="7"/>
  <c r="P99" i="7"/>
  <c r="L99" i="7"/>
  <c r="M103" i="7"/>
  <c r="I101" i="7"/>
  <c r="S100" i="7"/>
  <c r="D100" i="7" s="1"/>
  <c r="E101" i="7"/>
  <c r="D99" i="7"/>
  <c r="U258" i="5"/>
  <c r="T99" i="5"/>
  <c r="P99" i="5"/>
  <c r="L99" i="5"/>
  <c r="H99" i="5"/>
  <c r="M102" i="5"/>
  <c r="U104" i="5"/>
  <c r="E101" i="5"/>
  <c r="W101" i="5" s="1"/>
  <c r="X101" i="5" s="1"/>
  <c r="D99" i="5"/>
  <c r="Q103" i="5"/>
  <c r="I102" i="5"/>
  <c r="U104" i="4"/>
  <c r="AB101" i="4"/>
  <c r="X101" i="4"/>
  <c r="Y102" i="4"/>
  <c r="E103" i="4"/>
  <c r="D102" i="4"/>
  <c r="M103" i="4"/>
  <c r="L102" i="4"/>
  <c r="AC103" i="4"/>
  <c r="AB102" i="4"/>
  <c r="D101" i="4"/>
  <c r="AF101" i="4"/>
  <c r="T101" i="4"/>
  <c r="P101" i="4"/>
  <c r="H101" i="4"/>
  <c r="I102" i="4"/>
  <c r="AE102" i="4"/>
  <c r="Q103" i="4"/>
  <c r="P102" i="4"/>
  <c r="X95" i="2"/>
  <c r="D89" i="1"/>
  <c r="L89" i="1"/>
  <c r="P89" i="1"/>
  <c r="I91" i="1"/>
  <c r="S90" i="1"/>
  <c r="H90" i="1" s="1"/>
  <c r="E95" i="1"/>
  <c r="I107" i="9" l="1"/>
  <c r="E107" i="9"/>
  <c r="M107" i="9"/>
  <c r="S107" i="9" s="1"/>
  <c r="Q108" i="9"/>
  <c r="S106" i="9"/>
  <c r="D101" i="8"/>
  <c r="P101" i="8"/>
  <c r="Q105" i="8"/>
  <c r="H101" i="8"/>
  <c r="E103" i="8"/>
  <c r="M105" i="8"/>
  <c r="S102" i="8"/>
  <c r="P102" i="8" s="1"/>
  <c r="I103" i="8"/>
  <c r="T101" i="8"/>
  <c r="L101" i="8"/>
  <c r="T100" i="7"/>
  <c r="P100" i="7"/>
  <c r="L100" i="7"/>
  <c r="I102" i="7"/>
  <c r="S101" i="7"/>
  <c r="D101" i="7" s="1"/>
  <c r="H100" i="7"/>
  <c r="M104" i="7"/>
  <c r="E102" i="7"/>
  <c r="Q105" i="7"/>
  <c r="T100" i="5"/>
  <c r="P100" i="5"/>
  <c r="H100" i="5"/>
  <c r="L100" i="5"/>
  <c r="D100" i="5"/>
  <c r="U105" i="5"/>
  <c r="M103" i="5"/>
  <c r="I103" i="5"/>
  <c r="Q104" i="5"/>
  <c r="E102" i="5"/>
  <c r="W102" i="5" s="1"/>
  <c r="X102" i="5" s="1"/>
  <c r="U259" i="5"/>
  <c r="AF102" i="4"/>
  <c r="T102" i="4"/>
  <c r="E104" i="4"/>
  <c r="AC104" i="4"/>
  <c r="Q104" i="4"/>
  <c r="H102" i="4"/>
  <c r="I103" i="4"/>
  <c r="AE103" i="4" s="1"/>
  <c r="X102" i="4"/>
  <c r="Y103" i="4"/>
  <c r="M104" i="4"/>
  <c r="U105" i="4"/>
  <c r="X96" i="2"/>
  <c r="D90" i="1"/>
  <c r="L90" i="1"/>
  <c r="P90" i="1"/>
  <c r="I92" i="1"/>
  <c r="S91" i="1"/>
  <c r="H91" i="1" s="1"/>
  <c r="E96" i="1"/>
  <c r="L107" i="9" l="1"/>
  <c r="M108" i="9"/>
  <c r="T106" i="9"/>
  <c r="P106" i="9"/>
  <c r="D106" i="9"/>
  <c r="T107" i="9"/>
  <c r="L106" i="9"/>
  <c r="E108" i="9"/>
  <c r="D107" i="9"/>
  <c r="Q109" i="9"/>
  <c r="S108" i="9"/>
  <c r="T108" i="9" s="1"/>
  <c r="H106" i="9"/>
  <c r="P107" i="9"/>
  <c r="I108" i="9"/>
  <c r="H107" i="9"/>
  <c r="Q106" i="8"/>
  <c r="H102" i="8"/>
  <c r="T102" i="8"/>
  <c r="L102" i="8"/>
  <c r="I104" i="8"/>
  <c r="M106" i="8"/>
  <c r="S103" i="8"/>
  <c r="D103" i="8" s="1"/>
  <c r="E104" i="8"/>
  <c r="D102" i="8"/>
  <c r="M105" i="7"/>
  <c r="T101" i="7"/>
  <c r="P101" i="7"/>
  <c r="L101" i="7"/>
  <c r="I103" i="7"/>
  <c r="S102" i="7"/>
  <c r="H101" i="7"/>
  <c r="Q106" i="7"/>
  <c r="E103" i="7"/>
  <c r="U260" i="5"/>
  <c r="M104" i="5"/>
  <c r="U106" i="5"/>
  <c r="Q105" i="5"/>
  <c r="E103" i="5"/>
  <c r="W103" i="5" s="1"/>
  <c r="X103" i="5" s="1"/>
  <c r="I104" i="5"/>
  <c r="AF103" i="4"/>
  <c r="T103" i="4"/>
  <c r="L103" i="4"/>
  <c r="D103" i="4"/>
  <c r="AB103" i="4"/>
  <c r="P103" i="4"/>
  <c r="AC105" i="4"/>
  <c r="I104" i="4"/>
  <c r="H103" i="4"/>
  <c r="U106" i="4"/>
  <c r="E105" i="4"/>
  <c r="Q105" i="4"/>
  <c r="M105" i="4"/>
  <c r="X103" i="4"/>
  <c r="Y104" i="4"/>
  <c r="X97" i="2"/>
  <c r="P91" i="1"/>
  <c r="L91" i="1"/>
  <c r="D91" i="1"/>
  <c r="I93" i="1"/>
  <c r="S92" i="1"/>
  <c r="H92" i="1" s="1"/>
  <c r="E97" i="1"/>
  <c r="Q110" i="9" l="1"/>
  <c r="E109" i="9"/>
  <c r="D108" i="9"/>
  <c r="I109" i="9"/>
  <c r="H108" i="9"/>
  <c r="P108" i="9"/>
  <c r="M109" i="9"/>
  <c r="L108" i="9"/>
  <c r="H103" i="8"/>
  <c r="P103" i="8"/>
  <c r="Q107" i="8"/>
  <c r="M107" i="8"/>
  <c r="S104" i="8"/>
  <c r="H104" i="8" s="1"/>
  <c r="T103" i="8"/>
  <c r="L103" i="8"/>
  <c r="I105" i="8"/>
  <c r="E105" i="8"/>
  <c r="T102" i="7"/>
  <c r="P102" i="7"/>
  <c r="L102" i="7"/>
  <c r="H102" i="7"/>
  <c r="I104" i="7"/>
  <c r="S103" i="7"/>
  <c r="H103" i="7" s="1"/>
  <c r="Q107" i="7"/>
  <c r="E104" i="7"/>
  <c r="D102" i="7"/>
  <c r="M106" i="7"/>
  <c r="M105" i="5"/>
  <c r="E104" i="5"/>
  <c r="W104" i="5" s="1"/>
  <c r="X104" i="5" s="1"/>
  <c r="U107" i="5"/>
  <c r="Q106" i="5"/>
  <c r="T101" i="5"/>
  <c r="P101" i="5"/>
  <c r="H101" i="5"/>
  <c r="L101" i="5"/>
  <c r="D101" i="5"/>
  <c r="U261" i="5"/>
  <c r="I105" i="5"/>
  <c r="D103" i="5"/>
  <c r="U107" i="4"/>
  <c r="AC106" i="4"/>
  <c r="I105" i="4"/>
  <c r="M106" i="4"/>
  <c r="Q106" i="4"/>
  <c r="AE105" i="4"/>
  <c r="P105" i="4" s="1"/>
  <c r="X104" i="4"/>
  <c r="Y105" i="4"/>
  <c r="AE104" i="4"/>
  <c r="H104" i="4" s="1"/>
  <c r="E106" i="4"/>
  <c r="X98" i="2"/>
  <c r="D92" i="1"/>
  <c r="P92" i="1"/>
  <c r="L92" i="1"/>
  <c r="I94" i="1"/>
  <c r="S93" i="1"/>
  <c r="H93" i="1" s="1"/>
  <c r="E98" i="1"/>
  <c r="E110" i="9" l="1"/>
  <c r="I110" i="9"/>
  <c r="S109" i="9"/>
  <c r="M110" i="9"/>
  <c r="L109" i="9"/>
  <c r="Q111" i="9"/>
  <c r="S110" i="9"/>
  <c r="T110" i="9" s="1"/>
  <c r="D104" i="8"/>
  <c r="P104" i="8"/>
  <c r="Q108" i="8"/>
  <c r="T104" i="8"/>
  <c r="L104" i="8"/>
  <c r="I106" i="8"/>
  <c r="E106" i="8"/>
  <c r="S105" i="8"/>
  <c r="M108" i="8"/>
  <c r="D103" i="7"/>
  <c r="Q108" i="7"/>
  <c r="T103" i="7"/>
  <c r="P103" i="7"/>
  <c r="L103" i="7"/>
  <c r="I105" i="7"/>
  <c r="S104" i="7"/>
  <c r="D104" i="7" s="1"/>
  <c r="E105" i="7"/>
  <c r="M107" i="7"/>
  <c r="Q107" i="5"/>
  <c r="U108" i="5"/>
  <c r="T103" i="5"/>
  <c r="P103" i="5"/>
  <c r="H103" i="5"/>
  <c r="L103" i="5"/>
  <c r="T102" i="5"/>
  <c r="P102" i="5"/>
  <c r="L102" i="5"/>
  <c r="H102" i="5"/>
  <c r="D102" i="5"/>
  <c r="M106" i="5"/>
  <c r="I106" i="5"/>
  <c r="U262" i="5"/>
  <c r="E105" i="5"/>
  <c r="W105" i="5" s="1"/>
  <c r="X105" i="5" s="1"/>
  <c r="M107" i="4"/>
  <c r="H105" i="4"/>
  <c r="I106" i="4"/>
  <c r="AF105" i="4"/>
  <c r="T105" i="4"/>
  <c r="Q107" i="4"/>
  <c r="AE106" i="4"/>
  <c r="P106" i="4"/>
  <c r="D105" i="4"/>
  <c r="AB105" i="4"/>
  <c r="L105" i="4"/>
  <c r="E107" i="4"/>
  <c r="AC107" i="4"/>
  <c r="AF104" i="4"/>
  <c r="T104" i="4"/>
  <c r="D104" i="4"/>
  <c r="AB104" i="4"/>
  <c r="P104" i="4"/>
  <c r="L104" i="4"/>
  <c r="U108" i="4"/>
  <c r="Y106" i="4"/>
  <c r="X105" i="4"/>
  <c r="X99" i="2"/>
  <c r="D93" i="1"/>
  <c r="L93" i="1"/>
  <c r="P93" i="1"/>
  <c r="I95" i="1"/>
  <c r="S94" i="1"/>
  <c r="H94" i="1"/>
  <c r="E99" i="1"/>
  <c r="T109" i="9" l="1"/>
  <c r="P109" i="9"/>
  <c r="Q112" i="9"/>
  <c r="H110" i="9"/>
  <c r="I111" i="9"/>
  <c r="M111" i="9"/>
  <c r="L110" i="9"/>
  <c r="H109" i="9"/>
  <c r="P110" i="9"/>
  <c r="D109" i="9"/>
  <c r="E111" i="9"/>
  <c r="D110" i="9"/>
  <c r="H105" i="8"/>
  <c r="P105" i="8"/>
  <c r="Q109" i="8"/>
  <c r="M109" i="8"/>
  <c r="D105" i="8"/>
  <c r="I107" i="8"/>
  <c r="S106" i="8"/>
  <c r="P106" i="8" s="1"/>
  <c r="T105" i="8"/>
  <c r="L105" i="8"/>
  <c r="E107" i="8"/>
  <c r="M108" i="7"/>
  <c r="H104" i="7"/>
  <c r="T104" i="7"/>
  <c r="P104" i="7"/>
  <c r="L104" i="7"/>
  <c r="E106" i="7"/>
  <c r="Q109" i="7"/>
  <c r="I106" i="7"/>
  <c r="S105" i="7"/>
  <c r="D105" i="7" s="1"/>
  <c r="E106" i="5"/>
  <c r="W106" i="5" s="1"/>
  <c r="X106" i="5" s="1"/>
  <c r="U263" i="5"/>
  <c r="U109" i="5"/>
  <c r="I107" i="5"/>
  <c r="M107" i="5"/>
  <c r="Q108" i="5"/>
  <c r="AF106" i="4"/>
  <c r="T106" i="4"/>
  <c r="U109" i="4"/>
  <c r="Q108" i="4"/>
  <c r="AB106" i="4"/>
  <c r="H106" i="4"/>
  <c r="I107" i="4"/>
  <c r="AC108" i="4"/>
  <c r="D106" i="4"/>
  <c r="L106" i="4"/>
  <c r="Y107" i="4"/>
  <c r="X106" i="4"/>
  <c r="E108" i="4"/>
  <c r="M108" i="4"/>
  <c r="X100" i="2"/>
  <c r="D94" i="1"/>
  <c r="P94" i="1"/>
  <c r="L94" i="1"/>
  <c r="I96" i="1"/>
  <c r="S95" i="1"/>
  <c r="H95" i="1" s="1"/>
  <c r="E100" i="1"/>
  <c r="S111" i="9" l="1"/>
  <c r="T111" i="9" s="1"/>
  <c r="P111" i="9"/>
  <c r="H111" i="9"/>
  <c r="I112" i="9"/>
  <c r="Q113" i="9"/>
  <c r="L111" i="9"/>
  <c r="M112" i="9"/>
  <c r="E112" i="9"/>
  <c r="D111" i="9"/>
  <c r="D106" i="8"/>
  <c r="Q110" i="8"/>
  <c r="H106" i="8"/>
  <c r="I108" i="8"/>
  <c r="E108" i="8"/>
  <c r="S107" i="8"/>
  <c r="P107" i="8" s="1"/>
  <c r="T106" i="8"/>
  <c r="L106" i="8"/>
  <c r="M110" i="8"/>
  <c r="H105" i="7"/>
  <c r="Q110" i="7"/>
  <c r="I107" i="7"/>
  <c r="S106" i="7"/>
  <c r="D106" i="7" s="1"/>
  <c r="E107" i="7"/>
  <c r="T105" i="7"/>
  <c r="P105" i="7"/>
  <c r="L105" i="7"/>
  <c r="M109" i="7"/>
  <c r="T105" i="5"/>
  <c r="P105" i="5"/>
  <c r="L105" i="5"/>
  <c r="H105" i="5"/>
  <c r="M108" i="5"/>
  <c r="I108" i="5"/>
  <c r="T104" i="5"/>
  <c r="P104" i="5"/>
  <c r="L104" i="5"/>
  <c r="H104" i="5"/>
  <c r="D104" i="5"/>
  <c r="D106" i="5"/>
  <c r="Q109" i="5"/>
  <c r="D105" i="5"/>
  <c r="U110" i="5"/>
  <c r="U264" i="5"/>
  <c r="E107" i="5"/>
  <c r="W107" i="5" s="1"/>
  <c r="X107" i="5" s="1"/>
  <c r="I108" i="4"/>
  <c r="AC109" i="4"/>
  <c r="M109" i="4"/>
  <c r="AE107" i="4"/>
  <c r="Y108" i="4"/>
  <c r="X107" i="4"/>
  <c r="Q109" i="4"/>
  <c r="E109" i="4"/>
  <c r="U110" i="4"/>
  <c r="X101" i="2"/>
  <c r="D95" i="1"/>
  <c r="L95" i="1"/>
  <c r="P95" i="1"/>
  <c r="I97" i="1"/>
  <c r="S96" i="1"/>
  <c r="H96" i="1" s="1"/>
  <c r="E101" i="1"/>
  <c r="Q114" i="9" l="1"/>
  <c r="E113" i="9"/>
  <c r="I113" i="9"/>
  <c r="M113" i="9"/>
  <c r="S112" i="9"/>
  <c r="L112" i="9" s="1"/>
  <c r="Q111" i="8"/>
  <c r="E109" i="8"/>
  <c r="M111" i="8"/>
  <c r="D107" i="8"/>
  <c r="S108" i="8"/>
  <c r="H107" i="8"/>
  <c r="I109" i="8"/>
  <c r="T107" i="8"/>
  <c r="L107" i="8"/>
  <c r="T106" i="7"/>
  <c r="P106" i="7"/>
  <c r="L106" i="7"/>
  <c r="I108" i="7"/>
  <c r="S107" i="7"/>
  <c r="D107" i="7" s="1"/>
  <c r="H106" i="7"/>
  <c r="E108" i="7"/>
  <c r="M110" i="7"/>
  <c r="Q111" i="7"/>
  <c r="U111" i="5"/>
  <c r="U265" i="5"/>
  <c r="T106" i="5"/>
  <c r="P106" i="5"/>
  <c r="L106" i="5"/>
  <c r="H106" i="5"/>
  <c r="E108" i="5"/>
  <c r="W108" i="5" s="1"/>
  <c r="X108" i="5" s="1"/>
  <c r="I109" i="5"/>
  <c r="M109" i="5"/>
  <c r="Q110" i="5"/>
  <c r="Q110" i="4"/>
  <c r="AF107" i="4"/>
  <c r="T107" i="4"/>
  <c r="P107" i="4"/>
  <c r="D107" i="4"/>
  <c r="L107" i="4"/>
  <c r="AB107" i="4"/>
  <c r="Y109" i="4"/>
  <c r="X108" i="4"/>
  <c r="M110" i="4"/>
  <c r="AE108" i="4"/>
  <c r="U111" i="4"/>
  <c r="AC110" i="4"/>
  <c r="H108" i="4"/>
  <c r="I109" i="4"/>
  <c r="E110" i="4"/>
  <c r="H107" i="4"/>
  <c r="X102" i="2"/>
  <c r="L96" i="1"/>
  <c r="P96" i="1"/>
  <c r="D96" i="1"/>
  <c r="I98" i="1"/>
  <c r="S97" i="1"/>
  <c r="H97" i="1" s="1"/>
  <c r="E102" i="1"/>
  <c r="H112" i="9" l="1"/>
  <c r="D112" i="9"/>
  <c r="E114" i="9"/>
  <c r="M114" i="9"/>
  <c r="S113" i="9"/>
  <c r="L113" i="9" s="1"/>
  <c r="T112" i="9"/>
  <c r="P112" i="9"/>
  <c r="Q115" i="9"/>
  <c r="I114" i="9"/>
  <c r="S114" i="9" s="1"/>
  <c r="H108" i="8"/>
  <c r="P108" i="8"/>
  <c r="Q112" i="8"/>
  <c r="M112" i="8"/>
  <c r="T108" i="8"/>
  <c r="L108" i="8"/>
  <c r="I110" i="8"/>
  <c r="E110" i="8"/>
  <c r="S109" i="8"/>
  <c r="D108" i="8"/>
  <c r="E109" i="7"/>
  <c r="T107" i="7"/>
  <c r="P107" i="7"/>
  <c r="L107" i="7"/>
  <c r="H107" i="7"/>
  <c r="I109" i="7"/>
  <c r="S108" i="7"/>
  <c r="H108" i="7" s="1"/>
  <c r="Q112" i="7"/>
  <c r="M111" i="7"/>
  <c r="E109" i="5"/>
  <c r="W109" i="5" s="1"/>
  <c r="X109" i="5" s="1"/>
  <c r="U266" i="5"/>
  <c r="M110" i="5"/>
  <c r="U112" i="5"/>
  <c r="I110" i="5"/>
  <c r="Q111" i="5"/>
  <c r="M111" i="4"/>
  <c r="X109" i="4"/>
  <c r="Y110" i="4"/>
  <c r="I110" i="4"/>
  <c r="H109" i="4"/>
  <c r="E111" i="4"/>
  <c r="AC111" i="4"/>
  <c r="U112" i="4"/>
  <c r="AE109" i="4"/>
  <c r="AF108" i="4"/>
  <c r="T108" i="4"/>
  <c r="D108" i="4"/>
  <c r="P108" i="4"/>
  <c r="AB108" i="4"/>
  <c r="L108" i="4"/>
  <c r="Q111" i="4"/>
  <c r="AE110" i="4"/>
  <c r="AB110" i="4" s="1"/>
  <c r="X103" i="2"/>
  <c r="D97" i="1"/>
  <c r="L97" i="1"/>
  <c r="P97" i="1"/>
  <c r="I99" i="1"/>
  <c r="S98" i="1"/>
  <c r="H98" i="1" s="1"/>
  <c r="E103" i="1"/>
  <c r="T114" i="9" l="1"/>
  <c r="P114" i="9"/>
  <c r="M115" i="9"/>
  <c r="L114" i="9"/>
  <c r="D113" i="9"/>
  <c r="E115" i="9"/>
  <c r="D114" i="9"/>
  <c r="Q116" i="9"/>
  <c r="I115" i="9"/>
  <c r="H114" i="9"/>
  <c r="T113" i="9"/>
  <c r="P113" i="9"/>
  <c r="H113" i="9"/>
  <c r="D109" i="8"/>
  <c r="P109" i="8"/>
  <c r="Q113" i="8"/>
  <c r="I111" i="8"/>
  <c r="E111" i="8"/>
  <c r="H109" i="8"/>
  <c r="S110" i="8"/>
  <c r="T109" i="8"/>
  <c r="L109" i="8"/>
  <c r="M113" i="8"/>
  <c r="Q113" i="7"/>
  <c r="T108" i="7"/>
  <c r="P108" i="7"/>
  <c r="L108" i="7"/>
  <c r="I110" i="7"/>
  <c r="S109" i="7"/>
  <c r="D108" i="7"/>
  <c r="M112" i="7"/>
  <c r="E110" i="7"/>
  <c r="I111" i="5"/>
  <c r="U113" i="5"/>
  <c r="D109" i="5"/>
  <c r="M111" i="5"/>
  <c r="E110" i="5"/>
  <c r="W110" i="5" s="1"/>
  <c r="X110" i="5" s="1"/>
  <c r="T107" i="5"/>
  <c r="P107" i="5"/>
  <c r="L107" i="5"/>
  <c r="H107" i="5"/>
  <c r="D107" i="5"/>
  <c r="U267" i="5"/>
  <c r="Q112" i="5"/>
  <c r="AC112" i="4"/>
  <c r="E112" i="4"/>
  <c r="I111" i="4"/>
  <c r="H110" i="4"/>
  <c r="AF110" i="4"/>
  <c r="T110" i="4"/>
  <c r="Y111" i="4"/>
  <c r="AE111" i="4" s="1"/>
  <c r="X110" i="4"/>
  <c r="D110" i="4"/>
  <c r="M112" i="4"/>
  <c r="U113" i="4"/>
  <c r="P110" i="4"/>
  <c r="Q112" i="4"/>
  <c r="AF109" i="4"/>
  <c r="T109" i="4"/>
  <c r="P109" i="4"/>
  <c r="L109" i="4"/>
  <c r="AB109" i="4"/>
  <c r="D109" i="4"/>
  <c r="L110" i="4"/>
  <c r="X104" i="2"/>
  <c r="D98" i="1"/>
  <c r="L98" i="1"/>
  <c r="P98" i="1"/>
  <c r="I100" i="1"/>
  <c r="S99" i="1"/>
  <c r="H99" i="1" s="1"/>
  <c r="E104" i="1"/>
  <c r="I116" i="9" l="1"/>
  <c r="E116" i="9"/>
  <c r="Q117" i="9"/>
  <c r="S115" i="9"/>
  <c r="D115" i="9" s="1"/>
  <c r="M116" i="9"/>
  <c r="H110" i="8"/>
  <c r="P110" i="8"/>
  <c r="Q114" i="8"/>
  <c r="E112" i="8"/>
  <c r="D110" i="8"/>
  <c r="I112" i="8"/>
  <c r="S111" i="8"/>
  <c r="T110" i="8"/>
  <c r="L110" i="8"/>
  <c r="M114" i="8"/>
  <c r="M113" i="7"/>
  <c r="T109" i="7"/>
  <c r="P109" i="7"/>
  <c r="L109" i="7"/>
  <c r="H109" i="7"/>
  <c r="E111" i="7"/>
  <c r="I111" i="7"/>
  <c r="S110" i="7"/>
  <c r="H110" i="7" s="1"/>
  <c r="D109" i="7"/>
  <c r="Q114" i="7"/>
  <c r="E111" i="5"/>
  <c r="W111" i="5" s="1"/>
  <c r="X111" i="5" s="1"/>
  <c r="Q113" i="5"/>
  <c r="U268" i="5"/>
  <c r="T108" i="5"/>
  <c r="P108" i="5"/>
  <c r="L108" i="5"/>
  <c r="H108" i="5"/>
  <c r="D108" i="5"/>
  <c r="T109" i="5"/>
  <c r="P109" i="5"/>
  <c r="L109" i="5"/>
  <c r="H109" i="5"/>
  <c r="I112" i="5"/>
  <c r="M112" i="5"/>
  <c r="U114" i="5"/>
  <c r="AF111" i="4"/>
  <c r="T111" i="4"/>
  <c r="L111" i="4"/>
  <c r="AB111" i="4"/>
  <c r="D111" i="4"/>
  <c r="P111" i="4"/>
  <c r="M113" i="4"/>
  <c r="X111" i="4"/>
  <c r="Y112" i="4"/>
  <c r="Q113" i="4"/>
  <c r="AE112" i="4"/>
  <c r="I112" i="4"/>
  <c r="H111" i="4"/>
  <c r="E113" i="4"/>
  <c r="U114" i="4"/>
  <c r="AC113" i="4"/>
  <c r="X105" i="2"/>
  <c r="P99" i="1"/>
  <c r="L99" i="1"/>
  <c r="D99" i="1"/>
  <c r="I101" i="1"/>
  <c r="S100" i="1"/>
  <c r="H100" i="1" s="1"/>
  <c r="E105" i="1"/>
  <c r="L115" i="9" l="1"/>
  <c r="M117" i="9"/>
  <c r="Q118" i="9"/>
  <c r="E117" i="9"/>
  <c r="T115" i="9"/>
  <c r="P115" i="9"/>
  <c r="I117" i="9"/>
  <c r="S116" i="9"/>
  <c r="H115" i="9"/>
  <c r="H111" i="8"/>
  <c r="P111" i="8"/>
  <c r="Q115" i="8"/>
  <c r="T111" i="8"/>
  <c r="L111" i="8"/>
  <c r="M115" i="8"/>
  <c r="I113" i="8"/>
  <c r="D111" i="8"/>
  <c r="S112" i="8"/>
  <c r="P112" i="8" s="1"/>
  <c r="E113" i="8"/>
  <c r="I112" i="7"/>
  <c r="S111" i="7"/>
  <c r="D111" i="7" s="1"/>
  <c r="Q115" i="7"/>
  <c r="E112" i="7"/>
  <c r="M114" i="7"/>
  <c r="T110" i="7"/>
  <c r="P110" i="7"/>
  <c r="L110" i="7"/>
  <c r="D110" i="7"/>
  <c r="U115" i="5"/>
  <c r="I113" i="5"/>
  <c r="M113" i="5"/>
  <c r="Q114" i="5"/>
  <c r="U269" i="5"/>
  <c r="E112" i="5"/>
  <c r="W112" i="5" s="1"/>
  <c r="X112" i="5" s="1"/>
  <c r="AF112" i="4"/>
  <c r="T112" i="4"/>
  <c r="M114" i="4"/>
  <c r="Q114" i="4"/>
  <c r="AC114" i="4"/>
  <c r="U115" i="4"/>
  <c r="AB112" i="4"/>
  <c r="Y113" i="4"/>
  <c r="X112" i="4"/>
  <c r="L112" i="4"/>
  <c r="D112" i="4"/>
  <c r="E114" i="4"/>
  <c r="H112" i="4"/>
  <c r="I113" i="4"/>
  <c r="P112" i="4"/>
  <c r="X106" i="2"/>
  <c r="D100" i="1"/>
  <c r="P100" i="1"/>
  <c r="L100" i="1"/>
  <c r="I102" i="1"/>
  <c r="S101" i="1"/>
  <c r="H101" i="1"/>
  <c r="E106" i="1"/>
  <c r="S117" i="9" l="1"/>
  <c r="T117" i="9" s="1"/>
  <c r="T116" i="9"/>
  <c r="P116" i="9"/>
  <c r="Q119" i="9"/>
  <c r="I118" i="9"/>
  <c r="D116" i="9"/>
  <c r="L116" i="9"/>
  <c r="H116" i="9"/>
  <c r="E118" i="9"/>
  <c r="M118" i="9"/>
  <c r="D112" i="8"/>
  <c r="Q116" i="8"/>
  <c r="S113" i="8"/>
  <c r="P113" i="8" s="1"/>
  <c r="M116" i="8"/>
  <c r="T112" i="8"/>
  <c r="L112" i="8"/>
  <c r="H112" i="8"/>
  <c r="I114" i="8"/>
  <c r="E114" i="8"/>
  <c r="E113" i="7"/>
  <c r="Q116" i="7"/>
  <c r="M115" i="7"/>
  <c r="T111" i="7"/>
  <c r="P111" i="7"/>
  <c r="L111" i="7"/>
  <c r="H111" i="7"/>
  <c r="I113" i="7"/>
  <c r="S112" i="7"/>
  <c r="H112" i="7" s="1"/>
  <c r="T110" i="5"/>
  <c r="P110" i="5"/>
  <c r="H110" i="5"/>
  <c r="L110" i="5"/>
  <c r="D110" i="5"/>
  <c r="E113" i="5"/>
  <c r="W113" i="5" s="1"/>
  <c r="X113" i="5" s="1"/>
  <c r="U270" i="5"/>
  <c r="Q115" i="5"/>
  <c r="M114" i="5"/>
  <c r="I114" i="5"/>
  <c r="U116" i="5"/>
  <c r="AC115" i="4"/>
  <c r="I114" i="4"/>
  <c r="AE113" i="4"/>
  <c r="H113" i="4" s="1"/>
  <c r="E115" i="4"/>
  <c r="Q115" i="4"/>
  <c r="AE114" i="4"/>
  <c r="L114" i="4" s="1"/>
  <c r="M115" i="4"/>
  <c r="U116" i="4"/>
  <c r="Y114" i="4"/>
  <c r="X107" i="2"/>
  <c r="D101" i="1"/>
  <c r="L101" i="1"/>
  <c r="P101" i="1"/>
  <c r="I103" i="1"/>
  <c r="S102" i="1"/>
  <c r="H102" i="1" s="1"/>
  <c r="E107" i="1"/>
  <c r="D117" i="9" l="1"/>
  <c r="H117" i="9"/>
  <c r="P117" i="9"/>
  <c r="L117" i="9"/>
  <c r="S118" i="9"/>
  <c r="T118" i="9" s="1"/>
  <c r="M119" i="9"/>
  <c r="H118" i="9"/>
  <c r="I119" i="9"/>
  <c r="D118" i="9"/>
  <c r="E119" i="9"/>
  <c r="Q120" i="9"/>
  <c r="D113" i="8"/>
  <c r="Q117" i="8"/>
  <c r="H113" i="8"/>
  <c r="E115" i="8"/>
  <c r="I115" i="8"/>
  <c r="T113" i="8"/>
  <c r="L113" i="8"/>
  <c r="M117" i="8"/>
  <c r="S114" i="8"/>
  <c r="Q117" i="7"/>
  <c r="T112" i="7"/>
  <c r="P112" i="7"/>
  <c r="L112" i="7"/>
  <c r="E114" i="7"/>
  <c r="M116" i="7"/>
  <c r="I114" i="7"/>
  <c r="S113" i="7"/>
  <c r="H113" i="7" s="1"/>
  <c r="D112" i="7"/>
  <c r="T112" i="5"/>
  <c r="P112" i="5"/>
  <c r="H112" i="5"/>
  <c r="L112" i="5"/>
  <c r="U271" i="5"/>
  <c r="E114" i="5"/>
  <c r="W114" i="5" s="1"/>
  <c r="X114" i="5" s="1"/>
  <c r="D113" i="5"/>
  <c r="T111" i="5"/>
  <c r="P111" i="5"/>
  <c r="H111" i="5"/>
  <c r="L111" i="5"/>
  <c r="D111" i="5"/>
  <c r="I115" i="5"/>
  <c r="Q116" i="5"/>
  <c r="D112" i="5"/>
  <c r="U117" i="5"/>
  <c r="Q116" i="4"/>
  <c r="D114" i="4"/>
  <c r="E116" i="4"/>
  <c r="I115" i="4"/>
  <c r="H114" i="4"/>
  <c r="AF114" i="4"/>
  <c r="T114" i="4"/>
  <c r="U117" i="4"/>
  <c r="AB114" i="4"/>
  <c r="M116" i="4"/>
  <c r="P114" i="4"/>
  <c r="AF113" i="4"/>
  <c r="T113" i="4"/>
  <c r="L113" i="4"/>
  <c r="D113" i="4"/>
  <c r="AB113" i="4"/>
  <c r="P113" i="4"/>
  <c r="X114" i="4"/>
  <c r="Y115" i="4"/>
  <c r="X113" i="4"/>
  <c r="AC116" i="4"/>
  <c r="X108" i="2"/>
  <c r="D102" i="1"/>
  <c r="L102" i="1"/>
  <c r="P102" i="1"/>
  <c r="I104" i="1"/>
  <c r="S103" i="1"/>
  <c r="H103" i="1"/>
  <c r="E108" i="1"/>
  <c r="L118" i="9" l="1"/>
  <c r="P118" i="9"/>
  <c r="S119" i="9"/>
  <c r="T119" i="9"/>
  <c r="P119" i="9"/>
  <c r="H119" i="9"/>
  <c r="I120" i="9"/>
  <c r="Q121" i="9"/>
  <c r="D119" i="9"/>
  <c r="E120" i="9"/>
  <c r="M120" i="9"/>
  <c r="L119" i="9"/>
  <c r="H114" i="8"/>
  <c r="P114" i="8"/>
  <c r="Q118" i="8"/>
  <c r="S115" i="8"/>
  <c r="P115" i="8" s="1"/>
  <c r="I116" i="8"/>
  <c r="T114" i="8"/>
  <c r="L114" i="8"/>
  <c r="D114" i="8"/>
  <c r="M118" i="8"/>
  <c r="E116" i="8"/>
  <c r="D113" i="7"/>
  <c r="I115" i="7"/>
  <c r="S114" i="7"/>
  <c r="D114" i="7" s="1"/>
  <c r="M117" i="7"/>
  <c r="Q118" i="7"/>
  <c r="E115" i="7"/>
  <c r="T113" i="7"/>
  <c r="P113" i="7"/>
  <c r="L113" i="7"/>
  <c r="U118" i="5"/>
  <c r="M116" i="5"/>
  <c r="U272" i="5"/>
  <c r="Q117" i="5"/>
  <c r="T113" i="5"/>
  <c r="P113" i="5"/>
  <c r="H113" i="5"/>
  <c r="L113" i="5"/>
  <c r="E115" i="5"/>
  <c r="W115" i="5" s="1"/>
  <c r="X115" i="5" s="1"/>
  <c r="I116" i="5"/>
  <c r="U118" i="4"/>
  <c r="I116" i="4"/>
  <c r="E117" i="4"/>
  <c r="M117" i="4"/>
  <c r="AE115" i="4"/>
  <c r="H115" i="4" s="1"/>
  <c r="Y116" i="4"/>
  <c r="X115" i="4"/>
  <c r="AC117" i="4"/>
  <c r="Q117" i="4"/>
  <c r="X109" i="2"/>
  <c r="D103" i="1"/>
  <c r="L103" i="1"/>
  <c r="P103" i="1"/>
  <c r="I105" i="1"/>
  <c r="S104" i="1"/>
  <c r="H104" i="1" s="1"/>
  <c r="E109" i="1"/>
  <c r="E121" i="9" l="1"/>
  <c r="M121" i="9"/>
  <c r="Q122" i="9"/>
  <c r="I121" i="9"/>
  <c r="S120" i="9"/>
  <c r="Q119" i="8"/>
  <c r="D115" i="8"/>
  <c r="H115" i="8"/>
  <c r="M119" i="8"/>
  <c r="I117" i="8"/>
  <c r="E117" i="8"/>
  <c r="S116" i="8"/>
  <c r="P116" i="8" s="1"/>
  <c r="T115" i="8"/>
  <c r="L115" i="8"/>
  <c r="M118" i="7"/>
  <c r="T114" i="7"/>
  <c r="P114" i="7"/>
  <c r="L114" i="7"/>
  <c r="Q119" i="7"/>
  <c r="H114" i="7"/>
  <c r="E116" i="7"/>
  <c r="I116" i="7"/>
  <c r="S115" i="7"/>
  <c r="H115" i="7" s="1"/>
  <c r="T114" i="5"/>
  <c r="P114" i="5"/>
  <c r="L114" i="5"/>
  <c r="H114" i="5"/>
  <c r="D114" i="5"/>
  <c r="Q118" i="5"/>
  <c r="U273" i="5"/>
  <c r="I117" i="5"/>
  <c r="M117" i="5"/>
  <c r="E116" i="5"/>
  <c r="W116" i="5" s="1"/>
  <c r="X116" i="5" s="1"/>
  <c r="U119" i="5"/>
  <c r="M118" i="4"/>
  <c r="Y117" i="4"/>
  <c r="E118" i="4"/>
  <c r="I117" i="4"/>
  <c r="AB117" i="4"/>
  <c r="AC118" i="4"/>
  <c r="AE116" i="4"/>
  <c r="H116" i="4" s="1"/>
  <c r="AF115" i="4"/>
  <c r="T115" i="4"/>
  <c r="L115" i="4"/>
  <c r="P115" i="4"/>
  <c r="AB115" i="4"/>
  <c r="D115" i="4"/>
  <c r="Q118" i="4"/>
  <c r="AE117" i="4"/>
  <c r="P117" i="4" s="1"/>
  <c r="U119" i="4"/>
  <c r="X110" i="2"/>
  <c r="D104" i="1"/>
  <c r="L104" i="1"/>
  <c r="P104" i="1"/>
  <c r="I106" i="1"/>
  <c r="S105" i="1"/>
  <c r="H105" i="1"/>
  <c r="E110" i="1"/>
  <c r="T120" i="9" l="1"/>
  <c r="P120" i="9"/>
  <c r="H120" i="9"/>
  <c r="L120" i="9"/>
  <c r="I122" i="9"/>
  <c r="S121" i="9"/>
  <c r="L121" i="9" s="1"/>
  <c r="M122" i="9"/>
  <c r="Q123" i="9"/>
  <c r="D120" i="9"/>
  <c r="E122" i="9"/>
  <c r="S122" i="9" s="1"/>
  <c r="T122" i="9" s="1"/>
  <c r="Q120" i="8"/>
  <c r="I118" i="8"/>
  <c r="S117" i="8"/>
  <c r="P117" i="8" s="1"/>
  <c r="H116" i="8"/>
  <c r="E118" i="8"/>
  <c r="M120" i="8"/>
  <c r="T116" i="8"/>
  <c r="L116" i="8"/>
  <c r="D116" i="8"/>
  <c r="D115" i="7"/>
  <c r="T115" i="7"/>
  <c r="P115" i="7"/>
  <c r="L115" i="7"/>
  <c r="M119" i="7"/>
  <c r="E117" i="7"/>
  <c r="Q120" i="7"/>
  <c r="I117" i="7"/>
  <c r="S116" i="7"/>
  <c r="D116" i="7" s="1"/>
  <c r="I118" i="5"/>
  <c r="Q119" i="5"/>
  <c r="M118" i="5"/>
  <c r="U274" i="5"/>
  <c r="U120" i="5"/>
  <c r="E117" i="5"/>
  <c r="W117" i="5" s="1"/>
  <c r="X117" i="5" s="1"/>
  <c r="U120" i="4"/>
  <c r="AF117" i="4"/>
  <c r="T117" i="4"/>
  <c r="I118" i="4"/>
  <c r="H117" i="4"/>
  <c r="Q119" i="4"/>
  <c r="D117" i="4"/>
  <c r="E119" i="4"/>
  <c r="AF116" i="4"/>
  <c r="T116" i="4"/>
  <c r="AB116" i="4"/>
  <c r="P116" i="4"/>
  <c r="D116" i="4"/>
  <c r="L116" i="4"/>
  <c r="X116" i="4"/>
  <c r="Y118" i="4"/>
  <c r="AE118" i="4" s="1"/>
  <c r="X117" i="4"/>
  <c r="AC119" i="4"/>
  <c r="M119" i="4"/>
  <c r="L117" i="4"/>
  <c r="X111" i="2"/>
  <c r="P105" i="1"/>
  <c r="L105" i="1"/>
  <c r="D105" i="1"/>
  <c r="I107" i="1"/>
  <c r="S106" i="1"/>
  <c r="H106" i="1" s="1"/>
  <c r="E111" i="1"/>
  <c r="P122" i="9" l="1"/>
  <c r="Q124" i="9"/>
  <c r="T121" i="9"/>
  <c r="P121" i="9"/>
  <c r="H121" i="9"/>
  <c r="E123" i="9"/>
  <c r="D122" i="9"/>
  <c r="M123" i="9"/>
  <c r="L122" i="9"/>
  <c r="H122" i="9"/>
  <c r="I123" i="9"/>
  <c r="D121" i="9"/>
  <c r="D117" i="8"/>
  <c r="Q121" i="8"/>
  <c r="E119" i="8"/>
  <c r="M121" i="8"/>
  <c r="T117" i="8"/>
  <c r="L117" i="8"/>
  <c r="S118" i="8"/>
  <c r="P118" i="8" s="1"/>
  <c r="I119" i="8"/>
  <c r="H117" i="8"/>
  <c r="H116" i="7"/>
  <c r="Q121" i="7"/>
  <c r="M120" i="7"/>
  <c r="I118" i="7"/>
  <c r="S117" i="7"/>
  <c r="H117" i="7" s="1"/>
  <c r="E118" i="7"/>
  <c r="T116" i="7"/>
  <c r="P116" i="7"/>
  <c r="L116" i="7"/>
  <c r="U121" i="5"/>
  <c r="T115" i="5"/>
  <c r="P115" i="5"/>
  <c r="L115" i="5"/>
  <c r="H115" i="5"/>
  <c r="D115" i="5"/>
  <c r="E118" i="5"/>
  <c r="W118" i="5" s="1"/>
  <c r="X118" i="5" s="1"/>
  <c r="U275" i="5"/>
  <c r="M119" i="5"/>
  <c r="Q120" i="5"/>
  <c r="I119" i="5"/>
  <c r="AF118" i="4"/>
  <c r="T118" i="4"/>
  <c r="AB118" i="4"/>
  <c r="D118" i="4"/>
  <c r="L118" i="4"/>
  <c r="P118" i="4"/>
  <c r="E120" i="4"/>
  <c r="Y119" i="4"/>
  <c r="X118" i="4"/>
  <c r="Q120" i="4"/>
  <c r="I119" i="4"/>
  <c r="H118" i="4"/>
  <c r="AC120" i="4"/>
  <c r="M120" i="4"/>
  <c r="U121" i="4"/>
  <c r="X112" i="2"/>
  <c r="D106" i="1"/>
  <c r="P106" i="1"/>
  <c r="L106" i="1"/>
  <c r="I108" i="1"/>
  <c r="S107" i="1"/>
  <c r="H107" i="1" s="1"/>
  <c r="E112" i="1"/>
  <c r="S123" i="9" l="1"/>
  <c r="P123" i="9" s="1"/>
  <c r="T123" i="9"/>
  <c r="I124" i="9"/>
  <c r="H123" i="9"/>
  <c r="Q125" i="9"/>
  <c r="L123" i="9"/>
  <c r="M124" i="9"/>
  <c r="E124" i="9"/>
  <c r="S124" i="9" s="1"/>
  <c r="D123" i="9"/>
  <c r="H118" i="8"/>
  <c r="Q122" i="8"/>
  <c r="M122" i="8"/>
  <c r="T118" i="8"/>
  <c r="L118" i="8"/>
  <c r="S119" i="8"/>
  <c r="P119" i="8" s="1"/>
  <c r="D118" i="8"/>
  <c r="I120" i="8"/>
  <c r="E120" i="8"/>
  <c r="D117" i="7"/>
  <c r="E119" i="7"/>
  <c r="I119" i="7"/>
  <c r="S118" i="7"/>
  <c r="Q122" i="7"/>
  <c r="T117" i="7"/>
  <c r="P117" i="7"/>
  <c r="L117" i="7"/>
  <c r="M121" i="7"/>
  <c r="E119" i="5"/>
  <c r="W119" i="5" s="1"/>
  <c r="X119" i="5" s="1"/>
  <c r="I120" i="5"/>
  <c r="T116" i="5"/>
  <c r="P116" i="5"/>
  <c r="L116" i="5"/>
  <c r="H116" i="5"/>
  <c r="D116" i="5"/>
  <c r="Q121" i="5"/>
  <c r="U122" i="5"/>
  <c r="M120" i="5"/>
  <c r="E121" i="4"/>
  <c r="M121" i="4"/>
  <c r="Q121" i="4"/>
  <c r="AC121" i="4"/>
  <c r="U122" i="4"/>
  <c r="I120" i="4"/>
  <c r="AE120" i="4" s="1"/>
  <c r="Y120" i="4"/>
  <c r="AE119" i="4"/>
  <c r="X119" i="4" s="1"/>
  <c r="X113" i="2"/>
  <c r="D107" i="1"/>
  <c r="P107" i="1"/>
  <c r="L107" i="1"/>
  <c r="I109" i="1"/>
  <c r="S108" i="1"/>
  <c r="H108" i="1" s="1"/>
  <c r="E113" i="1"/>
  <c r="T124" i="9" l="1"/>
  <c r="P124" i="9"/>
  <c r="E125" i="9"/>
  <c r="D124" i="9"/>
  <c r="L124" i="9"/>
  <c r="M125" i="9"/>
  <c r="Q126" i="9"/>
  <c r="I125" i="9"/>
  <c r="H124" i="9"/>
  <c r="H119" i="8"/>
  <c r="D119" i="8"/>
  <c r="Q123" i="8"/>
  <c r="S120" i="8"/>
  <c r="M123" i="8"/>
  <c r="I121" i="8"/>
  <c r="T119" i="8"/>
  <c r="L119" i="8"/>
  <c r="E121" i="8"/>
  <c r="T118" i="7"/>
  <c r="P118" i="7"/>
  <c r="L118" i="7"/>
  <c r="I120" i="7"/>
  <c r="S119" i="7"/>
  <c r="D119" i="7" s="1"/>
  <c r="H118" i="7"/>
  <c r="Q123" i="7"/>
  <c r="E120" i="7"/>
  <c r="M122" i="7"/>
  <c r="D118" i="7"/>
  <c r="U123" i="5"/>
  <c r="M121" i="5"/>
  <c r="I121" i="5"/>
  <c r="Q122" i="5"/>
  <c r="E120" i="5"/>
  <c r="W120" i="5" s="1"/>
  <c r="X120" i="5" s="1"/>
  <c r="T117" i="5"/>
  <c r="P117" i="5"/>
  <c r="H117" i="5"/>
  <c r="L117" i="5"/>
  <c r="D117" i="5"/>
  <c r="AF120" i="4"/>
  <c r="T120" i="4"/>
  <c r="D120" i="4"/>
  <c r="AB120" i="4"/>
  <c r="L120" i="4"/>
  <c r="P120" i="4"/>
  <c r="AC122" i="4"/>
  <c r="Q122" i="4"/>
  <c r="M122" i="4"/>
  <c r="I121" i="4"/>
  <c r="H120" i="4"/>
  <c r="X120" i="4"/>
  <c r="Y121" i="4"/>
  <c r="U123" i="4"/>
  <c r="AF119" i="4"/>
  <c r="T119" i="4"/>
  <c r="P119" i="4"/>
  <c r="AB119" i="4"/>
  <c r="D119" i="4"/>
  <c r="L119" i="4"/>
  <c r="H119" i="4"/>
  <c r="E122" i="4"/>
  <c r="X114" i="2"/>
  <c r="D108" i="1"/>
  <c r="L108" i="1"/>
  <c r="P108" i="1"/>
  <c r="I110" i="1"/>
  <c r="S109" i="1"/>
  <c r="H109" i="1" s="1"/>
  <c r="E114" i="1"/>
  <c r="Q127" i="9" l="1"/>
  <c r="I126" i="9"/>
  <c r="S125" i="9"/>
  <c r="L125" i="9" s="1"/>
  <c r="M126" i="9"/>
  <c r="E126" i="9"/>
  <c r="D125" i="9"/>
  <c r="D120" i="8"/>
  <c r="P120" i="8"/>
  <c r="Q124" i="8"/>
  <c r="H120" i="8"/>
  <c r="I122" i="8"/>
  <c r="S121" i="8"/>
  <c r="E122" i="8"/>
  <c r="M124" i="8"/>
  <c r="T120" i="8"/>
  <c r="L120" i="8"/>
  <c r="I121" i="7"/>
  <c r="S120" i="7"/>
  <c r="Q124" i="7"/>
  <c r="T119" i="7"/>
  <c r="P119" i="7"/>
  <c r="L119" i="7"/>
  <c r="M123" i="7"/>
  <c r="E121" i="7"/>
  <c r="H119" i="7"/>
  <c r="Q123" i="5"/>
  <c r="I122" i="5"/>
  <c r="M122" i="5"/>
  <c r="T118" i="5"/>
  <c r="P118" i="5"/>
  <c r="L118" i="5"/>
  <c r="H118" i="5"/>
  <c r="D118" i="5"/>
  <c r="E121" i="5"/>
  <c r="W121" i="5" s="1"/>
  <c r="X121" i="5" s="1"/>
  <c r="U124" i="5"/>
  <c r="M123" i="4"/>
  <c r="U124" i="4"/>
  <c r="AC123" i="4"/>
  <c r="Q123" i="4"/>
  <c r="Y122" i="4"/>
  <c r="AE122" i="4" s="1"/>
  <c r="AE121" i="4"/>
  <c r="H121" i="4" s="1"/>
  <c r="E123" i="4"/>
  <c r="I122" i="4"/>
  <c r="X115" i="2"/>
  <c r="D109" i="1"/>
  <c r="P109" i="1"/>
  <c r="L109" i="1"/>
  <c r="I111" i="1"/>
  <c r="S110" i="1"/>
  <c r="H110" i="1" s="1"/>
  <c r="E115" i="1"/>
  <c r="E127" i="9" l="1"/>
  <c r="M127" i="9"/>
  <c r="T125" i="9"/>
  <c r="P125" i="9"/>
  <c r="I127" i="9"/>
  <c r="S127" i="9" s="1"/>
  <c r="H125" i="9"/>
  <c r="Q128" i="9"/>
  <c r="S126" i="9"/>
  <c r="D126" i="9" s="1"/>
  <c r="D121" i="8"/>
  <c r="P121" i="8"/>
  <c r="Q125" i="8"/>
  <c r="S122" i="8"/>
  <c r="H122" i="8" s="1"/>
  <c r="E123" i="8"/>
  <c r="T121" i="8"/>
  <c r="L121" i="8"/>
  <c r="H121" i="8"/>
  <c r="M125" i="8"/>
  <c r="I123" i="8"/>
  <c r="Q125" i="7"/>
  <c r="M124" i="7"/>
  <c r="E122" i="7"/>
  <c r="T120" i="7"/>
  <c r="P120" i="7"/>
  <c r="L120" i="7"/>
  <c r="H120" i="7"/>
  <c r="D120" i="7"/>
  <c r="I122" i="7"/>
  <c r="S121" i="7"/>
  <c r="D121" i="7" s="1"/>
  <c r="E122" i="5"/>
  <c r="W122" i="5" s="1"/>
  <c r="X122" i="5" s="1"/>
  <c r="M123" i="5"/>
  <c r="T119" i="5"/>
  <c r="P119" i="5"/>
  <c r="H119" i="5"/>
  <c r="L119" i="5"/>
  <c r="D119" i="5"/>
  <c r="U125" i="5"/>
  <c r="I123" i="5"/>
  <c r="Q124" i="5"/>
  <c r="AF122" i="4"/>
  <c r="T122" i="4"/>
  <c r="L122" i="4"/>
  <c r="D122" i="4"/>
  <c r="AB122" i="4"/>
  <c r="P122" i="4"/>
  <c r="X121" i="4"/>
  <c r="Q124" i="4"/>
  <c r="AE123" i="4"/>
  <c r="P123" i="4"/>
  <c r="AB123" i="4"/>
  <c r="AC124" i="4"/>
  <c r="Y123" i="4"/>
  <c r="X122" i="4"/>
  <c r="H122" i="4"/>
  <c r="I123" i="4"/>
  <c r="U125" i="4"/>
  <c r="M124" i="4"/>
  <c r="L123" i="4"/>
  <c r="AF121" i="4"/>
  <c r="T121" i="4"/>
  <c r="L121" i="4"/>
  <c r="D121" i="4"/>
  <c r="P121" i="4"/>
  <c r="AB121" i="4"/>
  <c r="E124" i="4"/>
  <c r="X116" i="2"/>
  <c r="D110" i="1"/>
  <c r="L110" i="1"/>
  <c r="P110" i="1"/>
  <c r="I112" i="1"/>
  <c r="S111" i="1"/>
  <c r="H111" i="1" s="1"/>
  <c r="E116" i="1"/>
  <c r="L126" i="9" l="1"/>
  <c r="T127" i="9"/>
  <c r="H126" i="9"/>
  <c r="Q129" i="9"/>
  <c r="P127" i="9"/>
  <c r="I128" i="9"/>
  <c r="H127" i="9"/>
  <c r="M128" i="9"/>
  <c r="L127" i="9"/>
  <c r="T126" i="9"/>
  <c r="P126" i="9"/>
  <c r="D127" i="9"/>
  <c r="E128" i="9"/>
  <c r="D122" i="8"/>
  <c r="P122" i="8"/>
  <c r="Q126" i="8"/>
  <c r="I124" i="8"/>
  <c r="E124" i="8"/>
  <c r="T122" i="8"/>
  <c r="L122" i="8"/>
  <c r="S123" i="8"/>
  <c r="P123" i="8" s="1"/>
  <c r="M126" i="8"/>
  <c r="E123" i="7"/>
  <c r="M125" i="7"/>
  <c r="T121" i="7"/>
  <c r="P121" i="7"/>
  <c r="L121" i="7"/>
  <c r="I123" i="7"/>
  <c r="S122" i="7"/>
  <c r="Q126" i="7"/>
  <c r="H121" i="7"/>
  <c r="E123" i="5"/>
  <c r="W123" i="5" s="1"/>
  <c r="X123" i="5" s="1"/>
  <c r="T120" i="5"/>
  <c r="P120" i="5"/>
  <c r="L120" i="5"/>
  <c r="H120" i="5"/>
  <c r="D120" i="5"/>
  <c r="U126" i="5"/>
  <c r="Q125" i="5"/>
  <c r="M124" i="5"/>
  <c r="I124" i="5"/>
  <c r="AC125" i="4"/>
  <c r="AF123" i="4"/>
  <c r="T123" i="4"/>
  <c r="M125" i="4"/>
  <c r="Q125" i="4"/>
  <c r="AE124" i="4"/>
  <c r="U126" i="4"/>
  <c r="D123" i="4"/>
  <c r="H123" i="4"/>
  <c r="I124" i="4"/>
  <c r="E125" i="4"/>
  <c r="Y124" i="4"/>
  <c r="X123" i="4"/>
  <c r="X117" i="2"/>
  <c r="P111" i="1"/>
  <c r="L111" i="1"/>
  <c r="D111" i="1"/>
  <c r="I113" i="1"/>
  <c r="S112" i="1"/>
  <c r="H112" i="1" s="1"/>
  <c r="E117" i="1"/>
  <c r="S128" i="9" l="1"/>
  <c r="P128" i="9" s="1"/>
  <c r="I129" i="9"/>
  <c r="L128" i="9"/>
  <c r="M129" i="9"/>
  <c r="D128" i="9"/>
  <c r="E129" i="9"/>
  <c r="S129" i="9" s="1"/>
  <c r="T129" i="9" s="1"/>
  <c r="Q130" i="9"/>
  <c r="Q127" i="8"/>
  <c r="M127" i="8"/>
  <c r="S124" i="8"/>
  <c r="I125" i="8"/>
  <c r="T123" i="8"/>
  <c r="L123" i="8"/>
  <c r="E125" i="8"/>
  <c r="D123" i="8"/>
  <c r="H123" i="8"/>
  <c r="T122" i="7"/>
  <c r="P122" i="7"/>
  <c r="L122" i="7"/>
  <c r="I124" i="7"/>
  <c r="S123" i="7"/>
  <c r="M126" i="7"/>
  <c r="H122" i="7"/>
  <c r="D122" i="7"/>
  <c r="Q127" i="7"/>
  <c r="E124" i="7"/>
  <c r="U127" i="5"/>
  <c r="I125" i="5"/>
  <c r="T121" i="5"/>
  <c r="P121" i="5"/>
  <c r="H121" i="5"/>
  <c r="L121" i="5"/>
  <c r="D121" i="5"/>
  <c r="Q126" i="5"/>
  <c r="E124" i="5"/>
  <c r="W124" i="5" s="1"/>
  <c r="X124" i="5" s="1"/>
  <c r="M125" i="5"/>
  <c r="AF124" i="4"/>
  <c r="T124" i="4"/>
  <c r="P124" i="4"/>
  <c r="U127" i="4"/>
  <c r="Q126" i="4"/>
  <c r="M126" i="4"/>
  <c r="Y125" i="4"/>
  <c r="X124" i="4"/>
  <c r="L124" i="4"/>
  <c r="D124" i="4"/>
  <c r="E126" i="4"/>
  <c r="AC126" i="4"/>
  <c r="I125" i="4"/>
  <c r="H124" i="4"/>
  <c r="AB124" i="4"/>
  <c r="X118" i="2"/>
  <c r="D112" i="1"/>
  <c r="P112" i="1"/>
  <c r="L112" i="1"/>
  <c r="I114" i="1"/>
  <c r="S113" i="1"/>
  <c r="H113" i="1" s="1"/>
  <c r="E118" i="1"/>
  <c r="T128" i="9" l="1"/>
  <c r="H128" i="9"/>
  <c r="Q131" i="9"/>
  <c r="E130" i="9"/>
  <c r="D129" i="9"/>
  <c r="P129" i="9"/>
  <c r="L129" i="9"/>
  <c r="M130" i="9"/>
  <c r="H129" i="9"/>
  <c r="I130" i="9"/>
  <c r="H124" i="8"/>
  <c r="P124" i="8"/>
  <c r="Q128" i="8"/>
  <c r="D124" i="8"/>
  <c r="T124" i="8"/>
  <c r="L124" i="8"/>
  <c r="E126" i="8"/>
  <c r="I126" i="8"/>
  <c r="M128" i="8"/>
  <c r="S125" i="8"/>
  <c r="M127" i="7"/>
  <c r="T123" i="7"/>
  <c r="P123" i="7"/>
  <c r="L123" i="7"/>
  <c r="H123" i="7"/>
  <c r="I125" i="7"/>
  <c r="S124" i="7"/>
  <c r="H124" i="7" s="1"/>
  <c r="E125" i="7"/>
  <c r="D123" i="7"/>
  <c r="Q128" i="7"/>
  <c r="T123" i="5"/>
  <c r="P123" i="5"/>
  <c r="H123" i="5"/>
  <c r="L123" i="5"/>
  <c r="D123" i="5"/>
  <c r="Q127" i="5"/>
  <c r="T122" i="5"/>
  <c r="P122" i="5"/>
  <c r="L122" i="5"/>
  <c r="H122" i="5"/>
  <c r="D122" i="5"/>
  <c r="M126" i="5"/>
  <c r="I126" i="5"/>
  <c r="E125" i="5"/>
  <c r="W125" i="5" s="1"/>
  <c r="X125" i="5" s="1"/>
  <c r="U128" i="5"/>
  <c r="Y126" i="4"/>
  <c r="Q127" i="4"/>
  <c r="AE126" i="4"/>
  <c r="I126" i="4"/>
  <c r="AE125" i="4"/>
  <c r="L126" i="4"/>
  <c r="M127" i="4"/>
  <c r="AB126" i="4"/>
  <c r="AC127" i="4"/>
  <c r="U128" i="4"/>
  <c r="E127" i="4"/>
  <c r="X119" i="2"/>
  <c r="D113" i="1"/>
  <c r="P113" i="1"/>
  <c r="L113" i="1"/>
  <c r="I115" i="1"/>
  <c r="S114" i="1"/>
  <c r="H114" i="1" s="1"/>
  <c r="E119" i="1"/>
  <c r="M131" i="9" l="1"/>
  <c r="I131" i="9"/>
  <c r="E131" i="9"/>
  <c r="Q132" i="9"/>
  <c r="S130" i="9"/>
  <c r="H125" i="8"/>
  <c r="P125" i="8"/>
  <c r="Q129" i="8"/>
  <c r="S126" i="8"/>
  <c r="E127" i="8"/>
  <c r="T125" i="8"/>
  <c r="L125" i="8"/>
  <c r="D125" i="8"/>
  <c r="M129" i="8"/>
  <c r="I127" i="8"/>
  <c r="E126" i="7"/>
  <c r="I126" i="7"/>
  <c r="S125" i="7"/>
  <c r="Q129" i="7"/>
  <c r="M128" i="7"/>
  <c r="T124" i="7"/>
  <c r="P124" i="7"/>
  <c r="L124" i="7"/>
  <c r="D124" i="7"/>
  <c r="E126" i="5"/>
  <c r="W126" i="5" s="1"/>
  <c r="X126" i="5" s="1"/>
  <c r="I127" i="5"/>
  <c r="M127" i="5"/>
  <c r="U129" i="5"/>
  <c r="T124" i="5"/>
  <c r="P124" i="5"/>
  <c r="H124" i="5"/>
  <c r="L124" i="5"/>
  <c r="D124" i="5"/>
  <c r="Q128" i="5"/>
  <c r="AF125" i="4"/>
  <c r="T125" i="4"/>
  <c r="L125" i="4"/>
  <c r="D125" i="4"/>
  <c r="AB125" i="4"/>
  <c r="P125" i="4"/>
  <c r="H125" i="4"/>
  <c r="M128" i="4"/>
  <c r="I127" i="4"/>
  <c r="H126" i="4"/>
  <c r="AC128" i="4"/>
  <c r="AF126" i="4"/>
  <c r="T126" i="4"/>
  <c r="D126" i="4"/>
  <c r="P126" i="4"/>
  <c r="E128" i="4"/>
  <c r="Q128" i="4"/>
  <c r="U129" i="4"/>
  <c r="X125" i="4"/>
  <c r="X126" i="4"/>
  <c r="Y127" i="4"/>
  <c r="X120" i="2"/>
  <c r="D114" i="1"/>
  <c r="P114" i="1"/>
  <c r="L114" i="1"/>
  <c r="I116" i="1"/>
  <c r="S115" i="1"/>
  <c r="H115" i="1" s="1"/>
  <c r="E120" i="1"/>
  <c r="S131" i="9" l="1"/>
  <c r="T131" i="9" s="1"/>
  <c r="T130" i="9"/>
  <c r="P130" i="9"/>
  <c r="H130" i="9"/>
  <c r="D130" i="9"/>
  <c r="I132" i="9"/>
  <c r="M132" i="9"/>
  <c r="Q133" i="9"/>
  <c r="E132" i="9"/>
  <c r="D131" i="9"/>
  <c r="L130" i="9"/>
  <c r="H126" i="8"/>
  <c r="P126" i="8"/>
  <c r="Q130" i="8"/>
  <c r="D126" i="8"/>
  <c r="I128" i="8"/>
  <c r="M130" i="8"/>
  <c r="T126" i="8"/>
  <c r="L126" i="8"/>
  <c r="E128" i="8"/>
  <c r="S127" i="8"/>
  <c r="P127" i="8" s="1"/>
  <c r="Q130" i="7"/>
  <c r="T125" i="7"/>
  <c r="P125" i="7"/>
  <c r="L125" i="7"/>
  <c r="I127" i="7"/>
  <c r="S126" i="7"/>
  <c r="H126" i="7" s="1"/>
  <c r="H125" i="7"/>
  <c r="D125" i="7"/>
  <c r="M129" i="7"/>
  <c r="E127" i="7"/>
  <c r="M128" i="5"/>
  <c r="U130" i="5"/>
  <c r="Q129" i="5"/>
  <c r="I128" i="5"/>
  <c r="E127" i="5"/>
  <c r="W127" i="5" s="1"/>
  <c r="X127" i="5" s="1"/>
  <c r="M129" i="4"/>
  <c r="I128" i="4"/>
  <c r="H127" i="4"/>
  <c r="AE127" i="4"/>
  <c r="E129" i="4"/>
  <c r="AC129" i="4"/>
  <c r="U130" i="4"/>
  <c r="Q129" i="4"/>
  <c r="Y128" i="4"/>
  <c r="X127" i="4"/>
  <c r="X121" i="2"/>
  <c r="D115" i="1"/>
  <c r="L115" i="1"/>
  <c r="P115" i="1"/>
  <c r="I117" i="1"/>
  <c r="S116" i="1"/>
  <c r="H116" i="1" s="1"/>
  <c r="E121" i="1"/>
  <c r="L131" i="9" l="1"/>
  <c r="P131" i="9"/>
  <c r="H131" i="9"/>
  <c r="Q134" i="9"/>
  <c r="M133" i="9"/>
  <c r="I133" i="9"/>
  <c r="E133" i="9"/>
  <c r="S132" i="9"/>
  <c r="D132" i="9" s="1"/>
  <c r="Q131" i="8"/>
  <c r="E129" i="8"/>
  <c r="T127" i="8"/>
  <c r="L127" i="8"/>
  <c r="D127" i="8"/>
  <c r="M131" i="8"/>
  <c r="S128" i="8"/>
  <c r="P128" i="8" s="1"/>
  <c r="I129" i="8"/>
  <c r="H127" i="8"/>
  <c r="M130" i="7"/>
  <c r="I128" i="7"/>
  <c r="S127" i="7"/>
  <c r="H127" i="7" s="1"/>
  <c r="D126" i="7"/>
  <c r="E128" i="7"/>
  <c r="T126" i="7"/>
  <c r="P126" i="7"/>
  <c r="L126" i="7"/>
  <c r="Q131" i="7"/>
  <c r="T125" i="5"/>
  <c r="P125" i="5"/>
  <c r="L125" i="5"/>
  <c r="H125" i="5"/>
  <c r="D125" i="5"/>
  <c r="E128" i="5"/>
  <c r="W128" i="5" s="1"/>
  <c r="X128" i="5" s="1"/>
  <c r="I129" i="5"/>
  <c r="U131" i="5"/>
  <c r="M129" i="5"/>
  <c r="Q130" i="5"/>
  <c r="E130" i="4"/>
  <c r="AC130" i="4"/>
  <c r="AF127" i="4"/>
  <c r="T127" i="4"/>
  <c r="AB127" i="4"/>
  <c r="P127" i="4"/>
  <c r="L127" i="4"/>
  <c r="D127" i="4"/>
  <c r="Y129" i="4"/>
  <c r="AE129" i="4" s="1"/>
  <c r="X128" i="4"/>
  <c r="I129" i="4"/>
  <c r="Q130" i="4"/>
  <c r="U131" i="4"/>
  <c r="AE128" i="4"/>
  <c r="M130" i="4"/>
  <c r="X122" i="2"/>
  <c r="D116" i="1"/>
  <c r="P116" i="1"/>
  <c r="L116" i="1"/>
  <c r="I118" i="1"/>
  <c r="S117" i="1"/>
  <c r="H117" i="1" s="1"/>
  <c r="E122" i="1"/>
  <c r="M134" i="9" l="1"/>
  <c r="E134" i="9"/>
  <c r="S133" i="9"/>
  <c r="T132" i="9"/>
  <c r="P132" i="9"/>
  <c r="H132" i="9"/>
  <c r="Q135" i="9"/>
  <c r="I134" i="9"/>
  <c r="H133" i="9"/>
  <c r="L132" i="9"/>
  <c r="H128" i="8"/>
  <c r="Q132" i="8"/>
  <c r="S129" i="8"/>
  <c r="P129" i="8" s="1"/>
  <c r="T128" i="8"/>
  <c r="L128" i="8"/>
  <c r="I130" i="8"/>
  <c r="E130" i="8"/>
  <c r="M132" i="8"/>
  <c r="D128" i="8"/>
  <c r="D127" i="7"/>
  <c r="E129" i="7"/>
  <c r="I129" i="7"/>
  <c r="S128" i="7"/>
  <c r="T127" i="7"/>
  <c r="P127" i="7"/>
  <c r="L127" i="7"/>
  <c r="M131" i="7"/>
  <c r="Q132" i="7"/>
  <c r="T127" i="5"/>
  <c r="P127" i="5"/>
  <c r="L127" i="5"/>
  <c r="H127" i="5"/>
  <c r="D127" i="5"/>
  <c r="I130" i="5"/>
  <c r="M130" i="5"/>
  <c r="E129" i="5"/>
  <c r="W129" i="5" s="1"/>
  <c r="X129" i="5" s="1"/>
  <c r="Q131" i="5"/>
  <c r="T126" i="5"/>
  <c r="P126" i="5"/>
  <c r="H126" i="5"/>
  <c r="L126" i="5"/>
  <c r="D126" i="5"/>
  <c r="U132" i="5"/>
  <c r="AF129" i="4"/>
  <c r="T129" i="4"/>
  <c r="D129" i="4"/>
  <c r="AB129" i="4"/>
  <c r="P129" i="4"/>
  <c r="L129" i="4"/>
  <c r="U132" i="4"/>
  <c r="AF128" i="4"/>
  <c r="T128" i="4"/>
  <c r="L128" i="4"/>
  <c r="D128" i="4"/>
  <c r="AB128" i="4"/>
  <c r="P128" i="4"/>
  <c r="M131" i="4"/>
  <c r="Q131" i="4"/>
  <c r="AC131" i="4"/>
  <c r="X129" i="4"/>
  <c r="Y130" i="4"/>
  <c r="AE130" i="4" s="1"/>
  <c r="H128" i="4"/>
  <c r="H129" i="4"/>
  <c r="I130" i="4"/>
  <c r="E131" i="4"/>
  <c r="X123" i="2"/>
  <c r="D117" i="1"/>
  <c r="P117" i="1"/>
  <c r="L117" i="1"/>
  <c r="I119" i="1"/>
  <c r="S118" i="1"/>
  <c r="H118" i="1" s="1"/>
  <c r="E123" i="1"/>
  <c r="Q136" i="9" l="1"/>
  <c r="T133" i="9"/>
  <c r="P133" i="9"/>
  <c r="E135" i="9"/>
  <c r="D133" i="9"/>
  <c r="I135" i="9"/>
  <c r="S134" i="9"/>
  <c r="H134" i="9" s="1"/>
  <c r="M135" i="9"/>
  <c r="L133" i="9"/>
  <c r="D129" i="8"/>
  <c r="H129" i="8"/>
  <c r="Q133" i="8"/>
  <c r="I131" i="8"/>
  <c r="S130" i="8"/>
  <c r="P130" i="8" s="1"/>
  <c r="M133" i="8"/>
  <c r="E131" i="8"/>
  <c r="T129" i="8"/>
  <c r="L129" i="8"/>
  <c r="T128" i="7"/>
  <c r="P128" i="7"/>
  <c r="L128" i="7"/>
  <c r="I130" i="7"/>
  <c r="S129" i="7"/>
  <c r="H129" i="7" s="1"/>
  <c r="Q133" i="7"/>
  <c r="H128" i="7"/>
  <c r="D128" i="7"/>
  <c r="M132" i="7"/>
  <c r="E130" i="7"/>
  <c r="Q132" i="5"/>
  <c r="M131" i="5"/>
  <c r="E130" i="5"/>
  <c r="W130" i="5" s="1"/>
  <c r="X130" i="5" s="1"/>
  <c r="U133" i="5"/>
  <c r="I131" i="5"/>
  <c r="AF130" i="4"/>
  <c r="T130" i="4"/>
  <c r="D130" i="4"/>
  <c r="L130" i="4"/>
  <c r="P130" i="4"/>
  <c r="AB130" i="4"/>
  <c r="U133" i="4"/>
  <c r="Q132" i="4"/>
  <c r="AE131" i="4"/>
  <c r="D131" i="4" s="1"/>
  <c r="AC132" i="4"/>
  <c r="E132" i="4"/>
  <c r="Y131" i="4"/>
  <c r="X130" i="4"/>
  <c r="M132" i="4"/>
  <c r="I131" i="4"/>
  <c r="H130" i="4"/>
  <c r="X124" i="2"/>
  <c r="D118" i="1"/>
  <c r="P118" i="1"/>
  <c r="L118" i="1"/>
  <c r="I120" i="1"/>
  <c r="S119" i="1"/>
  <c r="H119" i="1" s="1"/>
  <c r="E124" i="1"/>
  <c r="M136" i="9" l="1"/>
  <c r="T134" i="9"/>
  <c r="P134" i="9"/>
  <c r="E136" i="9"/>
  <c r="S135" i="9"/>
  <c r="I136" i="9"/>
  <c r="H135" i="9"/>
  <c r="D134" i="9"/>
  <c r="L134" i="9"/>
  <c r="Q137" i="9"/>
  <c r="D130" i="8"/>
  <c r="Q134" i="8"/>
  <c r="E132" i="8"/>
  <c r="M134" i="8"/>
  <c r="T130" i="8"/>
  <c r="L130" i="8"/>
  <c r="I132" i="8"/>
  <c r="S131" i="8"/>
  <c r="P131" i="8" s="1"/>
  <c r="H130" i="8"/>
  <c r="M133" i="7"/>
  <c r="I131" i="7"/>
  <c r="S130" i="7"/>
  <c r="H130" i="7" s="1"/>
  <c r="E131" i="7"/>
  <c r="T129" i="7"/>
  <c r="P129" i="7"/>
  <c r="L129" i="7"/>
  <c r="D129" i="7"/>
  <c r="Q134" i="7"/>
  <c r="T128" i="5"/>
  <c r="P128" i="5"/>
  <c r="L128" i="5"/>
  <c r="H128" i="5"/>
  <c r="D128" i="5"/>
  <c r="I132" i="5"/>
  <c r="U134" i="5"/>
  <c r="E131" i="5"/>
  <c r="W131" i="5" s="1"/>
  <c r="X131" i="5" s="1"/>
  <c r="M132" i="5"/>
  <c r="Q133" i="5"/>
  <c r="U134" i="4"/>
  <c r="P131" i="4"/>
  <c r="I132" i="4"/>
  <c r="H131" i="4"/>
  <c r="AF131" i="4"/>
  <c r="T131" i="4"/>
  <c r="M133" i="4"/>
  <c r="L131" i="4"/>
  <c r="E133" i="4"/>
  <c r="AC133" i="4"/>
  <c r="Q133" i="4"/>
  <c r="Y132" i="4"/>
  <c r="X131" i="4"/>
  <c r="AB131" i="4"/>
  <c r="X125" i="2"/>
  <c r="D119" i="1"/>
  <c r="P119" i="1"/>
  <c r="L119" i="1"/>
  <c r="I121" i="1"/>
  <c r="S120" i="1"/>
  <c r="H120" i="1" s="1"/>
  <c r="E125" i="1"/>
  <c r="I137" i="9" l="1"/>
  <c r="Q138" i="9"/>
  <c r="T135" i="9"/>
  <c r="P135" i="9"/>
  <c r="E137" i="9"/>
  <c r="D135" i="9"/>
  <c r="M137" i="9"/>
  <c r="S136" i="9"/>
  <c r="H136" i="9" s="1"/>
  <c r="L135" i="9"/>
  <c r="Q135" i="8"/>
  <c r="S132" i="8"/>
  <c r="P132" i="8" s="1"/>
  <c r="H131" i="8"/>
  <c r="M135" i="8"/>
  <c r="T131" i="8"/>
  <c r="L131" i="8"/>
  <c r="I133" i="8"/>
  <c r="D131" i="8"/>
  <c r="E133" i="8"/>
  <c r="D130" i="7"/>
  <c r="I132" i="7"/>
  <c r="S131" i="7"/>
  <c r="D131" i="7" s="1"/>
  <c r="E132" i="7"/>
  <c r="T130" i="7"/>
  <c r="P130" i="7"/>
  <c r="L130" i="7"/>
  <c r="M134" i="7"/>
  <c r="Q135" i="7"/>
  <c r="T130" i="5"/>
  <c r="P130" i="5"/>
  <c r="H130" i="5"/>
  <c r="L130" i="5"/>
  <c r="D130" i="5"/>
  <c r="T129" i="5"/>
  <c r="P129" i="5"/>
  <c r="L129" i="5"/>
  <c r="H129" i="5"/>
  <c r="D129" i="5"/>
  <c r="I133" i="5"/>
  <c r="M133" i="5"/>
  <c r="U135" i="5"/>
  <c r="Q134" i="5"/>
  <c r="E132" i="5"/>
  <c r="W132" i="5" s="1"/>
  <c r="X132" i="5" s="1"/>
  <c r="M134" i="4"/>
  <c r="Y133" i="4"/>
  <c r="E134" i="4"/>
  <c r="I133" i="4"/>
  <c r="Q134" i="4"/>
  <c r="AE133" i="4"/>
  <c r="AE132" i="4"/>
  <c r="X132" i="4" s="1"/>
  <c r="U135" i="4"/>
  <c r="AC134" i="4"/>
  <c r="X126" i="2"/>
  <c r="D120" i="1"/>
  <c r="L120" i="1"/>
  <c r="P120" i="1"/>
  <c r="I122" i="1"/>
  <c r="S121" i="1"/>
  <c r="H121" i="1" s="1"/>
  <c r="E126" i="1"/>
  <c r="L136" i="9" l="1"/>
  <c r="D136" i="9"/>
  <c r="M138" i="9"/>
  <c r="E138" i="9"/>
  <c r="S137" i="9"/>
  <c r="Q139" i="9"/>
  <c r="T136" i="9"/>
  <c r="P136" i="9"/>
  <c r="I138" i="9"/>
  <c r="H137" i="9"/>
  <c r="Q136" i="8"/>
  <c r="H132" i="8"/>
  <c r="D132" i="8"/>
  <c r="I134" i="8"/>
  <c r="E134" i="8"/>
  <c r="M136" i="8"/>
  <c r="S133" i="8"/>
  <c r="T132" i="8"/>
  <c r="L132" i="8"/>
  <c r="T131" i="7"/>
  <c r="P131" i="7"/>
  <c r="L131" i="7"/>
  <c r="M135" i="7"/>
  <c r="E133" i="7"/>
  <c r="I133" i="7"/>
  <c r="S132" i="7"/>
  <c r="D132" i="7" s="1"/>
  <c r="Q136" i="7"/>
  <c r="H131" i="7"/>
  <c r="I134" i="5"/>
  <c r="E133" i="5"/>
  <c r="W133" i="5" s="1"/>
  <c r="X133" i="5" s="1"/>
  <c r="U136" i="5"/>
  <c r="T131" i="5"/>
  <c r="P131" i="5"/>
  <c r="L131" i="5"/>
  <c r="H131" i="5"/>
  <c r="M134" i="5"/>
  <c r="D131" i="5"/>
  <c r="Q135" i="5"/>
  <c r="AF133" i="4"/>
  <c r="T133" i="4"/>
  <c r="Q135" i="4"/>
  <c r="E135" i="4"/>
  <c r="AC135" i="4"/>
  <c r="AF132" i="4"/>
  <c r="T132" i="4"/>
  <c r="AB132" i="4"/>
  <c r="P132" i="4"/>
  <c r="D132" i="4"/>
  <c r="L132" i="4"/>
  <c r="P133" i="4"/>
  <c r="H132" i="4"/>
  <c r="AB133" i="4"/>
  <c r="Y134" i="4"/>
  <c r="X133" i="4"/>
  <c r="H133" i="4"/>
  <c r="I134" i="4"/>
  <c r="L133" i="4"/>
  <c r="D133" i="4"/>
  <c r="U136" i="4"/>
  <c r="M135" i="4"/>
  <c r="X127" i="2"/>
  <c r="D121" i="1"/>
  <c r="P121" i="1"/>
  <c r="L121" i="1"/>
  <c r="I123" i="1"/>
  <c r="S122" i="1"/>
  <c r="H122" i="1" s="1"/>
  <c r="E127" i="1"/>
  <c r="I139" i="9" l="1"/>
  <c r="S138" i="9"/>
  <c r="Q140" i="9"/>
  <c r="T137" i="9"/>
  <c r="P137" i="9"/>
  <c r="D137" i="9"/>
  <c r="D138" i="9"/>
  <c r="E139" i="9"/>
  <c r="L137" i="9"/>
  <c r="M139" i="9"/>
  <c r="D133" i="8"/>
  <c r="P133" i="8"/>
  <c r="Q137" i="8"/>
  <c r="S134" i="8"/>
  <c r="P134" i="8" s="1"/>
  <c r="M137" i="8"/>
  <c r="T133" i="8"/>
  <c r="L133" i="8"/>
  <c r="I135" i="8"/>
  <c r="E135" i="8"/>
  <c r="H133" i="8"/>
  <c r="I134" i="7"/>
  <c r="S133" i="7"/>
  <c r="D133" i="7" s="1"/>
  <c r="E134" i="7"/>
  <c r="T132" i="7"/>
  <c r="P132" i="7"/>
  <c r="L132" i="7"/>
  <c r="M136" i="7"/>
  <c r="H132" i="7"/>
  <c r="Q137" i="7"/>
  <c r="M135" i="5"/>
  <c r="U137" i="5"/>
  <c r="Q136" i="5"/>
  <c r="E134" i="5"/>
  <c r="W134" i="5" s="1"/>
  <c r="X134" i="5" s="1"/>
  <c r="I135" i="5"/>
  <c r="Q136" i="4"/>
  <c r="I135" i="4"/>
  <c r="Y135" i="4"/>
  <c r="AE134" i="4"/>
  <c r="H134" i="4" s="1"/>
  <c r="AC136" i="4"/>
  <c r="E136" i="4"/>
  <c r="M136" i="4"/>
  <c r="U137" i="4"/>
  <c r="X128" i="2"/>
  <c r="L122" i="1"/>
  <c r="D122" i="1"/>
  <c r="P122" i="1"/>
  <c r="I124" i="1"/>
  <c r="S123" i="1"/>
  <c r="H123" i="1" s="1"/>
  <c r="E128" i="1"/>
  <c r="E140" i="9" l="1"/>
  <c r="S139" i="9"/>
  <c r="Q141" i="9"/>
  <c r="T138" i="9"/>
  <c r="P138" i="9"/>
  <c r="L138" i="9"/>
  <c r="H138" i="9"/>
  <c r="M140" i="9"/>
  <c r="L139" i="9"/>
  <c r="I140" i="9"/>
  <c r="D134" i="8"/>
  <c r="H134" i="8"/>
  <c r="Q138" i="8"/>
  <c r="M138" i="8"/>
  <c r="I136" i="8"/>
  <c r="T134" i="8"/>
  <c r="L134" i="8"/>
  <c r="S135" i="8"/>
  <c r="P135" i="8" s="1"/>
  <c r="M137" i="7"/>
  <c r="E135" i="7"/>
  <c r="T133" i="7"/>
  <c r="P133" i="7"/>
  <c r="L133" i="7"/>
  <c r="Q138" i="7"/>
  <c r="H133" i="7"/>
  <c r="I135" i="7"/>
  <c r="S134" i="7"/>
  <c r="H134" i="7" s="1"/>
  <c r="E135" i="5"/>
  <c r="W135" i="5" s="1"/>
  <c r="X135" i="5" s="1"/>
  <c r="T132" i="5"/>
  <c r="P132" i="5"/>
  <c r="H132" i="5"/>
  <c r="L132" i="5"/>
  <c r="D132" i="5"/>
  <c r="M136" i="5"/>
  <c r="Q137" i="5"/>
  <c r="U138" i="5"/>
  <c r="I136" i="5"/>
  <c r="E137" i="4"/>
  <c r="X134" i="4"/>
  <c r="AC137" i="4"/>
  <c r="X135" i="4"/>
  <c r="Y136" i="4"/>
  <c r="AF134" i="4"/>
  <c r="T134" i="4"/>
  <c r="AB134" i="4"/>
  <c r="L134" i="4"/>
  <c r="P134" i="4"/>
  <c r="D134" i="4"/>
  <c r="I136" i="4"/>
  <c r="AE135" i="4"/>
  <c r="U138" i="4"/>
  <c r="M137" i="4"/>
  <c r="AE136" i="4"/>
  <c r="L136" i="4" s="1"/>
  <c r="Q137" i="4"/>
  <c r="X129" i="2"/>
  <c r="D123" i="1"/>
  <c r="L123" i="1"/>
  <c r="P123" i="1"/>
  <c r="I125" i="1"/>
  <c r="S124" i="1"/>
  <c r="H124" i="1" s="1"/>
  <c r="E129" i="1"/>
  <c r="M141" i="9" l="1"/>
  <c r="S140" i="9"/>
  <c r="Q142" i="9"/>
  <c r="T139" i="9"/>
  <c r="P139" i="9"/>
  <c r="H140" i="9"/>
  <c r="I141" i="9"/>
  <c r="D139" i="9"/>
  <c r="H139" i="9"/>
  <c r="E141" i="9"/>
  <c r="Q139" i="8"/>
  <c r="E137" i="8"/>
  <c r="I137" i="8"/>
  <c r="T135" i="8"/>
  <c r="L135" i="8"/>
  <c r="H135" i="8"/>
  <c r="D135" i="8"/>
  <c r="S136" i="8"/>
  <c r="M139" i="8"/>
  <c r="D134" i="7"/>
  <c r="Q139" i="7"/>
  <c r="E136" i="7"/>
  <c r="T134" i="7"/>
  <c r="P134" i="7"/>
  <c r="L134" i="7"/>
  <c r="M138" i="7"/>
  <c r="I136" i="7"/>
  <c r="S135" i="7"/>
  <c r="D135" i="7" s="1"/>
  <c r="Q138" i="5"/>
  <c r="M137" i="5"/>
  <c r="T133" i="5"/>
  <c r="P133" i="5"/>
  <c r="H133" i="5"/>
  <c r="L133" i="5"/>
  <c r="D133" i="5"/>
  <c r="I137" i="5"/>
  <c r="U139" i="5"/>
  <c r="E136" i="5"/>
  <c r="W136" i="5" s="1"/>
  <c r="X136" i="5" s="1"/>
  <c r="AC138" i="4"/>
  <c r="AF136" i="4"/>
  <c r="T136" i="4"/>
  <c r="Y137" i="4"/>
  <c r="X136" i="4"/>
  <c r="AF135" i="4"/>
  <c r="T135" i="4"/>
  <c r="D135" i="4"/>
  <c r="L135" i="4"/>
  <c r="P135" i="4"/>
  <c r="AB135" i="4"/>
  <c r="AB136" i="4"/>
  <c r="Q138" i="4"/>
  <c r="U139" i="4"/>
  <c r="D136" i="4"/>
  <c r="P136" i="4"/>
  <c r="M138" i="4"/>
  <c r="I137" i="4"/>
  <c r="H136" i="4"/>
  <c r="H135" i="4"/>
  <c r="E138" i="4"/>
  <c r="X130" i="2"/>
  <c r="D124" i="1"/>
  <c r="P124" i="1"/>
  <c r="L124" i="1"/>
  <c r="I126" i="1"/>
  <c r="S125" i="1"/>
  <c r="H125" i="1" s="1"/>
  <c r="E130" i="1"/>
  <c r="I142" i="9" l="1"/>
  <c r="Q143" i="9"/>
  <c r="S141" i="9"/>
  <c r="T140" i="9"/>
  <c r="P140" i="9"/>
  <c r="D141" i="9"/>
  <c r="E142" i="9"/>
  <c r="L140" i="9"/>
  <c r="D140" i="9"/>
  <c r="M142" i="9"/>
  <c r="H136" i="8"/>
  <c r="P136" i="8"/>
  <c r="Q140" i="8"/>
  <c r="S137" i="8"/>
  <c r="I138" i="8"/>
  <c r="T136" i="8"/>
  <c r="L136" i="8"/>
  <c r="E138" i="8"/>
  <c r="M140" i="8"/>
  <c r="D136" i="8"/>
  <c r="H135" i="7"/>
  <c r="I137" i="7"/>
  <c r="S136" i="7"/>
  <c r="D136" i="7" s="1"/>
  <c r="M139" i="7"/>
  <c r="E137" i="7"/>
  <c r="T135" i="7"/>
  <c r="P135" i="7"/>
  <c r="L135" i="7"/>
  <c r="Q140" i="7"/>
  <c r="M138" i="5"/>
  <c r="I138" i="5"/>
  <c r="U140" i="5"/>
  <c r="T134" i="5"/>
  <c r="P134" i="5"/>
  <c r="H134" i="5"/>
  <c r="L134" i="5"/>
  <c r="D134" i="5"/>
  <c r="E137" i="5"/>
  <c r="W137" i="5" s="1"/>
  <c r="X137" i="5" s="1"/>
  <c r="Q139" i="5"/>
  <c r="M139" i="4"/>
  <c r="U140" i="4"/>
  <c r="Y138" i="4"/>
  <c r="I138" i="4"/>
  <c r="AE137" i="4"/>
  <c r="X137" i="4" s="1"/>
  <c r="AE138" i="4"/>
  <c r="AB138" i="4" s="1"/>
  <c r="Q139" i="4"/>
  <c r="E139" i="4"/>
  <c r="AC139" i="4"/>
  <c r="X131" i="2"/>
  <c r="D125" i="1"/>
  <c r="P125" i="1"/>
  <c r="L125" i="1"/>
  <c r="I127" i="1"/>
  <c r="S126" i="1"/>
  <c r="H126" i="1" s="1"/>
  <c r="E131" i="1"/>
  <c r="E143" i="9" l="1"/>
  <c r="T141" i="9"/>
  <c r="P141" i="9"/>
  <c r="S142" i="9"/>
  <c r="Q144" i="9"/>
  <c r="L141" i="9"/>
  <c r="I143" i="9"/>
  <c r="H142" i="9"/>
  <c r="L142" i="9"/>
  <c r="M143" i="9"/>
  <c r="H141" i="9"/>
  <c r="H137" i="8"/>
  <c r="P137" i="8"/>
  <c r="D137" i="8"/>
  <c r="Q141" i="8"/>
  <c r="E139" i="8"/>
  <c r="I139" i="8"/>
  <c r="S138" i="8"/>
  <c r="M141" i="8"/>
  <c r="T137" i="8"/>
  <c r="L137" i="8"/>
  <c r="Q141" i="7"/>
  <c r="E138" i="7"/>
  <c r="M140" i="7"/>
  <c r="T136" i="7"/>
  <c r="P136" i="7"/>
  <c r="L136" i="7"/>
  <c r="H136" i="7"/>
  <c r="I138" i="7"/>
  <c r="S137" i="7"/>
  <c r="D137" i="7" s="1"/>
  <c r="Q140" i="5"/>
  <c r="E138" i="5"/>
  <c r="W138" i="5" s="1"/>
  <c r="X138" i="5" s="1"/>
  <c r="T135" i="5"/>
  <c r="P135" i="5"/>
  <c r="H135" i="5"/>
  <c r="L135" i="5"/>
  <c r="D135" i="5"/>
  <c r="I139" i="5"/>
  <c r="U141" i="5"/>
  <c r="M139" i="5"/>
  <c r="P138" i="4"/>
  <c r="I139" i="4"/>
  <c r="H138" i="4"/>
  <c r="Y139" i="4"/>
  <c r="X138" i="4"/>
  <c r="H137" i="4"/>
  <c r="Q140" i="4"/>
  <c r="AE139" i="4"/>
  <c r="AC140" i="4"/>
  <c r="AB139" i="4"/>
  <c r="U141" i="4"/>
  <c r="AF137" i="4"/>
  <c r="T137" i="4"/>
  <c r="L137" i="4"/>
  <c r="AB137" i="4"/>
  <c r="P137" i="4"/>
  <c r="D137" i="4"/>
  <c r="AF138" i="4"/>
  <c r="T138" i="4"/>
  <c r="L139" i="4"/>
  <c r="M140" i="4"/>
  <c r="D139" i="4"/>
  <c r="E140" i="4"/>
  <c r="D138" i="4"/>
  <c r="L138" i="4"/>
  <c r="X132" i="2"/>
  <c r="L126" i="1"/>
  <c r="D126" i="1"/>
  <c r="P126" i="1"/>
  <c r="I128" i="1"/>
  <c r="S127" i="1"/>
  <c r="H127" i="1" s="1"/>
  <c r="E132" i="1"/>
  <c r="Q145" i="9" l="1"/>
  <c r="I144" i="9"/>
  <c r="S143" i="9"/>
  <c r="T142" i="9"/>
  <c r="P142" i="9"/>
  <c r="D142" i="9"/>
  <c r="M144" i="9"/>
  <c r="L143" i="9"/>
  <c r="D143" i="9"/>
  <c r="E144" i="9"/>
  <c r="H138" i="8"/>
  <c r="P138" i="8"/>
  <c r="Q142" i="8"/>
  <c r="I140" i="8"/>
  <c r="M142" i="8"/>
  <c r="T138" i="8"/>
  <c r="L138" i="8"/>
  <c r="D138" i="8"/>
  <c r="S139" i="8"/>
  <c r="P139" i="8" s="1"/>
  <c r="E140" i="8"/>
  <c r="I139" i="7"/>
  <c r="S138" i="7"/>
  <c r="D138" i="7" s="1"/>
  <c r="M141" i="7"/>
  <c r="E139" i="7"/>
  <c r="T137" i="7"/>
  <c r="P137" i="7"/>
  <c r="L137" i="7"/>
  <c r="H137" i="7"/>
  <c r="Q142" i="7"/>
  <c r="Q141" i="5"/>
  <c r="T137" i="5"/>
  <c r="P137" i="5"/>
  <c r="L137" i="5"/>
  <c r="H137" i="5"/>
  <c r="M140" i="5"/>
  <c r="T136" i="5"/>
  <c r="P136" i="5"/>
  <c r="L136" i="5"/>
  <c r="H136" i="5"/>
  <c r="D136" i="5"/>
  <c r="U142" i="5"/>
  <c r="I140" i="5"/>
  <c r="E139" i="5"/>
  <c r="W139" i="5" s="1"/>
  <c r="X139" i="5" s="1"/>
  <c r="D137" i="5"/>
  <c r="AC141" i="4"/>
  <c r="Q141" i="4"/>
  <c r="Y140" i="4"/>
  <c r="X139" i="4"/>
  <c r="M141" i="4"/>
  <c r="AF139" i="4"/>
  <c r="T139" i="4"/>
  <c r="I140" i="4"/>
  <c r="AE140" i="4" s="1"/>
  <c r="H139" i="4"/>
  <c r="P139" i="4"/>
  <c r="E141" i="4"/>
  <c r="U142" i="4"/>
  <c r="X133" i="2"/>
  <c r="D127" i="1"/>
  <c r="L127" i="1"/>
  <c r="P127" i="1"/>
  <c r="I129" i="1"/>
  <c r="S128" i="1"/>
  <c r="H128" i="1" s="1"/>
  <c r="E133" i="1"/>
  <c r="M145" i="9" l="1"/>
  <c r="T143" i="9"/>
  <c r="P143" i="9"/>
  <c r="H143" i="9"/>
  <c r="I145" i="9"/>
  <c r="S144" i="9"/>
  <c r="D144" i="9" s="1"/>
  <c r="E145" i="9"/>
  <c r="S145" i="9" s="1"/>
  <c r="Q146" i="9"/>
  <c r="Q143" i="8"/>
  <c r="T139" i="8"/>
  <c r="L139" i="8"/>
  <c r="D139" i="8"/>
  <c r="M143" i="8"/>
  <c r="S140" i="8"/>
  <c r="P140" i="8" s="1"/>
  <c r="H139" i="8"/>
  <c r="E141" i="8"/>
  <c r="I141" i="8"/>
  <c r="M142" i="7"/>
  <c r="T138" i="7"/>
  <c r="P138" i="7"/>
  <c r="L138" i="7"/>
  <c r="E140" i="7"/>
  <c r="I140" i="7"/>
  <c r="S139" i="7"/>
  <c r="H139" i="7" s="1"/>
  <c r="Q143" i="7"/>
  <c r="H138" i="7"/>
  <c r="T138" i="5"/>
  <c r="P138" i="5"/>
  <c r="L138" i="5"/>
  <c r="H138" i="5"/>
  <c r="E140" i="5"/>
  <c r="W140" i="5" s="1"/>
  <c r="X140" i="5" s="1"/>
  <c r="U143" i="5"/>
  <c r="M141" i="5"/>
  <c r="I141" i="5"/>
  <c r="Q142" i="5"/>
  <c r="D138" i="5"/>
  <c r="AF140" i="4"/>
  <c r="T140" i="4"/>
  <c r="AB140" i="4"/>
  <c r="D140" i="4"/>
  <c r="L140" i="4"/>
  <c r="P140" i="4"/>
  <c r="X140" i="4"/>
  <c r="Y141" i="4"/>
  <c r="AE141" i="4" s="1"/>
  <c r="M142" i="4"/>
  <c r="U143" i="4"/>
  <c r="H140" i="4"/>
  <c r="I141" i="4"/>
  <c r="E142" i="4"/>
  <c r="Q142" i="4"/>
  <c r="AC142" i="4"/>
  <c r="X134" i="2"/>
  <c r="P128" i="1"/>
  <c r="D128" i="1"/>
  <c r="L128" i="1"/>
  <c r="I130" i="1"/>
  <c r="S129" i="1"/>
  <c r="H129" i="1" s="1"/>
  <c r="E134" i="1"/>
  <c r="T145" i="9" l="1"/>
  <c r="E146" i="9"/>
  <c r="D145" i="9"/>
  <c r="Q147" i="9"/>
  <c r="T144" i="9"/>
  <c r="P144" i="9"/>
  <c r="H145" i="9"/>
  <c r="I146" i="9"/>
  <c r="H144" i="9"/>
  <c r="L144" i="9"/>
  <c r="P145" i="9"/>
  <c r="M146" i="9"/>
  <c r="L145" i="9"/>
  <c r="D140" i="8"/>
  <c r="Q144" i="8"/>
  <c r="T140" i="8"/>
  <c r="L140" i="8"/>
  <c r="E142" i="8"/>
  <c r="M144" i="8"/>
  <c r="I142" i="8"/>
  <c r="S141" i="8"/>
  <c r="H140" i="8"/>
  <c r="Q144" i="7"/>
  <c r="T139" i="7"/>
  <c r="P139" i="7"/>
  <c r="L139" i="7"/>
  <c r="I141" i="7"/>
  <c r="S140" i="7"/>
  <c r="D140" i="7" s="1"/>
  <c r="E141" i="7"/>
  <c r="D139" i="7"/>
  <c r="M143" i="7"/>
  <c r="I142" i="5"/>
  <c r="M142" i="5"/>
  <c r="Q143" i="5"/>
  <c r="U144" i="5"/>
  <c r="E141" i="5"/>
  <c r="W141" i="5" s="1"/>
  <c r="X141" i="5" s="1"/>
  <c r="AF141" i="4"/>
  <c r="T141" i="4"/>
  <c r="L141" i="4"/>
  <c r="D141" i="4"/>
  <c r="P141" i="4"/>
  <c r="AB141" i="4"/>
  <c r="M143" i="4"/>
  <c r="Q143" i="4"/>
  <c r="AE142" i="4"/>
  <c r="U144" i="4"/>
  <c r="E143" i="4"/>
  <c r="X141" i="4"/>
  <c r="Y142" i="4"/>
  <c r="AC143" i="4"/>
  <c r="I142" i="4"/>
  <c r="H141" i="4"/>
  <c r="X135" i="2"/>
  <c r="P129" i="1"/>
  <c r="L129" i="1"/>
  <c r="D129" i="1"/>
  <c r="I131" i="1"/>
  <c r="S130" i="1"/>
  <c r="H130" i="1" s="1"/>
  <c r="E135" i="1"/>
  <c r="I147" i="9" l="1"/>
  <c r="S146" i="9"/>
  <c r="Q148" i="9"/>
  <c r="M147" i="9"/>
  <c r="L146" i="9"/>
  <c r="E147" i="9"/>
  <c r="D146" i="9"/>
  <c r="D141" i="8"/>
  <c r="P141" i="8"/>
  <c r="Q145" i="8"/>
  <c r="M145" i="8"/>
  <c r="H141" i="8"/>
  <c r="I143" i="8"/>
  <c r="E143" i="8"/>
  <c r="S142" i="8"/>
  <c r="T141" i="8"/>
  <c r="L141" i="8"/>
  <c r="M144" i="7"/>
  <c r="E142" i="7"/>
  <c r="T140" i="7"/>
  <c r="P140" i="7"/>
  <c r="L140" i="7"/>
  <c r="I142" i="7"/>
  <c r="S141" i="7"/>
  <c r="H140" i="7"/>
  <c r="Q145" i="7"/>
  <c r="U145" i="5"/>
  <c r="I143" i="5"/>
  <c r="Q144" i="5"/>
  <c r="T139" i="5"/>
  <c r="P139" i="5"/>
  <c r="L139" i="5"/>
  <c r="H139" i="5"/>
  <c r="D139" i="5"/>
  <c r="M143" i="5"/>
  <c r="E142" i="5"/>
  <c r="W142" i="5" s="1"/>
  <c r="X142" i="5" s="1"/>
  <c r="D141" i="5"/>
  <c r="AF142" i="4"/>
  <c r="T142" i="4"/>
  <c r="H142" i="4"/>
  <c r="I143" i="4"/>
  <c r="AE143" i="4" s="1"/>
  <c r="AC144" i="4"/>
  <c r="Q144" i="4"/>
  <c r="L142" i="4"/>
  <c r="Y143" i="4"/>
  <c r="X142" i="4"/>
  <c r="P142" i="4"/>
  <c r="M144" i="4"/>
  <c r="D142" i="4"/>
  <c r="U145" i="4"/>
  <c r="AB142" i="4"/>
  <c r="E144" i="4"/>
  <c r="X136" i="2"/>
  <c r="L130" i="1"/>
  <c r="P130" i="1"/>
  <c r="D130" i="1"/>
  <c r="I132" i="1"/>
  <c r="S131" i="1"/>
  <c r="H131" i="1" s="1"/>
  <c r="E136" i="1"/>
  <c r="M148" i="9" l="1"/>
  <c r="E148" i="9"/>
  <c r="S147" i="9"/>
  <c r="Q149" i="9"/>
  <c r="T146" i="9"/>
  <c r="P146" i="9"/>
  <c r="H147" i="9"/>
  <c r="I148" i="9"/>
  <c r="H146" i="9"/>
  <c r="D142" i="8"/>
  <c r="P142" i="8"/>
  <c r="Q146" i="8"/>
  <c r="S143" i="8"/>
  <c r="H143" i="8" s="1"/>
  <c r="H142" i="8"/>
  <c r="T142" i="8"/>
  <c r="L142" i="8"/>
  <c r="E144" i="8"/>
  <c r="M146" i="8"/>
  <c r="I144" i="8"/>
  <c r="T141" i="7"/>
  <c r="P141" i="7"/>
  <c r="L141" i="7"/>
  <c r="I143" i="7"/>
  <c r="S142" i="7"/>
  <c r="D142" i="7" s="1"/>
  <c r="H141" i="7"/>
  <c r="E143" i="7"/>
  <c r="D141" i="7"/>
  <c r="M145" i="7"/>
  <c r="Q146" i="7"/>
  <c r="I144" i="5"/>
  <c r="T140" i="5"/>
  <c r="P140" i="5"/>
  <c r="L140" i="5"/>
  <c r="H140" i="5"/>
  <c r="D140" i="5"/>
  <c r="E143" i="5"/>
  <c r="W143" i="5" s="1"/>
  <c r="X143" i="5" s="1"/>
  <c r="M144" i="5"/>
  <c r="Q145" i="5"/>
  <c r="T141" i="5"/>
  <c r="P141" i="5"/>
  <c r="H141" i="5"/>
  <c r="L141" i="5"/>
  <c r="U146" i="5"/>
  <c r="AF143" i="4"/>
  <c r="T143" i="4"/>
  <c r="P143" i="4"/>
  <c r="L143" i="4"/>
  <c r="D143" i="4"/>
  <c r="AB143" i="4"/>
  <c r="AC145" i="4"/>
  <c r="E145" i="4"/>
  <c r="U146" i="4"/>
  <c r="H143" i="4"/>
  <c r="I144" i="4"/>
  <c r="Q145" i="4"/>
  <c r="M145" i="4"/>
  <c r="Y144" i="4"/>
  <c r="X143" i="4"/>
  <c r="X137" i="2"/>
  <c r="D131" i="1"/>
  <c r="P131" i="1"/>
  <c r="L131" i="1"/>
  <c r="I133" i="1"/>
  <c r="S132" i="1"/>
  <c r="H132" i="1" s="1"/>
  <c r="E137" i="1"/>
  <c r="I149" i="9" l="1"/>
  <c r="S148" i="9"/>
  <c r="D148" i="9" s="1"/>
  <c r="Q150" i="9"/>
  <c r="T147" i="9"/>
  <c r="P147" i="9"/>
  <c r="D147" i="9"/>
  <c r="E149" i="9"/>
  <c r="M149" i="9"/>
  <c r="L147" i="9"/>
  <c r="D143" i="8"/>
  <c r="P143" i="8"/>
  <c r="Q147" i="8"/>
  <c r="M147" i="8"/>
  <c r="E145" i="8"/>
  <c r="I145" i="8"/>
  <c r="T143" i="8"/>
  <c r="L143" i="8"/>
  <c r="S144" i="8"/>
  <c r="M146" i="7"/>
  <c r="E144" i="7"/>
  <c r="T142" i="7"/>
  <c r="P142" i="7"/>
  <c r="L142" i="7"/>
  <c r="I144" i="7"/>
  <c r="S143" i="7"/>
  <c r="H142" i="7"/>
  <c r="Q147" i="7"/>
  <c r="Q146" i="5"/>
  <c r="M145" i="5"/>
  <c r="U147" i="5"/>
  <c r="E144" i="5"/>
  <c r="W144" i="5" s="1"/>
  <c r="X144" i="5" s="1"/>
  <c r="I145" i="5"/>
  <c r="AC146" i="4"/>
  <c r="Y145" i="4"/>
  <c r="AE144" i="4"/>
  <c r="E146" i="4"/>
  <c r="H144" i="4"/>
  <c r="I145" i="4"/>
  <c r="U147" i="4"/>
  <c r="M146" i="4"/>
  <c r="Q146" i="4"/>
  <c r="X138" i="2"/>
  <c r="L132" i="1"/>
  <c r="P132" i="1"/>
  <c r="D132" i="1"/>
  <c r="I134" i="1"/>
  <c r="S133" i="1"/>
  <c r="H133" i="1" s="1"/>
  <c r="E138" i="1"/>
  <c r="L148" i="9" l="1"/>
  <c r="E150" i="9"/>
  <c r="S149" i="9"/>
  <c r="Q151" i="9"/>
  <c r="T148" i="9"/>
  <c r="P148" i="9"/>
  <c r="H148" i="9"/>
  <c r="M150" i="9"/>
  <c r="L149" i="9"/>
  <c r="I150" i="9"/>
  <c r="H144" i="8"/>
  <c r="P144" i="8"/>
  <c r="Q148" i="8"/>
  <c r="S145" i="8"/>
  <c r="D144" i="8"/>
  <c r="E146" i="8"/>
  <c r="T144" i="8"/>
  <c r="L144" i="8"/>
  <c r="I146" i="8"/>
  <c r="M148" i="8"/>
  <c r="T143" i="7"/>
  <c r="P143" i="7"/>
  <c r="L143" i="7"/>
  <c r="H143" i="7"/>
  <c r="I145" i="7"/>
  <c r="S144" i="7"/>
  <c r="D144" i="7" s="1"/>
  <c r="E145" i="7"/>
  <c r="D143" i="7"/>
  <c r="Q148" i="7"/>
  <c r="M147" i="7"/>
  <c r="E145" i="5"/>
  <c r="W145" i="5" s="1"/>
  <c r="X145" i="5" s="1"/>
  <c r="T142" i="5"/>
  <c r="P142" i="5"/>
  <c r="L142" i="5"/>
  <c r="H142" i="5"/>
  <c r="D142" i="5"/>
  <c r="U148" i="5"/>
  <c r="Q147" i="5"/>
  <c r="T143" i="5"/>
  <c r="P143" i="5"/>
  <c r="H143" i="5"/>
  <c r="L143" i="5"/>
  <c r="D143" i="5"/>
  <c r="M146" i="5"/>
  <c r="I146" i="5"/>
  <c r="U148" i="4"/>
  <c r="AF144" i="4"/>
  <c r="T144" i="4"/>
  <c r="P144" i="4"/>
  <c r="AB144" i="4"/>
  <c r="D144" i="4"/>
  <c r="L144" i="4"/>
  <c r="E147" i="4"/>
  <c r="M147" i="4"/>
  <c r="I146" i="4"/>
  <c r="Q147" i="4"/>
  <c r="Y146" i="4"/>
  <c r="AE145" i="4"/>
  <c r="X144" i="4"/>
  <c r="AC147" i="4"/>
  <c r="X139" i="2"/>
  <c r="D133" i="1"/>
  <c r="P133" i="1"/>
  <c r="L133" i="1"/>
  <c r="I135" i="1"/>
  <c r="S134" i="1"/>
  <c r="H134" i="1" s="1"/>
  <c r="E139" i="1"/>
  <c r="I151" i="9" l="1"/>
  <c r="M151" i="9"/>
  <c r="Q152" i="9"/>
  <c r="S150" i="9"/>
  <c r="T149" i="9"/>
  <c r="P149" i="9"/>
  <c r="D149" i="9"/>
  <c r="H149" i="9"/>
  <c r="E151" i="9"/>
  <c r="S151" i="9" s="1"/>
  <c r="P151" i="9" s="1"/>
  <c r="H145" i="8"/>
  <c r="P145" i="8"/>
  <c r="Q149" i="8"/>
  <c r="D145" i="8"/>
  <c r="T145" i="8"/>
  <c r="L145" i="8"/>
  <c r="I147" i="8"/>
  <c r="E147" i="8"/>
  <c r="M149" i="8"/>
  <c r="S146" i="8"/>
  <c r="Q149" i="7"/>
  <c r="E146" i="7"/>
  <c r="T144" i="7"/>
  <c r="P144" i="7"/>
  <c r="L144" i="7"/>
  <c r="I146" i="7"/>
  <c r="S145" i="7"/>
  <c r="H144" i="7"/>
  <c r="M148" i="7"/>
  <c r="T144" i="5"/>
  <c r="P144" i="5"/>
  <c r="L144" i="5"/>
  <c r="H144" i="5"/>
  <c r="D144" i="5"/>
  <c r="I147" i="5"/>
  <c r="U149" i="5"/>
  <c r="M147" i="5"/>
  <c r="E146" i="5"/>
  <c r="W146" i="5" s="1"/>
  <c r="X146" i="5" s="1"/>
  <c r="Q148" i="5"/>
  <c r="E148" i="4"/>
  <c r="M148" i="4"/>
  <c r="AF145" i="4"/>
  <c r="T145" i="4"/>
  <c r="AB145" i="4"/>
  <c r="L145" i="4"/>
  <c r="P145" i="4"/>
  <c r="D145" i="4"/>
  <c r="Y147" i="4"/>
  <c r="X146" i="4"/>
  <c r="AC148" i="4"/>
  <c r="X145" i="4"/>
  <c r="Q148" i="4"/>
  <c r="AE146" i="4"/>
  <c r="H145" i="4"/>
  <c r="U149" i="4"/>
  <c r="I147" i="4"/>
  <c r="H146" i="4"/>
  <c r="X140" i="2"/>
  <c r="D134" i="1"/>
  <c r="P134" i="1"/>
  <c r="L134" i="1"/>
  <c r="I136" i="1"/>
  <c r="S135" i="1"/>
  <c r="H135" i="1" s="1"/>
  <c r="E140" i="1"/>
  <c r="T150" i="9" l="1"/>
  <c r="P150" i="9"/>
  <c r="T151" i="9"/>
  <c r="Q153" i="9"/>
  <c r="L150" i="9"/>
  <c r="M152" i="9"/>
  <c r="L151" i="9"/>
  <c r="D150" i="9"/>
  <c r="H150" i="9"/>
  <c r="D151" i="9"/>
  <c r="E152" i="9"/>
  <c r="I152" i="9"/>
  <c r="H151" i="9"/>
  <c r="H146" i="8"/>
  <c r="P146" i="8"/>
  <c r="Q150" i="8"/>
  <c r="D146" i="8"/>
  <c r="S147" i="8"/>
  <c r="T146" i="8"/>
  <c r="L146" i="8"/>
  <c r="I148" i="8"/>
  <c r="M150" i="8"/>
  <c r="E148" i="8"/>
  <c r="T145" i="7"/>
  <c r="P145" i="7"/>
  <c r="L145" i="7"/>
  <c r="H145" i="7"/>
  <c r="I147" i="7"/>
  <c r="S146" i="7"/>
  <c r="D145" i="7"/>
  <c r="D146" i="7"/>
  <c r="E147" i="7"/>
  <c r="M149" i="7"/>
  <c r="Q150" i="7"/>
  <c r="M148" i="5"/>
  <c r="I148" i="5"/>
  <c r="U150" i="5"/>
  <c r="Q149" i="5"/>
  <c r="E147" i="5"/>
  <c r="W147" i="5" s="1"/>
  <c r="X147" i="5" s="1"/>
  <c r="I148" i="4"/>
  <c r="Y148" i="4"/>
  <c r="U150" i="4"/>
  <c r="AF146" i="4"/>
  <c r="T146" i="4"/>
  <c r="P146" i="4"/>
  <c r="AB146" i="4"/>
  <c r="D146" i="4"/>
  <c r="L146" i="4"/>
  <c r="Q149" i="4"/>
  <c r="AE147" i="4"/>
  <c r="M149" i="4"/>
  <c r="AC149" i="4"/>
  <c r="E149" i="4"/>
  <c r="X141" i="2"/>
  <c r="D135" i="1"/>
  <c r="L135" i="1"/>
  <c r="P135" i="1"/>
  <c r="I137" i="1"/>
  <c r="S136" i="1"/>
  <c r="H136" i="1" s="1"/>
  <c r="E141" i="1"/>
  <c r="Q154" i="9" l="1"/>
  <c r="M153" i="9"/>
  <c r="S152" i="9"/>
  <c r="H152" i="9" s="1"/>
  <c r="I153" i="9"/>
  <c r="E153" i="9"/>
  <c r="D152" i="9"/>
  <c r="H147" i="8"/>
  <c r="P147" i="8"/>
  <c r="Q151" i="8"/>
  <c r="D147" i="8"/>
  <c r="T147" i="8"/>
  <c r="L147" i="8"/>
  <c r="S148" i="8"/>
  <c r="P148" i="8" s="1"/>
  <c r="E149" i="8"/>
  <c r="M151" i="8"/>
  <c r="I149" i="8"/>
  <c r="E148" i="7"/>
  <c r="T146" i="7"/>
  <c r="P146" i="7"/>
  <c r="L146" i="7"/>
  <c r="I148" i="7"/>
  <c r="S147" i="7"/>
  <c r="H146" i="7"/>
  <c r="Q151" i="7"/>
  <c r="M150" i="7"/>
  <c r="U151" i="5"/>
  <c r="E148" i="5"/>
  <c r="W148" i="5" s="1"/>
  <c r="X148" i="5" s="1"/>
  <c r="T145" i="5"/>
  <c r="P145" i="5"/>
  <c r="H145" i="5"/>
  <c r="L145" i="5"/>
  <c r="D145" i="5"/>
  <c r="I149" i="5"/>
  <c r="Q150" i="5"/>
  <c r="M149" i="5"/>
  <c r="AC150" i="4"/>
  <c r="M150" i="4"/>
  <c r="E150" i="4"/>
  <c r="U151" i="4"/>
  <c r="AF147" i="4"/>
  <c r="T147" i="4"/>
  <c r="D147" i="4"/>
  <c r="AB147" i="4"/>
  <c r="L147" i="4"/>
  <c r="P147" i="4"/>
  <c r="X147" i="4"/>
  <c r="Q150" i="4"/>
  <c r="Y149" i="4"/>
  <c r="AE148" i="4"/>
  <c r="X148" i="4" s="1"/>
  <c r="H147" i="4"/>
  <c r="H148" i="4"/>
  <c r="I149" i="4"/>
  <c r="X142" i="2"/>
  <c r="D136" i="1"/>
  <c r="P136" i="1"/>
  <c r="L136" i="1"/>
  <c r="I138" i="1"/>
  <c r="S137" i="1"/>
  <c r="H137" i="1" s="1"/>
  <c r="E142" i="1"/>
  <c r="E154" i="9" l="1"/>
  <c r="I154" i="9"/>
  <c r="T152" i="9"/>
  <c r="P152" i="9"/>
  <c r="L152" i="9"/>
  <c r="M154" i="9"/>
  <c r="S154" i="9" s="1"/>
  <c r="Q155" i="9"/>
  <c r="S153" i="9"/>
  <c r="D153" i="9" s="1"/>
  <c r="H148" i="8"/>
  <c r="D148" i="8"/>
  <c r="Q152" i="8"/>
  <c r="E150" i="8"/>
  <c r="S149" i="8"/>
  <c r="P149" i="8" s="1"/>
  <c r="M152" i="8"/>
  <c r="I150" i="8"/>
  <c r="T148" i="8"/>
  <c r="L148" i="8"/>
  <c r="Q152" i="7"/>
  <c r="T147" i="7"/>
  <c r="P147" i="7"/>
  <c r="L147" i="7"/>
  <c r="H147" i="7"/>
  <c r="I149" i="7"/>
  <c r="S148" i="7"/>
  <c r="D147" i="7"/>
  <c r="M151" i="7"/>
  <c r="E149" i="7"/>
  <c r="I150" i="5"/>
  <c r="T146" i="5"/>
  <c r="P146" i="5"/>
  <c r="L146" i="5"/>
  <c r="H146" i="5"/>
  <c r="D146" i="5"/>
  <c r="E149" i="5"/>
  <c r="W149" i="5" s="1"/>
  <c r="X149" i="5" s="1"/>
  <c r="M150" i="5"/>
  <c r="Q151" i="5"/>
  <c r="U152" i="5"/>
  <c r="U152" i="4"/>
  <c r="Y150" i="4"/>
  <c r="E151" i="4"/>
  <c r="I150" i="4"/>
  <c r="AF148" i="4"/>
  <c r="T148" i="4"/>
  <c r="P148" i="4"/>
  <c r="L148" i="4"/>
  <c r="AB148" i="4"/>
  <c r="D148" i="4"/>
  <c r="Q151" i="4"/>
  <c r="AE149" i="4"/>
  <c r="H149" i="4" s="1"/>
  <c r="M151" i="4"/>
  <c r="AC151" i="4"/>
  <c r="X143" i="2"/>
  <c r="D137" i="1"/>
  <c r="P137" i="1"/>
  <c r="L137" i="1"/>
  <c r="I139" i="1"/>
  <c r="S138" i="1"/>
  <c r="H138" i="1" s="1"/>
  <c r="E143" i="1"/>
  <c r="L153" i="9" l="1"/>
  <c r="H153" i="9"/>
  <c r="T154" i="9"/>
  <c r="P154" i="9"/>
  <c r="Q156" i="9"/>
  <c r="L154" i="9"/>
  <c r="M155" i="9"/>
  <c r="H154" i="9"/>
  <c r="I155" i="9"/>
  <c r="T153" i="9"/>
  <c r="P153" i="9"/>
  <c r="E155" i="9"/>
  <c r="D154" i="9"/>
  <c r="Q153" i="8"/>
  <c r="H149" i="8"/>
  <c r="S150" i="8"/>
  <c r="P150" i="8" s="1"/>
  <c r="I151" i="8"/>
  <c r="T149" i="8"/>
  <c r="L149" i="8"/>
  <c r="E151" i="8"/>
  <c r="M153" i="8"/>
  <c r="D149" i="8"/>
  <c r="T148" i="7"/>
  <c r="P148" i="7"/>
  <c r="L148" i="7"/>
  <c r="M152" i="7"/>
  <c r="I150" i="7"/>
  <c r="S149" i="7"/>
  <c r="H149" i="7" s="1"/>
  <c r="H148" i="7"/>
  <c r="D148" i="7"/>
  <c r="E150" i="7"/>
  <c r="Q153" i="7"/>
  <c r="T147" i="5"/>
  <c r="P147" i="5"/>
  <c r="L147" i="5"/>
  <c r="H147" i="5"/>
  <c r="D147" i="5"/>
  <c r="E150" i="5"/>
  <c r="W150" i="5" s="1"/>
  <c r="X150" i="5" s="1"/>
  <c r="T148" i="5"/>
  <c r="P148" i="5"/>
  <c r="L148" i="5"/>
  <c r="H148" i="5"/>
  <c r="M151" i="5"/>
  <c r="D148" i="5"/>
  <c r="Q152" i="5"/>
  <c r="U153" i="5"/>
  <c r="I151" i="5"/>
  <c r="I151" i="4"/>
  <c r="AF149" i="4"/>
  <c r="T149" i="4"/>
  <c r="AB149" i="4"/>
  <c r="L149" i="4"/>
  <c r="D149" i="4"/>
  <c r="P149" i="4"/>
  <c r="AC152" i="4"/>
  <c r="AB151" i="4"/>
  <c r="M152" i="4"/>
  <c r="L151" i="4"/>
  <c r="E152" i="4"/>
  <c r="AE150" i="4"/>
  <c r="Y151" i="4"/>
  <c r="X150" i="4"/>
  <c r="Q152" i="4"/>
  <c r="P151" i="4"/>
  <c r="AE151" i="4"/>
  <c r="X149" i="4"/>
  <c r="U153" i="4"/>
  <c r="X144" i="2"/>
  <c r="D138" i="1"/>
  <c r="L138" i="1"/>
  <c r="P138" i="1"/>
  <c r="I140" i="1"/>
  <c r="S139" i="1"/>
  <c r="H139" i="1" s="1"/>
  <c r="E144" i="1"/>
  <c r="E156" i="9" l="1"/>
  <c r="S156" i="9" s="1"/>
  <c r="P156" i="9" s="1"/>
  <c r="I156" i="9"/>
  <c r="M156" i="9"/>
  <c r="S155" i="9"/>
  <c r="Q157" i="9"/>
  <c r="D150" i="8"/>
  <c r="H150" i="8"/>
  <c r="Q154" i="8"/>
  <c r="M154" i="8"/>
  <c r="E152" i="8"/>
  <c r="I152" i="8"/>
  <c r="S151" i="8"/>
  <c r="T150" i="8"/>
  <c r="L150" i="8"/>
  <c r="E151" i="7"/>
  <c r="T149" i="7"/>
  <c r="P149" i="7"/>
  <c r="L149" i="7"/>
  <c r="I151" i="7"/>
  <c r="S150" i="7"/>
  <c r="M153" i="7"/>
  <c r="Q154" i="7"/>
  <c r="D149" i="7"/>
  <c r="T149" i="5"/>
  <c r="P149" i="5"/>
  <c r="H149" i="5"/>
  <c r="L149" i="5"/>
  <c r="I152" i="5"/>
  <c r="Q153" i="5"/>
  <c r="M152" i="5"/>
  <c r="E151" i="5"/>
  <c r="W151" i="5" s="1"/>
  <c r="X151" i="5" s="1"/>
  <c r="U154" i="5"/>
  <c r="D149" i="5"/>
  <c r="M153" i="4"/>
  <c r="Q153" i="4"/>
  <c r="AC153" i="4"/>
  <c r="U154" i="4"/>
  <c r="AF151" i="4"/>
  <c r="T151" i="4"/>
  <c r="Y152" i="4"/>
  <c r="X151" i="4"/>
  <c r="AF150" i="4"/>
  <c r="T150" i="4"/>
  <c r="D150" i="4"/>
  <c r="P150" i="4"/>
  <c r="AB150" i="4"/>
  <c r="L150" i="4"/>
  <c r="D151" i="4"/>
  <c r="H150" i="4"/>
  <c r="E153" i="4"/>
  <c r="H151" i="4"/>
  <c r="I152" i="4"/>
  <c r="X145" i="2"/>
  <c r="D139" i="1"/>
  <c r="P139" i="1"/>
  <c r="L139" i="1"/>
  <c r="I141" i="1"/>
  <c r="S140" i="1"/>
  <c r="H140" i="1" s="1"/>
  <c r="E145" i="1"/>
  <c r="Q158" i="9" l="1"/>
  <c r="T155" i="9"/>
  <c r="P155" i="9"/>
  <c r="T156" i="9"/>
  <c r="L155" i="9"/>
  <c r="M157" i="9"/>
  <c r="L156" i="9"/>
  <c r="H155" i="9"/>
  <c r="H156" i="9"/>
  <c r="I157" i="9"/>
  <c r="D155" i="9"/>
  <c r="D156" i="9"/>
  <c r="E157" i="9"/>
  <c r="D151" i="8"/>
  <c r="P151" i="8"/>
  <c r="Q155" i="8"/>
  <c r="E153" i="8"/>
  <c r="I153" i="8"/>
  <c r="S152" i="8"/>
  <c r="M155" i="8"/>
  <c r="T151" i="8"/>
  <c r="L151" i="8"/>
  <c r="H151" i="8"/>
  <c r="Q155" i="7"/>
  <c r="M154" i="7"/>
  <c r="T150" i="7"/>
  <c r="P150" i="7"/>
  <c r="L150" i="7"/>
  <c r="I152" i="7"/>
  <c r="S151" i="7"/>
  <c r="H151" i="7" s="1"/>
  <c r="H150" i="7"/>
  <c r="D150" i="7"/>
  <c r="E152" i="7"/>
  <c r="M153" i="5"/>
  <c r="Q154" i="5"/>
  <c r="I153" i="5"/>
  <c r="U155" i="5"/>
  <c r="E152" i="5"/>
  <c r="W152" i="5" s="1"/>
  <c r="X152" i="5" s="1"/>
  <c r="Y153" i="4"/>
  <c r="E154" i="4"/>
  <c r="AE152" i="4"/>
  <c r="U155" i="4"/>
  <c r="AC154" i="4"/>
  <c r="AE153" i="4"/>
  <c r="Q154" i="4"/>
  <c r="M154" i="4"/>
  <c r="I153" i="4"/>
  <c r="X146" i="2"/>
  <c r="D140" i="1"/>
  <c r="L140" i="1"/>
  <c r="P140" i="1"/>
  <c r="I142" i="1"/>
  <c r="S141" i="1"/>
  <c r="H141" i="1" s="1"/>
  <c r="E146" i="1"/>
  <c r="I158" i="9" l="1"/>
  <c r="M158" i="9"/>
  <c r="E158" i="9"/>
  <c r="S157" i="9"/>
  <c r="S158" i="9"/>
  <c r="T158" i="9" s="1"/>
  <c r="Q159" i="9"/>
  <c r="H152" i="8"/>
  <c r="P152" i="8"/>
  <c r="Q156" i="8"/>
  <c r="T152" i="8"/>
  <c r="L152" i="8"/>
  <c r="I154" i="8"/>
  <c r="M156" i="8"/>
  <c r="E154" i="8"/>
  <c r="S153" i="8"/>
  <c r="D152" i="8"/>
  <c r="T151" i="7"/>
  <c r="P151" i="7"/>
  <c r="L151" i="7"/>
  <c r="I153" i="7"/>
  <c r="S152" i="7"/>
  <c r="D152" i="7" s="1"/>
  <c r="M155" i="7"/>
  <c r="E153" i="7"/>
  <c r="D151" i="7"/>
  <c r="Q156" i="7"/>
  <c r="U156" i="5"/>
  <c r="E153" i="5"/>
  <c r="W153" i="5" s="1"/>
  <c r="X153" i="5" s="1"/>
  <c r="I154" i="5"/>
  <c r="Q155" i="5"/>
  <c r="M154" i="5"/>
  <c r="T151" i="5"/>
  <c r="P151" i="5"/>
  <c r="H151" i="5"/>
  <c r="L151" i="5"/>
  <c r="T150" i="5"/>
  <c r="P150" i="5"/>
  <c r="H150" i="5"/>
  <c r="L150" i="5"/>
  <c r="D150" i="5"/>
  <c r="D151" i="5"/>
  <c r="AF153" i="4"/>
  <c r="T153" i="4"/>
  <c r="Q155" i="4"/>
  <c r="AB153" i="4"/>
  <c r="P153" i="4"/>
  <c r="AC155" i="4"/>
  <c r="U156" i="4"/>
  <c r="AF152" i="4"/>
  <c r="T152" i="4"/>
  <c r="L152" i="4"/>
  <c r="P152" i="4"/>
  <c r="D152" i="4"/>
  <c r="AB152" i="4"/>
  <c r="H153" i="4"/>
  <c r="I154" i="4"/>
  <c r="E155" i="4"/>
  <c r="H152" i="4"/>
  <c r="D153" i="4"/>
  <c r="L153" i="4"/>
  <c r="X152" i="4"/>
  <c r="M155" i="4"/>
  <c r="X153" i="4"/>
  <c r="Y154" i="4"/>
  <c r="X147" i="2"/>
  <c r="D141" i="1"/>
  <c r="P141" i="1"/>
  <c r="L141" i="1"/>
  <c r="I143" i="1"/>
  <c r="S142" i="1"/>
  <c r="H142" i="1" s="1"/>
  <c r="E147" i="1"/>
  <c r="P158" i="9" l="1"/>
  <c r="Q160" i="9"/>
  <c r="T157" i="9"/>
  <c r="P157" i="9"/>
  <c r="D157" i="9"/>
  <c r="E159" i="9"/>
  <c r="D158" i="9"/>
  <c r="M159" i="9"/>
  <c r="L158" i="9"/>
  <c r="L157" i="9"/>
  <c r="H158" i="9"/>
  <c r="I159" i="9"/>
  <c r="H157" i="9"/>
  <c r="H153" i="8"/>
  <c r="P153" i="8"/>
  <c r="Q157" i="8"/>
  <c r="E155" i="8"/>
  <c r="S154" i="8"/>
  <c r="P154" i="8" s="1"/>
  <c r="I155" i="8"/>
  <c r="D153" i="8"/>
  <c r="T153" i="8"/>
  <c r="L153" i="8"/>
  <c r="M157" i="8"/>
  <c r="E154" i="7"/>
  <c r="M156" i="7"/>
  <c r="T152" i="7"/>
  <c r="P152" i="7"/>
  <c r="L152" i="7"/>
  <c r="I154" i="7"/>
  <c r="S153" i="7"/>
  <c r="H152" i="7"/>
  <c r="Q157" i="7"/>
  <c r="E154" i="5"/>
  <c r="W154" i="5" s="1"/>
  <c r="X154" i="5" s="1"/>
  <c r="T152" i="5"/>
  <c r="P152" i="5"/>
  <c r="H152" i="5"/>
  <c r="L152" i="5"/>
  <c r="Q156" i="5"/>
  <c r="D152" i="5"/>
  <c r="M155" i="5"/>
  <c r="U157" i="5"/>
  <c r="I155" i="5"/>
  <c r="E156" i="4"/>
  <c r="I155" i="4"/>
  <c r="X154" i="4"/>
  <c r="Y155" i="4"/>
  <c r="AC156" i="4"/>
  <c r="U157" i="4"/>
  <c r="Q156" i="4"/>
  <c r="M156" i="4"/>
  <c r="AE154" i="4"/>
  <c r="X148" i="2"/>
  <c r="D142" i="1"/>
  <c r="L142" i="1"/>
  <c r="P142" i="1"/>
  <c r="I144" i="1"/>
  <c r="S143" i="1"/>
  <c r="H143" i="1" s="1"/>
  <c r="E148" i="1"/>
  <c r="M160" i="9" l="1"/>
  <c r="E160" i="9"/>
  <c r="Q161" i="9"/>
  <c r="I160" i="9"/>
  <c r="S159" i="9"/>
  <c r="H154" i="8"/>
  <c r="Q158" i="8"/>
  <c r="I156" i="8"/>
  <c r="T154" i="8"/>
  <c r="L154" i="8"/>
  <c r="S155" i="8"/>
  <c r="D155" i="8" s="1"/>
  <c r="D154" i="8"/>
  <c r="M158" i="8"/>
  <c r="E156" i="8"/>
  <c r="T153" i="7"/>
  <c r="P153" i="7"/>
  <c r="L153" i="7"/>
  <c r="I155" i="7"/>
  <c r="S154" i="7"/>
  <c r="H153" i="7"/>
  <c r="M157" i="7"/>
  <c r="Q158" i="7"/>
  <c r="E155" i="7"/>
  <c r="D153" i="7"/>
  <c r="Q157" i="5"/>
  <c r="M156" i="5"/>
  <c r="U158" i="5"/>
  <c r="I156" i="5"/>
  <c r="E155" i="5"/>
  <c r="W155" i="5" s="1"/>
  <c r="X155" i="5" s="1"/>
  <c r="Q157" i="4"/>
  <c r="U158" i="4"/>
  <c r="AC157" i="4"/>
  <c r="Y156" i="4"/>
  <c r="AF154" i="4"/>
  <c r="T154" i="4"/>
  <c r="L154" i="4"/>
  <c r="AB154" i="4"/>
  <c r="P154" i="4"/>
  <c r="D154" i="4"/>
  <c r="H154" i="4"/>
  <c r="M157" i="4"/>
  <c r="I156" i="4"/>
  <c r="AE155" i="4"/>
  <c r="E157" i="4"/>
  <c r="X149" i="2"/>
  <c r="D143" i="1"/>
  <c r="L143" i="1"/>
  <c r="P143" i="1"/>
  <c r="I145" i="1"/>
  <c r="S144" i="1"/>
  <c r="H144" i="1" s="1"/>
  <c r="E149" i="1"/>
  <c r="T159" i="9" l="1"/>
  <c r="P159" i="9"/>
  <c r="I161" i="9"/>
  <c r="H159" i="9"/>
  <c r="Q162" i="9"/>
  <c r="S160" i="9"/>
  <c r="D159" i="9"/>
  <c r="E161" i="9"/>
  <c r="D160" i="9"/>
  <c r="L159" i="9"/>
  <c r="M161" i="9"/>
  <c r="H155" i="8"/>
  <c r="P155" i="8"/>
  <c r="Q159" i="8"/>
  <c r="M159" i="8"/>
  <c r="E157" i="8"/>
  <c r="T155" i="8"/>
  <c r="L155" i="8"/>
  <c r="S156" i="8"/>
  <c r="P156" i="8" s="1"/>
  <c r="I157" i="8"/>
  <c r="Q159" i="7"/>
  <c r="M158" i="7"/>
  <c r="T154" i="7"/>
  <c r="P154" i="7"/>
  <c r="L154" i="7"/>
  <c r="I156" i="7"/>
  <c r="S155" i="7"/>
  <c r="H154" i="7"/>
  <c r="D154" i="7"/>
  <c r="E156" i="7"/>
  <c r="U159" i="5"/>
  <c r="I157" i="5"/>
  <c r="T153" i="5"/>
  <c r="P153" i="5"/>
  <c r="L153" i="5"/>
  <c r="H153" i="5"/>
  <c r="D153" i="5"/>
  <c r="M157" i="5"/>
  <c r="E156" i="5"/>
  <c r="W156" i="5" s="1"/>
  <c r="X156" i="5" s="1"/>
  <c r="Q158" i="5"/>
  <c r="AF155" i="4"/>
  <c r="T155" i="4"/>
  <c r="D155" i="4"/>
  <c r="L155" i="4"/>
  <c r="P155" i="4"/>
  <c r="AB155" i="4"/>
  <c r="E158" i="4"/>
  <c r="H155" i="4"/>
  <c r="M158" i="4"/>
  <c r="I157" i="4"/>
  <c r="Y157" i="4"/>
  <c r="X155" i="4"/>
  <c r="AC158" i="4"/>
  <c r="U159" i="4"/>
  <c r="Q158" i="4"/>
  <c r="AE156" i="4"/>
  <c r="H156" i="4" s="1"/>
  <c r="X150" i="2"/>
  <c r="L144" i="1"/>
  <c r="P144" i="1"/>
  <c r="D144" i="1"/>
  <c r="I146" i="1"/>
  <c r="S145" i="1"/>
  <c r="H145" i="1" s="1"/>
  <c r="E150" i="1"/>
  <c r="E162" i="9" l="1"/>
  <c r="T160" i="9"/>
  <c r="P160" i="9"/>
  <c r="S161" i="9"/>
  <c r="Q163" i="9"/>
  <c r="I162" i="9"/>
  <c r="H161" i="9"/>
  <c r="L160" i="9"/>
  <c r="H160" i="9"/>
  <c r="M162" i="9"/>
  <c r="H156" i="8"/>
  <c r="Q160" i="8"/>
  <c r="I158" i="8"/>
  <c r="T156" i="8"/>
  <c r="L156" i="8"/>
  <c r="S157" i="8"/>
  <c r="P157" i="8" s="1"/>
  <c r="D156" i="8"/>
  <c r="E158" i="8"/>
  <c r="M160" i="8"/>
  <c r="T155" i="7"/>
  <c r="P155" i="7"/>
  <c r="L155" i="7"/>
  <c r="H155" i="7"/>
  <c r="D155" i="7"/>
  <c r="I157" i="7"/>
  <c r="S156" i="7"/>
  <c r="D156" i="7" s="1"/>
  <c r="M159" i="7"/>
  <c r="E157" i="7"/>
  <c r="Q160" i="7"/>
  <c r="T154" i="5"/>
  <c r="P154" i="5"/>
  <c r="H154" i="5"/>
  <c r="L154" i="5"/>
  <c r="D154" i="5"/>
  <c r="I158" i="5"/>
  <c r="U160" i="5"/>
  <c r="E157" i="5"/>
  <c r="W157" i="5" s="1"/>
  <c r="X157" i="5" s="1"/>
  <c r="M158" i="5"/>
  <c r="Q159" i="5"/>
  <c r="AE157" i="4"/>
  <c r="P157" i="4" s="1"/>
  <c r="M159" i="4"/>
  <c r="U160" i="4"/>
  <c r="AF157" i="4"/>
  <c r="T157" i="4"/>
  <c r="L157" i="4"/>
  <c r="Q159" i="4"/>
  <c r="AF156" i="4"/>
  <c r="T156" i="4"/>
  <c r="P156" i="4"/>
  <c r="L156" i="4"/>
  <c r="AB156" i="4"/>
  <c r="D156" i="4"/>
  <c r="D157" i="4"/>
  <c r="E159" i="4"/>
  <c r="AB157" i="4"/>
  <c r="AC159" i="4"/>
  <c r="X157" i="4"/>
  <c r="Y158" i="4"/>
  <c r="X156" i="4"/>
  <c r="I158" i="4"/>
  <c r="AE158" i="4" s="1"/>
  <c r="P158" i="4" s="1"/>
  <c r="H157" i="4"/>
  <c r="X151" i="2"/>
  <c r="D145" i="1"/>
  <c r="P145" i="1"/>
  <c r="L145" i="1"/>
  <c r="I147" i="1"/>
  <c r="S146" i="1"/>
  <c r="H146" i="1" s="1"/>
  <c r="E151" i="1"/>
  <c r="I163" i="9" l="1"/>
  <c r="Q164" i="9"/>
  <c r="S162" i="9"/>
  <c r="T161" i="9"/>
  <c r="P161" i="9"/>
  <c r="M163" i="9"/>
  <c r="L162" i="9"/>
  <c r="D161" i="9"/>
  <c r="L161" i="9"/>
  <c r="E163" i="9"/>
  <c r="D157" i="8"/>
  <c r="Q161" i="8"/>
  <c r="M161" i="8"/>
  <c r="E159" i="8"/>
  <c r="T157" i="8"/>
  <c r="L157" i="8"/>
  <c r="S158" i="8"/>
  <c r="P158" i="8" s="1"/>
  <c r="I159" i="8"/>
  <c r="H157" i="8"/>
  <c r="Q161" i="7"/>
  <c r="M160" i="7"/>
  <c r="T156" i="7"/>
  <c r="P156" i="7"/>
  <c r="L156" i="7"/>
  <c r="H156" i="7"/>
  <c r="I158" i="7"/>
  <c r="S157" i="7"/>
  <c r="H157" i="7" s="1"/>
  <c r="E158" i="7"/>
  <c r="I159" i="5"/>
  <c r="M159" i="5"/>
  <c r="U161" i="5"/>
  <c r="E158" i="5"/>
  <c r="W158" i="5" s="1"/>
  <c r="X158" i="5" s="1"/>
  <c r="T155" i="5"/>
  <c r="P155" i="5"/>
  <c r="L155" i="5"/>
  <c r="H155" i="5"/>
  <c r="D155" i="5"/>
  <c r="Q160" i="5"/>
  <c r="AB158" i="4"/>
  <c r="Q160" i="4"/>
  <c r="AF158" i="4"/>
  <c r="T158" i="4"/>
  <c r="E160" i="4"/>
  <c r="AC160" i="4"/>
  <c r="D158" i="4"/>
  <c r="U161" i="4"/>
  <c r="I159" i="4"/>
  <c r="H158" i="4"/>
  <c r="L158" i="4"/>
  <c r="Y159" i="4"/>
  <c r="X158" i="4"/>
  <c r="M160" i="4"/>
  <c r="X152" i="2"/>
  <c r="D146" i="1"/>
  <c r="P146" i="1"/>
  <c r="L146" i="1"/>
  <c r="I148" i="1"/>
  <c r="S147" i="1"/>
  <c r="H147" i="1" s="1"/>
  <c r="E152" i="1"/>
  <c r="M164" i="9" l="1"/>
  <c r="T162" i="9"/>
  <c r="P162" i="9"/>
  <c r="S163" i="9"/>
  <c r="Q165" i="9"/>
  <c r="E164" i="9"/>
  <c r="D163" i="9"/>
  <c r="I164" i="9"/>
  <c r="H163" i="9"/>
  <c r="D162" i="9"/>
  <c r="H162" i="9"/>
  <c r="Q162" i="8"/>
  <c r="I160" i="8"/>
  <c r="E160" i="8"/>
  <c r="T158" i="8"/>
  <c r="L158" i="8"/>
  <c r="D158" i="8"/>
  <c r="H158" i="8"/>
  <c r="S159" i="8"/>
  <c r="M162" i="8"/>
  <c r="I159" i="7"/>
  <c r="S158" i="7"/>
  <c r="T157" i="7"/>
  <c r="P157" i="7"/>
  <c r="L157" i="7"/>
  <c r="M161" i="7"/>
  <c r="E159" i="7"/>
  <c r="D158" i="7"/>
  <c r="Q162" i="7"/>
  <c r="D157" i="7"/>
  <c r="T156" i="5"/>
  <c r="P156" i="5"/>
  <c r="H156" i="5"/>
  <c r="L156" i="5"/>
  <c r="D156" i="5"/>
  <c r="M160" i="5"/>
  <c r="E159" i="5"/>
  <c r="W159" i="5" s="1"/>
  <c r="X159" i="5" s="1"/>
  <c r="U162" i="5"/>
  <c r="Q161" i="5"/>
  <c r="I160" i="5"/>
  <c r="U162" i="4"/>
  <c r="AC161" i="4"/>
  <c r="M161" i="4"/>
  <c r="E161" i="4"/>
  <c r="Y160" i="4"/>
  <c r="Q161" i="4"/>
  <c r="I160" i="4"/>
  <c r="AE160" i="4" s="1"/>
  <c r="D160" i="4" s="1"/>
  <c r="AE159" i="4"/>
  <c r="X159" i="4" s="1"/>
  <c r="X153" i="2"/>
  <c r="D147" i="1"/>
  <c r="L147" i="1"/>
  <c r="P147" i="1"/>
  <c r="I149" i="1"/>
  <c r="S148" i="1"/>
  <c r="H148" i="1"/>
  <c r="E153" i="1"/>
  <c r="I165" i="9" l="1"/>
  <c r="E165" i="9"/>
  <c r="S164" i="9"/>
  <c r="Q166" i="9"/>
  <c r="T163" i="9"/>
  <c r="P163" i="9"/>
  <c r="L164" i="9"/>
  <c r="M165" i="9"/>
  <c r="L163" i="9"/>
  <c r="D159" i="8"/>
  <c r="P159" i="8"/>
  <c r="Q163" i="8"/>
  <c r="S160" i="8"/>
  <c r="P160" i="8" s="1"/>
  <c r="E161" i="8"/>
  <c r="M163" i="8"/>
  <c r="T159" i="8"/>
  <c r="L159" i="8"/>
  <c r="I161" i="8"/>
  <c r="H159" i="8"/>
  <c r="E160" i="7"/>
  <c r="M162" i="7"/>
  <c r="T158" i="7"/>
  <c r="P158" i="7"/>
  <c r="L158" i="7"/>
  <c r="I160" i="7"/>
  <c r="S159" i="7"/>
  <c r="Q163" i="7"/>
  <c r="H158" i="7"/>
  <c r="E160" i="5"/>
  <c r="W160" i="5" s="1"/>
  <c r="X160" i="5" s="1"/>
  <c r="U163" i="5"/>
  <c r="Q162" i="5"/>
  <c r="I161" i="5"/>
  <c r="M161" i="5"/>
  <c r="T157" i="5"/>
  <c r="P157" i="5"/>
  <c r="L157" i="5"/>
  <c r="H157" i="5"/>
  <c r="D157" i="5"/>
  <c r="Q162" i="4"/>
  <c r="X160" i="4"/>
  <c r="Y161" i="4"/>
  <c r="AF160" i="4"/>
  <c r="T160" i="4"/>
  <c r="L160" i="4"/>
  <c r="E162" i="4"/>
  <c r="M162" i="4"/>
  <c r="AF159" i="4"/>
  <c r="T159" i="4"/>
  <c r="P159" i="4"/>
  <c r="AB159" i="4"/>
  <c r="L159" i="4"/>
  <c r="D159" i="4"/>
  <c r="AC162" i="4"/>
  <c r="H160" i="4"/>
  <c r="I161" i="4"/>
  <c r="AB160" i="4"/>
  <c r="H159" i="4"/>
  <c r="U163" i="4"/>
  <c r="P160" i="4"/>
  <c r="X154" i="2"/>
  <c r="D148" i="1"/>
  <c r="P148" i="1"/>
  <c r="L148" i="1"/>
  <c r="I150" i="1"/>
  <c r="S149" i="1"/>
  <c r="H149" i="1" s="1"/>
  <c r="E154" i="1"/>
  <c r="M166" i="9" l="1"/>
  <c r="S165" i="9"/>
  <c r="Q167" i="9"/>
  <c r="T164" i="9"/>
  <c r="P164" i="9"/>
  <c r="D165" i="9"/>
  <c r="E166" i="9"/>
  <c r="D164" i="9"/>
  <c r="H164" i="9"/>
  <c r="I166" i="9"/>
  <c r="Q164" i="8"/>
  <c r="D160" i="8"/>
  <c r="H160" i="8"/>
  <c r="I162" i="8"/>
  <c r="M164" i="8"/>
  <c r="E162" i="8"/>
  <c r="S161" i="8"/>
  <c r="P161" i="8" s="1"/>
  <c r="T160" i="8"/>
  <c r="L160" i="8"/>
  <c r="I161" i="7"/>
  <c r="S160" i="7"/>
  <c r="D160" i="7" s="1"/>
  <c r="T159" i="7"/>
  <c r="P159" i="7"/>
  <c r="L159" i="7"/>
  <c r="H159" i="7"/>
  <c r="M163" i="7"/>
  <c r="E161" i="7"/>
  <c r="Q164" i="7"/>
  <c r="D159" i="7"/>
  <c r="Q163" i="5"/>
  <c r="U164" i="5"/>
  <c r="M162" i="5"/>
  <c r="T158" i="5"/>
  <c r="P158" i="5"/>
  <c r="L158" i="5"/>
  <c r="H158" i="5"/>
  <c r="D158" i="5"/>
  <c r="E161" i="5"/>
  <c r="W161" i="5" s="1"/>
  <c r="X161" i="5" s="1"/>
  <c r="I162" i="5"/>
  <c r="M163" i="4"/>
  <c r="Y162" i="4"/>
  <c r="E163" i="4"/>
  <c r="I162" i="4"/>
  <c r="AC163" i="4"/>
  <c r="Q163" i="4"/>
  <c r="U164" i="4"/>
  <c r="AE161" i="4"/>
  <c r="H161" i="4" s="1"/>
  <c r="X155" i="2"/>
  <c r="D149" i="1"/>
  <c r="L149" i="1"/>
  <c r="P149" i="1"/>
  <c r="I151" i="1"/>
  <c r="S150" i="1"/>
  <c r="H150" i="1" s="1"/>
  <c r="E155" i="1"/>
  <c r="E167" i="9" l="1"/>
  <c r="Q168" i="9"/>
  <c r="S166" i="9"/>
  <c r="D166" i="9" s="1"/>
  <c r="T165" i="9"/>
  <c r="P165" i="9"/>
  <c r="H165" i="9"/>
  <c r="L166" i="9"/>
  <c r="M167" i="9"/>
  <c r="H166" i="9"/>
  <c r="I167" i="9"/>
  <c r="L165" i="9"/>
  <c r="Q165" i="8"/>
  <c r="S162" i="8"/>
  <c r="T161" i="8"/>
  <c r="L161" i="8"/>
  <c r="E163" i="8"/>
  <c r="D161" i="8"/>
  <c r="M165" i="8"/>
  <c r="H161" i="8"/>
  <c r="I163" i="8"/>
  <c r="E162" i="7"/>
  <c r="M164" i="7"/>
  <c r="T160" i="7"/>
  <c r="P160" i="7"/>
  <c r="L160" i="7"/>
  <c r="Q165" i="7"/>
  <c r="I162" i="7"/>
  <c r="S161" i="7"/>
  <c r="H161" i="7" s="1"/>
  <c r="H160" i="7"/>
  <c r="I163" i="5"/>
  <c r="M163" i="5"/>
  <c r="Q164" i="5"/>
  <c r="T159" i="5"/>
  <c r="P159" i="5"/>
  <c r="L159" i="5"/>
  <c r="H159" i="5"/>
  <c r="D159" i="5"/>
  <c r="U165" i="5"/>
  <c r="E162" i="5"/>
  <c r="W162" i="5" s="1"/>
  <c r="X162" i="5" s="1"/>
  <c r="AE162" i="4"/>
  <c r="T162" i="4" s="1"/>
  <c r="I163" i="4"/>
  <c r="AC164" i="4"/>
  <c r="E164" i="4"/>
  <c r="AF161" i="4"/>
  <c r="T161" i="4"/>
  <c r="P161" i="4"/>
  <c r="AB161" i="4"/>
  <c r="D161" i="4"/>
  <c r="L161" i="4"/>
  <c r="Y163" i="4"/>
  <c r="X161" i="4"/>
  <c r="U165" i="4"/>
  <c r="Q164" i="4"/>
  <c r="M164" i="4"/>
  <c r="X156" i="2"/>
  <c r="D150" i="1"/>
  <c r="P150" i="1"/>
  <c r="L150" i="1"/>
  <c r="I152" i="1"/>
  <c r="S151" i="1"/>
  <c r="H151" i="1" s="1"/>
  <c r="E156" i="1"/>
  <c r="S167" i="9" l="1"/>
  <c r="T167" i="9" s="1"/>
  <c r="P167" i="9"/>
  <c r="Q169" i="9"/>
  <c r="M168" i="9"/>
  <c r="L167" i="9"/>
  <c r="T166" i="9"/>
  <c r="P166" i="9"/>
  <c r="I168" i="9"/>
  <c r="H167" i="9"/>
  <c r="E168" i="9"/>
  <c r="D167" i="9"/>
  <c r="H162" i="8"/>
  <c r="P162" i="8"/>
  <c r="Q166" i="8"/>
  <c r="D162" i="8"/>
  <c r="I164" i="8"/>
  <c r="M166" i="8"/>
  <c r="E164" i="8"/>
  <c r="S163" i="8"/>
  <c r="P163" i="8" s="1"/>
  <c r="T162" i="8"/>
  <c r="L162" i="8"/>
  <c r="I163" i="7"/>
  <c r="S162" i="7"/>
  <c r="D162" i="7" s="1"/>
  <c r="Q166" i="7"/>
  <c r="M165" i="7"/>
  <c r="E163" i="7"/>
  <c r="T161" i="7"/>
  <c r="P161" i="7"/>
  <c r="L161" i="7"/>
  <c r="D161" i="7"/>
  <c r="T160" i="5"/>
  <c r="P160" i="5"/>
  <c r="H160" i="5"/>
  <c r="L160" i="5"/>
  <c r="D160" i="5"/>
  <c r="E163" i="5"/>
  <c r="W163" i="5" s="1"/>
  <c r="X163" i="5" s="1"/>
  <c r="I164" i="5"/>
  <c r="Q165" i="5"/>
  <c r="M164" i="5"/>
  <c r="U166" i="5"/>
  <c r="H162" i="4"/>
  <c r="P162" i="4"/>
  <c r="X162" i="4"/>
  <c r="AB162" i="4"/>
  <c r="D162" i="4"/>
  <c r="L162" i="4"/>
  <c r="AF162" i="4"/>
  <c r="U166" i="4"/>
  <c r="E165" i="4"/>
  <c r="I164" i="4"/>
  <c r="Q165" i="4"/>
  <c r="AC165" i="4"/>
  <c r="Y164" i="4"/>
  <c r="M165" i="4"/>
  <c r="AE163" i="4"/>
  <c r="H163" i="4" s="1"/>
  <c r="X157" i="2"/>
  <c r="D151" i="1"/>
  <c r="P151" i="1"/>
  <c r="L151" i="1"/>
  <c r="I153" i="1"/>
  <c r="S152" i="1"/>
  <c r="H152" i="1" s="1"/>
  <c r="E157" i="1"/>
  <c r="Q170" i="9" l="1"/>
  <c r="M169" i="9"/>
  <c r="E169" i="9"/>
  <c r="I169" i="9"/>
  <c r="S168" i="9"/>
  <c r="Q167" i="8"/>
  <c r="T163" i="8"/>
  <c r="L163" i="8"/>
  <c r="S164" i="8"/>
  <c r="E165" i="8"/>
  <c r="D163" i="8"/>
  <c r="M167" i="8"/>
  <c r="H163" i="8"/>
  <c r="I165" i="8"/>
  <c r="M166" i="7"/>
  <c r="E164" i="7"/>
  <c r="Q167" i="7"/>
  <c r="T162" i="7"/>
  <c r="P162" i="7"/>
  <c r="L162" i="7"/>
  <c r="H162" i="7"/>
  <c r="I164" i="7"/>
  <c r="S163" i="7"/>
  <c r="D163" i="7" s="1"/>
  <c r="E164" i="5"/>
  <c r="W164" i="5" s="1"/>
  <c r="X164" i="5" s="1"/>
  <c r="U167" i="5"/>
  <c r="T161" i="5"/>
  <c r="P161" i="5"/>
  <c r="L161" i="5"/>
  <c r="H161" i="5"/>
  <c r="D161" i="5"/>
  <c r="I165" i="5"/>
  <c r="Q166" i="5"/>
  <c r="D163" i="5"/>
  <c r="M165" i="5"/>
  <c r="AE164" i="4"/>
  <c r="P164" i="4" s="1"/>
  <c r="X163" i="4"/>
  <c r="I165" i="4"/>
  <c r="Q166" i="4"/>
  <c r="AC166" i="4"/>
  <c r="AF163" i="4"/>
  <c r="T163" i="4"/>
  <c r="P163" i="4"/>
  <c r="AB163" i="4"/>
  <c r="L163" i="4"/>
  <c r="D163" i="4"/>
  <c r="E166" i="4"/>
  <c r="M166" i="4"/>
  <c r="Y165" i="4"/>
  <c r="U167" i="4"/>
  <c r="X158" i="2"/>
  <c r="D152" i="1"/>
  <c r="L152" i="1"/>
  <c r="P152" i="1"/>
  <c r="I154" i="1"/>
  <c r="S153" i="1"/>
  <c r="H153" i="1" s="1"/>
  <c r="E158" i="1"/>
  <c r="M170" i="9" l="1"/>
  <c r="E170" i="9"/>
  <c r="S169" i="9"/>
  <c r="T168" i="9"/>
  <c r="P168" i="9"/>
  <c r="I170" i="9"/>
  <c r="H169" i="9"/>
  <c r="L168" i="9"/>
  <c r="H168" i="9"/>
  <c r="D168" i="9"/>
  <c r="Q171" i="9"/>
  <c r="D164" i="8"/>
  <c r="P164" i="8"/>
  <c r="Q168" i="8"/>
  <c r="I166" i="8"/>
  <c r="M168" i="8"/>
  <c r="E166" i="8"/>
  <c r="S165" i="8"/>
  <c r="P165" i="8" s="1"/>
  <c r="T164" i="8"/>
  <c r="L164" i="8"/>
  <c r="H164" i="8"/>
  <c r="H163" i="7"/>
  <c r="Q168" i="7"/>
  <c r="E165" i="7"/>
  <c r="T163" i="7"/>
  <c r="P163" i="7"/>
  <c r="L163" i="7"/>
  <c r="M167" i="7"/>
  <c r="I165" i="7"/>
  <c r="S164" i="7"/>
  <c r="D164" i="7" s="1"/>
  <c r="I166" i="5"/>
  <c r="U168" i="5"/>
  <c r="E165" i="5"/>
  <c r="W165" i="5" s="1"/>
  <c r="X165" i="5" s="1"/>
  <c r="T162" i="5"/>
  <c r="P162" i="5"/>
  <c r="H162" i="5"/>
  <c r="L162" i="5"/>
  <c r="D162" i="5"/>
  <c r="M166" i="5"/>
  <c r="T163" i="5"/>
  <c r="P163" i="5"/>
  <c r="L163" i="5"/>
  <c r="H163" i="5"/>
  <c r="Q167" i="5"/>
  <c r="X164" i="4"/>
  <c r="H164" i="4"/>
  <c r="T164" i="4"/>
  <c r="AF164" i="4"/>
  <c r="AB164" i="4"/>
  <c r="L164" i="4"/>
  <c r="D164" i="4"/>
  <c r="M167" i="4"/>
  <c r="Q167" i="4"/>
  <c r="AC167" i="4"/>
  <c r="Y166" i="4"/>
  <c r="E167" i="4"/>
  <c r="AE165" i="4"/>
  <c r="I166" i="4"/>
  <c r="U168" i="4"/>
  <c r="X159" i="2"/>
  <c r="D153" i="1"/>
  <c r="P153" i="1"/>
  <c r="L153" i="1"/>
  <c r="I155" i="1"/>
  <c r="S154" i="1"/>
  <c r="H154" i="1" s="1"/>
  <c r="E159" i="1"/>
  <c r="I171" i="9" l="1"/>
  <c r="T169" i="9"/>
  <c r="P169" i="9"/>
  <c r="D169" i="9"/>
  <c r="E171" i="9"/>
  <c r="S171" i="9" s="1"/>
  <c r="P171" i="9" s="1"/>
  <c r="M171" i="9"/>
  <c r="Q172" i="9"/>
  <c r="S170" i="9"/>
  <c r="H170" i="9" s="1"/>
  <c r="L169" i="9"/>
  <c r="Q169" i="8"/>
  <c r="S166" i="8"/>
  <c r="P166" i="8" s="1"/>
  <c r="T165" i="8"/>
  <c r="L165" i="8"/>
  <c r="D165" i="8"/>
  <c r="E167" i="8"/>
  <c r="M169" i="8"/>
  <c r="I167" i="8"/>
  <c r="H165" i="8"/>
  <c r="H164" i="7"/>
  <c r="M168" i="7"/>
  <c r="I166" i="7"/>
  <c r="S165" i="7"/>
  <c r="D165" i="7" s="1"/>
  <c r="E166" i="7"/>
  <c r="T164" i="7"/>
  <c r="P164" i="7"/>
  <c r="L164" i="7"/>
  <c r="Q169" i="7"/>
  <c r="Q168" i="5"/>
  <c r="E166" i="5"/>
  <c r="W166" i="5" s="1"/>
  <c r="X166" i="5" s="1"/>
  <c r="I167" i="5"/>
  <c r="U169" i="5"/>
  <c r="M167" i="5"/>
  <c r="E168" i="4"/>
  <c r="AF165" i="4"/>
  <c r="T165" i="4"/>
  <c r="P165" i="4"/>
  <c r="D165" i="4"/>
  <c r="AB165" i="4"/>
  <c r="L165" i="4"/>
  <c r="Y167" i="4"/>
  <c r="X165" i="4"/>
  <c r="AC168" i="4"/>
  <c r="AE166" i="4"/>
  <c r="H166" i="4" s="1"/>
  <c r="U169" i="4"/>
  <c r="Q168" i="4"/>
  <c r="I167" i="4"/>
  <c r="M168" i="4"/>
  <c r="H165" i="4"/>
  <c r="X160" i="2"/>
  <c r="I156" i="1"/>
  <c r="S155" i="1"/>
  <c r="H155" i="1" s="1"/>
  <c r="D154" i="1"/>
  <c r="P154" i="1"/>
  <c r="L154" i="1"/>
  <c r="E160" i="1"/>
  <c r="D170" i="9" l="1"/>
  <c r="L170" i="9"/>
  <c r="T171" i="9"/>
  <c r="Q173" i="9"/>
  <c r="M172" i="9"/>
  <c r="L171" i="9"/>
  <c r="D171" i="9"/>
  <c r="E172" i="9"/>
  <c r="T170" i="9"/>
  <c r="P170" i="9"/>
  <c r="I172" i="9"/>
  <c r="H171" i="9"/>
  <c r="D166" i="8"/>
  <c r="H166" i="8"/>
  <c r="Q170" i="8"/>
  <c r="M170" i="8"/>
  <c r="E168" i="8"/>
  <c r="T166" i="8"/>
  <c r="L166" i="8"/>
  <c r="I168" i="8"/>
  <c r="S167" i="8"/>
  <c r="E167" i="7"/>
  <c r="T165" i="7"/>
  <c r="P165" i="7"/>
  <c r="L165" i="7"/>
  <c r="H165" i="7"/>
  <c r="I167" i="7"/>
  <c r="S166" i="7"/>
  <c r="M169" i="7"/>
  <c r="Q170" i="7"/>
  <c r="U170" i="5"/>
  <c r="M168" i="5"/>
  <c r="I168" i="5"/>
  <c r="E167" i="5"/>
  <c r="W167" i="5" s="1"/>
  <c r="X167" i="5" s="1"/>
  <c r="T164" i="5"/>
  <c r="P164" i="5"/>
  <c r="L164" i="5"/>
  <c r="H164" i="5"/>
  <c r="D164" i="5"/>
  <c r="Q169" i="5"/>
  <c r="X166" i="4"/>
  <c r="M169" i="4"/>
  <c r="Q169" i="4"/>
  <c r="I168" i="4"/>
  <c r="AC169" i="4"/>
  <c r="Y168" i="4"/>
  <c r="AE167" i="4"/>
  <c r="H167" i="4" s="1"/>
  <c r="U170" i="4"/>
  <c r="AF166" i="4"/>
  <c r="T166" i="4"/>
  <c r="L166" i="4"/>
  <c r="P166" i="4"/>
  <c r="AB166" i="4"/>
  <c r="D166" i="4"/>
  <c r="E169" i="4"/>
  <c r="X161" i="2"/>
  <c r="P155" i="1"/>
  <c r="D155" i="1"/>
  <c r="L155" i="1"/>
  <c r="I157" i="1"/>
  <c r="S156" i="1"/>
  <c r="H156" i="1"/>
  <c r="E161" i="1"/>
  <c r="I173" i="9" l="1"/>
  <c r="E173" i="9"/>
  <c r="M173" i="9"/>
  <c r="S172" i="9"/>
  <c r="S173" i="9"/>
  <c r="T173" i="9" s="1"/>
  <c r="Q174" i="9"/>
  <c r="H167" i="8"/>
  <c r="P167" i="8"/>
  <c r="Q171" i="8"/>
  <c r="S168" i="8"/>
  <c r="P168" i="8" s="1"/>
  <c r="T167" i="8"/>
  <c r="L167" i="8"/>
  <c r="I169" i="8"/>
  <c r="E169" i="8"/>
  <c r="D167" i="8"/>
  <c r="M171" i="8"/>
  <c r="M170" i="7"/>
  <c r="T166" i="7"/>
  <c r="P166" i="7"/>
  <c r="L166" i="7"/>
  <c r="I168" i="7"/>
  <c r="S167" i="7"/>
  <c r="H167" i="7" s="1"/>
  <c r="H166" i="7"/>
  <c r="D166" i="7"/>
  <c r="Q171" i="7"/>
  <c r="E168" i="7"/>
  <c r="T166" i="5"/>
  <c r="P166" i="5"/>
  <c r="H166" i="5"/>
  <c r="L166" i="5"/>
  <c r="E168" i="5"/>
  <c r="W168" i="5" s="1"/>
  <c r="X168" i="5" s="1"/>
  <c r="M169" i="5"/>
  <c r="T165" i="5"/>
  <c r="P165" i="5"/>
  <c r="L165" i="5"/>
  <c r="H165" i="5"/>
  <c r="D165" i="5"/>
  <c r="I169" i="5"/>
  <c r="U171" i="5"/>
  <c r="D166" i="5"/>
  <c r="Q170" i="5"/>
  <c r="Y169" i="4"/>
  <c r="E170" i="4"/>
  <c r="AC170" i="4"/>
  <c r="AF167" i="4"/>
  <c r="T167" i="4"/>
  <c r="D167" i="4"/>
  <c r="AB167" i="4"/>
  <c r="P167" i="4"/>
  <c r="L167" i="4"/>
  <c r="X167" i="4"/>
  <c r="I169" i="4"/>
  <c r="Q170" i="4"/>
  <c r="AE168" i="4"/>
  <c r="U171" i="4"/>
  <c r="M170" i="4"/>
  <c r="X162" i="2"/>
  <c r="P156" i="1"/>
  <c r="D156" i="1"/>
  <c r="L156" i="1"/>
  <c r="I158" i="1"/>
  <c r="S157" i="1"/>
  <c r="H157" i="1" s="1"/>
  <c r="E162" i="1"/>
  <c r="P173" i="9" l="1"/>
  <c r="L173" i="9"/>
  <c r="M174" i="9"/>
  <c r="Q175" i="9"/>
  <c r="T172" i="9"/>
  <c r="P172" i="9"/>
  <c r="D172" i="9"/>
  <c r="D173" i="9"/>
  <c r="E174" i="9"/>
  <c r="I174" i="9"/>
  <c r="H173" i="9"/>
  <c r="L172" i="9"/>
  <c r="H172" i="9"/>
  <c r="D168" i="8"/>
  <c r="H168" i="8"/>
  <c r="Q172" i="8"/>
  <c r="M172" i="8"/>
  <c r="E170" i="8"/>
  <c r="I170" i="8"/>
  <c r="T168" i="8"/>
  <c r="L168" i="8"/>
  <c r="S169" i="8"/>
  <c r="P169" i="8" s="1"/>
  <c r="T167" i="7"/>
  <c r="P167" i="7"/>
  <c r="L167" i="7"/>
  <c r="I169" i="7"/>
  <c r="S168" i="7"/>
  <c r="D168" i="7" s="1"/>
  <c r="D167" i="7"/>
  <c r="M171" i="7"/>
  <c r="E169" i="7"/>
  <c r="Q172" i="7"/>
  <c r="Q171" i="5"/>
  <c r="M170" i="5"/>
  <c r="U172" i="5"/>
  <c r="E169" i="5"/>
  <c r="W169" i="5" s="1"/>
  <c r="X169" i="5" s="1"/>
  <c r="I170" i="5"/>
  <c r="AE169" i="4"/>
  <c r="AB169" i="4" s="1"/>
  <c r="M171" i="4"/>
  <c r="U172" i="4"/>
  <c r="AF168" i="4"/>
  <c r="T168" i="4"/>
  <c r="L168" i="4"/>
  <c r="AB168" i="4"/>
  <c r="D168" i="4"/>
  <c r="P168" i="4"/>
  <c r="Q171" i="4"/>
  <c r="AC171" i="4"/>
  <c r="I170" i="4"/>
  <c r="E171" i="4"/>
  <c r="H168" i="4"/>
  <c r="Y170" i="4"/>
  <c r="X168" i="4"/>
  <c r="X163" i="2"/>
  <c r="L157" i="1"/>
  <c r="D157" i="1"/>
  <c r="P157" i="1"/>
  <c r="I159" i="1"/>
  <c r="S158" i="1"/>
  <c r="H158" i="1" s="1"/>
  <c r="E163" i="1"/>
  <c r="S174" i="9" l="1"/>
  <c r="T174" i="9" s="1"/>
  <c r="E175" i="9"/>
  <c r="D174" i="9"/>
  <c r="Q176" i="9"/>
  <c r="M175" i="9"/>
  <c r="L174" i="9"/>
  <c r="I175" i="9"/>
  <c r="H174" i="9"/>
  <c r="Q173" i="8"/>
  <c r="T169" i="8"/>
  <c r="L169" i="8"/>
  <c r="S170" i="8"/>
  <c r="P170" i="8" s="1"/>
  <c r="H169" i="8"/>
  <c r="I171" i="8"/>
  <c r="E171" i="8"/>
  <c r="D169" i="8"/>
  <c r="M173" i="8"/>
  <c r="E170" i="7"/>
  <c r="M172" i="7"/>
  <c r="T168" i="7"/>
  <c r="P168" i="7"/>
  <c r="L168" i="7"/>
  <c r="I170" i="7"/>
  <c r="S169" i="7"/>
  <c r="H168" i="7"/>
  <c r="Q173" i="7"/>
  <c r="T167" i="5"/>
  <c r="P167" i="5"/>
  <c r="L167" i="5"/>
  <c r="H167" i="5"/>
  <c r="D167" i="5"/>
  <c r="T168" i="5"/>
  <c r="P168" i="5"/>
  <c r="L168" i="5"/>
  <c r="H168" i="5"/>
  <c r="D168" i="5"/>
  <c r="U173" i="5"/>
  <c r="M171" i="5"/>
  <c r="I171" i="5"/>
  <c r="E170" i="5"/>
  <c r="W170" i="5" s="1"/>
  <c r="X170" i="5" s="1"/>
  <c r="Q172" i="5"/>
  <c r="AE170" i="4"/>
  <c r="D170" i="4" s="1"/>
  <c r="P169" i="4"/>
  <c r="H169" i="4"/>
  <c r="D169" i="4"/>
  <c r="T169" i="4"/>
  <c r="AF169" i="4"/>
  <c r="L169" i="4"/>
  <c r="X169" i="4"/>
  <c r="I171" i="4"/>
  <c r="E172" i="4"/>
  <c r="U173" i="4"/>
  <c r="AC172" i="4"/>
  <c r="M172" i="4"/>
  <c r="Y171" i="4"/>
  <c r="Q172" i="4"/>
  <c r="X164" i="2"/>
  <c r="D158" i="1"/>
  <c r="P158" i="1"/>
  <c r="L158" i="1"/>
  <c r="I160" i="1"/>
  <c r="S159" i="1"/>
  <c r="H159" i="1" s="1"/>
  <c r="E164" i="1"/>
  <c r="P174" i="9" l="1"/>
  <c r="M176" i="9"/>
  <c r="E176" i="9"/>
  <c r="I176" i="9"/>
  <c r="S176" i="9" s="1"/>
  <c r="T176" i="9" s="1"/>
  <c r="S175" i="9"/>
  <c r="Q177" i="9"/>
  <c r="D170" i="8"/>
  <c r="H170" i="8"/>
  <c r="Q174" i="8"/>
  <c r="E172" i="8"/>
  <c r="I172" i="8"/>
  <c r="S171" i="8"/>
  <c r="P171" i="8" s="1"/>
  <c r="T170" i="8"/>
  <c r="L170" i="8"/>
  <c r="M174" i="8"/>
  <c r="T169" i="7"/>
  <c r="P169" i="7"/>
  <c r="L169" i="7"/>
  <c r="I171" i="7"/>
  <c r="S170" i="7"/>
  <c r="H169" i="7"/>
  <c r="M173" i="7"/>
  <c r="Q174" i="7"/>
  <c r="E171" i="7"/>
  <c r="D169" i="7"/>
  <c r="U174" i="5"/>
  <c r="Q173" i="5"/>
  <c r="I172" i="5"/>
  <c r="M172" i="5"/>
  <c r="E171" i="5"/>
  <c r="W171" i="5" s="1"/>
  <c r="X171" i="5" s="1"/>
  <c r="AE171" i="4"/>
  <c r="L170" i="4"/>
  <c r="P170" i="4"/>
  <c r="H170" i="4"/>
  <c r="AF170" i="4"/>
  <c r="AB170" i="4"/>
  <c r="T170" i="4"/>
  <c r="X170" i="4"/>
  <c r="P171" i="4"/>
  <c r="D171" i="4"/>
  <c r="AB171" i="4"/>
  <c r="AC173" i="4"/>
  <c r="Q173" i="4"/>
  <c r="U174" i="4"/>
  <c r="E173" i="4"/>
  <c r="AF171" i="4"/>
  <c r="T171" i="4"/>
  <c r="Y172" i="4"/>
  <c r="X171" i="4"/>
  <c r="M173" i="4"/>
  <c r="L171" i="4"/>
  <c r="H171" i="4"/>
  <c r="I172" i="4"/>
  <c r="X165" i="2"/>
  <c r="D159" i="1"/>
  <c r="L159" i="1"/>
  <c r="P159" i="1"/>
  <c r="I161" i="1"/>
  <c r="S160" i="1"/>
  <c r="H160" i="1" s="1"/>
  <c r="E165" i="1"/>
  <c r="Q178" i="9" l="1"/>
  <c r="P176" i="9"/>
  <c r="T175" i="9"/>
  <c r="P175" i="9"/>
  <c r="I177" i="9"/>
  <c r="H176" i="9"/>
  <c r="H175" i="9"/>
  <c r="D175" i="9"/>
  <c r="E177" i="9"/>
  <c r="D176" i="9"/>
  <c r="L175" i="9"/>
  <c r="M177" i="9"/>
  <c r="L176" i="9"/>
  <c r="Q175" i="8"/>
  <c r="M175" i="8"/>
  <c r="S172" i="8"/>
  <c r="P172" i="8" s="1"/>
  <c r="T171" i="8"/>
  <c r="L171" i="8"/>
  <c r="H171" i="8"/>
  <c r="I173" i="8"/>
  <c r="D171" i="8"/>
  <c r="E173" i="8"/>
  <c r="Q175" i="7"/>
  <c r="M174" i="7"/>
  <c r="T170" i="7"/>
  <c r="P170" i="7"/>
  <c r="L170" i="7"/>
  <c r="I172" i="7"/>
  <c r="S171" i="7"/>
  <c r="H170" i="7"/>
  <c r="D170" i="7"/>
  <c r="E172" i="7"/>
  <c r="T169" i="5"/>
  <c r="P169" i="5"/>
  <c r="H169" i="5"/>
  <c r="L169" i="5"/>
  <c r="D169" i="5"/>
  <c r="M173" i="5"/>
  <c r="U175" i="5"/>
  <c r="I173" i="5"/>
  <c r="Q174" i="5"/>
  <c r="E172" i="5"/>
  <c r="W172" i="5" s="1"/>
  <c r="X172" i="5" s="1"/>
  <c r="Y173" i="4"/>
  <c r="E174" i="4"/>
  <c r="U175" i="4"/>
  <c r="I173" i="4"/>
  <c r="AE173" i="4" s="1"/>
  <c r="P173" i="4" s="1"/>
  <c r="AE172" i="4"/>
  <c r="Q174" i="4"/>
  <c r="M174" i="4"/>
  <c r="AC174" i="4"/>
  <c r="X166" i="2"/>
  <c r="D160" i="1"/>
  <c r="P160" i="1"/>
  <c r="L160" i="1"/>
  <c r="I162" i="1"/>
  <c r="S161" i="1"/>
  <c r="E166" i="1"/>
  <c r="E178" i="9" l="1"/>
  <c r="S177" i="9"/>
  <c r="D177" i="9" s="1"/>
  <c r="M178" i="9"/>
  <c r="Q179" i="9"/>
  <c r="I178" i="9"/>
  <c r="H172" i="8"/>
  <c r="Q176" i="8"/>
  <c r="E174" i="8"/>
  <c r="I174" i="8"/>
  <c r="T172" i="8"/>
  <c r="L172" i="8"/>
  <c r="S173" i="8"/>
  <c r="P173" i="8" s="1"/>
  <c r="D172" i="8"/>
  <c r="M176" i="8"/>
  <c r="T171" i="7"/>
  <c r="P171" i="7"/>
  <c r="L171" i="7"/>
  <c r="H171" i="7"/>
  <c r="I173" i="7"/>
  <c r="S172" i="7"/>
  <c r="D172" i="7" s="1"/>
  <c r="M175" i="7"/>
  <c r="E173" i="7"/>
  <c r="D171" i="7"/>
  <c r="Q176" i="7"/>
  <c r="T170" i="5"/>
  <c r="P170" i="5"/>
  <c r="L170" i="5"/>
  <c r="H170" i="5"/>
  <c r="D170" i="5"/>
  <c r="I174" i="5"/>
  <c r="Q175" i="5"/>
  <c r="U176" i="5"/>
  <c r="M174" i="5"/>
  <c r="E173" i="5"/>
  <c r="W173" i="5" s="1"/>
  <c r="X173" i="5" s="1"/>
  <c r="Q175" i="4"/>
  <c r="AF173" i="4"/>
  <c r="T173" i="4"/>
  <c r="AF172" i="4"/>
  <c r="T172" i="4"/>
  <c r="AB172" i="4"/>
  <c r="L172" i="4"/>
  <c r="P172" i="4"/>
  <c r="D172" i="4"/>
  <c r="I174" i="4"/>
  <c r="H173" i="4"/>
  <c r="H172" i="4"/>
  <c r="U176" i="4"/>
  <c r="AC175" i="4"/>
  <c r="D173" i="4"/>
  <c r="AB173" i="4"/>
  <c r="E175" i="4"/>
  <c r="M175" i="4"/>
  <c r="Y174" i="4"/>
  <c r="X173" i="4"/>
  <c r="L173" i="4"/>
  <c r="X172" i="4"/>
  <c r="X167" i="2"/>
  <c r="D161" i="1"/>
  <c r="L161" i="1"/>
  <c r="P161" i="1"/>
  <c r="H161" i="1"/>
  <c r="I163" i="1"/>
  <c r="S162" i="1"/>
  <c r="H162" i="1" s="1"/>
  <c r="E167" i="1"/>
  <c r="H177" i="9" l="1"/>
  <c r="L177" i="9"/>
  <c r="M179" i="9"/>
  <c r="I179" i="9"/>
  <c r="T177" i="9"/>
  <c r="P177" i="9"/>
  <c r="S178" i="9"/>
  <c r="L178" i="9" s="1"/>
  <c r="Q180" i="9"/>
  <c r="D178" i="9"/>
  <c r="E179" i="9"/>
  <c r="Q177" i="8"/>
  <c r="T173" i="8"/>
  <c r="L173" i="8"/>
  <c r="M177" i="8"/>
  <c r="S174" i="8"/>
  <c r="P174" i="8" s="1"/>
  <c r="H173" i="8"/>
  <c r="I175" i="8"/>
  <c r="E175" i="8"/>
  <c r="D173" i="8"/>
  <c r="E174" i="7"/>
  <c r="T172" i="7"/>
  <c r="P172" i="7"/>
  <c r="L172" i="7"/>
  <c r="M176" i="7"/>
  <c r="I174" i="7"/>
  <c r="S173" i="7"/>
  <c r="H173" i="7" s="1"/>
  <c r="H172" i="7"/>
  <c r="Q177" i="7"/>
  <c r="T171" i="5"/>
  <c r="P171" i="5"/>
  <c r="L171" i="5"/>
  <c r="H171" i="5"/>
  <c r="D171" i="5"/>
  <c r="M175" i="5"/>
  <c r="I175" i="5"/>
  <c r="E174" i="5"/>
  <c r="W174" i="5" s="1"/>
  <c r="X174" i="5" s="1"/>
  <c r="Q176" i="5"/>
  <c r="U177" i="5"/>
  <c r="M176" i="4"/>
  <c r="E176" i="4"/>
  <c r="I175" i="4"/>
  <c r="AC176" i="4"/>
  <c r="U177" i="4"/>
  <c r="Q176" i="4"/>
  <c r="Y175" i="4"/>
  <c r="AE174" i="4"/>
  <c r="H174" i="4" s="1"/>
  <c r="X168" i="2"/>
  <c r="D162" i="1"/>
  <c r="P162" i="1"/>
  <c r="L162" i="1"/>
  <c r="I164" i="1"/>
  <c r="S163" i="1"/>
  <c r="H163" i="1"/>
  <c r="E168" i="1"/>
  <c r="Q181" i="9" l="1"/>
  <c r="E180" i="9"/>
  <c r="H178" i="9"/>
  <c r="I180" i="9"/>
  <c r="S179" i="9"/>
  <c r="H179" i="9" s="1"/>
  <c r="T178" i="9"/>
  <c r="P178" i="9"/>
  <c r="L179" i="9"/>
  <c r="M180" i="9"/>
  <c r="D174" i="8"/>
  <c r="H174" i="8"/>
  <c r="Q178" i="8"/>
  <c r="I176" i="8"/>
  <c r="T174" i="8"/>
  <c r="L174" i="8"/>
  <c r="S175" i="8"/>
  <c r="P175" i="8" s="1"/>
  <c r="M178" i="8"/>
  <c r="E176" i="8"/>
  <c r="T173" i="7"/>
  <c r="P173" i="7"/>
  <c r="L173" i="7"/>
  <c r="I175" i="7"/>
  <c r="S174" i="7"/>
  <c r="M177" i="7"/>
  <c r="Q178" i="7"/>
  <c r="D173" i="7"/>
  <c r="E175" i="5"/>
  <c r="W175" i="5" s="1"/>
  <c r="X175" i="5" s="1"/>
  <c r="M176" i="5"/>
  <c r="I176" i="5"/>
  <c r="T172" i="5"/>
  <c r="P172" i="5"/>
  <c r="H172" i="5"/>
  <c r="L172" i="5"/>
  <c r="D172" i="5"/>
  <c r="U178" i="5"/>
  <c r="Q177" i="5"/>
  <c r="AE175" i="4"/>
  <c r="P175" i="4" s="1"/>
  <c r="U178" i="4"/>
  <c r="AF175" i="4"/>
  <c r="AC177" i="4"/>
  <c r="AB175" i="4"/>
  <c r="H175" i="4"/>
  <c r="I176" i="4"/>
  <c r="AF174" i="4"/>
  <c r="T174" i="4"/>
  <c r="P174" i="4"/>
  <c r="AB174" i="4"/>
  <c r="D174" i="4"/>
  <c r="L174" i="4"/>
  <c r="E177" i="4"/>
  <c r="Y176" i="4"/>
  <c r="D175" i="4"/>
  <c r="X174" i="4"/>
  <c r="L175" i="4"/>
  <c r="Q177" i="4"/>
  <c r="M177" i="4"/>
  <c r="X169" i="2"/>
  <c r="I165" i="1"/>
  <c r="S164" i="1"/>
  <c r="H164" i="1" s="1"/>
  <c r="D163" i="1"/>
  <c r="P163" i="1"/>
  <c r="L163" i="1"/>
  <c r="E169" i="1"/>
  <c r="E181" i="9" l="1"/>
  <c r="I181" i="9"/>
  <c r="D179" i="9"/>
  <c r="S180" i="9"/>
  <c r="H180" i="9" s="1"/>
  <c r="Q182" i="9"/>
  <c r="T179" i="9"/>
  <c r="P179" i="9"/>
  <c r="L180" i="9"/>
  <c r="M181" i="9"/>
  <c r="S181" i="9" s="1"/>
  <c r="T181" i="9" s="1"/>
  <c r="D175" i="8"/>
  <c r="Q179" i="8"/>
  <c r="E177" i="8"/>
  <c r="M179" i="8"/>
  <c r="S176" i="8"/>
  <c r="P176" i="8" s="1"/>
  <c r="T175" i="8"/>
  <c r="L175" i="8"/>
  <c r="H175" i="8"/>
  <c r="I177" i="8"/>
  <c r="Q179" i="7"/>
  <c r="M178" i="7"/>
  <c r="T174" i="7"/>
  <c r="P174" i="7"/>
  <c r="L174" i="7"/>
  <c r="H174" i="7"/>
  <c r="I176" i="7"/>
  <c r="S175" i="7"/>
  <c r="E176" i="7"/>
  <c r="D174" i="7"/>
  <c r="T174" i="5"/>
  <c r="P174" i="5"/>
  <c r="L174" i="5"/>
  <c r="H174" i="5"/>
  <c r="U179" i="5"/>
  <c r="I177" i="5"/>
  <c r="M177" i="5"/>
  <c r="E176" i="5"/>
  <c r="W176" i="5" s="1"/>
  <c r="X176" i="5" s="1"/>
  <c r="Q178" i="5"/>
  <c r="T173" i="5"/>
  <c r="P173" i="5"/>
  <c r="H173" i="5"/>
  <c r="L173" i="5"/>
  <c r="D173" i="5"/>
  <c r="D174" i="5"/>
  <c r="T175" i="4"/>
  <c r="X175" i="4"/>
  <c r="Y177" i="4"/>
  <c r="Q178" i="4"/>
  <c r="I177" i="4"/>
  <c r="E178" i="4"/>
  <c r="AC178" i="4"/>
  <c r="M178" i="4"/>
  <c r="AE176" i="4"/>
  <c r="H176" i="4" s="1"/>
  <c r="U179" i="4"/>
  <c r="X170" i="2"/>
  <c r="I166" i="1"/>
  <c r="S165" i="1"/>
  <c r="H165" i="1"/>
  <c r="D164" i="1"/>
  <c r="L164" i="1"/>
  <c r="P164" i="1"/>
  <c r="E170" i="1"/>
  <c r="Q183" i="9" l="1"/>
  <c r="H181" i="9"/>
  <c r="I182" i="9"/>
  <c r="T180" i="9"/>
  <c r="P180" i="9"/>
  <c r="D180" i="9"/>
  <c r="P181" i="9"/>
  <c r="M182" i="9"/>
  <c r="L181" i="9"/>
  <c r="D181" i="9"/>
  <c r="E182" i="9"/>
  <c r="H176" i="8"/>
  <c r="Q180" i="8"/>
  <c r="I178" i="8"/>
  <c r="T176" i="8"/>
  <c r="L176" i="8"/>
  <c r="S177" i="8"/>
  <c r="P177" i="8" s="1"/>
  <c r="M180" i="8"/>
  <c r="D176" i="8"/>
  <c r="E178" i="8"/>
  <c r="T175" i="7"/>
  <c r="P175" i="7"/>
  <c r="L175" i="7"/>
  <c r="I177" i="7"/>
  <c r="S176" i="7"/>
  <c r="D176" i="7" s="1"/>
  <c r="H175" i="7"/>
  <c r="M179" i="7"/>
  <c r="E177" i="7"/>
  <c r="D175" i="7"/>
  <c r="Q180" i="7"/>
  <c r="I178" i="5"/>
  <c r="M178" i="5"/>
  <c r="Q179" i="5"/>
  <c r="E177" i="5"/>
  <c r="W177" i="5" s="1"/>
  <c r="X177" i="5" s="1"/>
  <c r="U180" i="5"/>
  <c r="M179" i="4"/>
  <c r="I178" i="4"/>
  <c r="E179" i="4"/>
  <c r="AC179" i="4"/>
  <c r="U180" i="4"/>
  <c r="Q179" i="4"/>
  <c r="AE177" i="4"/>
  <c r="X177" i="4" s="1"/>
  <c r="AF176" i="4"/>
  <c r="T176" i="4"/>
  <c r="L176" i="4"/>
  <c r="D176" i="4"/>
  <c r="P176" i="4"/>
  <c r="AB176" i="4"/>
  <c r="Y178" i="4"/>
  <c r="X176" i="4"/>
  <c r="X171" i="2"/>
  <c r="D165" i="1"/>
  <c r="L165" i="1"/>
  <c r="P165" i="1"/>
  <c r="I167" i="1"/>
  <c r="S166" i="1"/>
  <c r="H166" i="1" s="1"/>
  <c r="E171" i="1"/>
  <c r="I183" i="9" l="1"/>
  <c r="Q184" i="9"/>
  <c r="M183" i="9"/>
  <c r="E183" i="9"/>
  <c r="S182" i="9"/>
  <c r="L182" i="9" s="1"/>
  <c r="D177" i="8"/>
  <c r="Q181" i="8"/>
  <c r="M181" i="8"/>
  <c r="E179" i="8"/>
  <c r="S178" i="8"/>
  <c r="I179" i="8"/>
  <c r="T177" i="8"/>
  <c r="L177" i="8"/>
  <c r="H177" i="8"/>
  <c r="E178" i="7"/>
  <c r="M180" i="7"/>
  <c r="T176" i="7"/>
  <c r="P176" i="7"/>
  <c r="L176" i="7"/>
  <c r="I178" i="7"/>
  <c r="S177" i="7"/>
  <c r="H176" i="7"/>
  <c r="Q181" i="7"/>
  <c r="T176" i="5"/>
  <c r="P176" i="5"/>
  <c r="H176" i="5"/>
  <c r="L176" i="5"/>
  <c r="D176" i="5"/>
  <c r="E178" i="5"/>
  <c r="W178" i="5" s="1"/>
  <c r="X178" i="5" s="1"/>
  <c r="Q180" i="5"/>
  <c r="M179" i="5"/>
  <c r="T175" i="5"/>
  <c r="P175" i="5"/>
  <c r="L175" i="5"/>
  <c r="H175" i="5"/>
  <c r="D175" i="5"/>
  <c r="U181" i="5"/>
  <c r="I179" i="5"/>
  <c r="AE178" i="4"/>
  <c r="AB178" i="4" s="1"/>
  <c r="H177" i="4"/>
  <c r="AC180" i="4"/>
  <c r="Q180" i="4"/>
  <c r="U181" i="4"/>
  <c r="T178" i="4"/>
  <c r="X178" i="4"/>
  <c r="Y179" i="4"/>
  <c r="E180" i="4"/>
  <c r="H178" i="4"/>
  <c r="I179" i="4"/>
  <c r="AF177" i="4"/>
  <c r="T177" i="4"/>
  <c r="L177" i="4"/>
  <c r="P177" i="4"/>
  <c r="D177" i="4"/>
  <c r="AB177" i="4"/>
  <c r="M180" i="4"/>
  <c r="P178" i="4"/>
  <c r="L178" i="4"/>
  <c r="X172" i="2"/>
  <c r="I168" i="1"/>
  <c r="S167" i="1"/>
  <c r="H167" i="1" s="1"/>
  <c r="D166" i="1"/>
  <c r="P166" i="1"/>
  <c r="L166" i="1"/>
  <c r="E172" i="1"/>
  <c r="E184" i="9" l="1"/>
  <c r="S183" i="9"/>
  <c r="D183" i="9" s="1"/>
  <c r="T182" i="9"/>
  <c r="P182" i="9"/>
  <c r="M184" i="9"/>
  <c r="L183" i="9"/>
  <c r="H182" i="9"/>
  <c r="D182" i="9"/>
  <c r="Q185" i="9"/>
  <c r="H183" i="9"/>
  <c r="I184" i="9"/>
  <c r="S184" i="9" s="1"/>
  <c r="T184" i="9" s="1"/>
  <c r="D178" i="8"/>
  <c r="P178" i="8"/>
  <c r="H178" i="8"/>
  <c r="Q182" i="8"/>
  <c r="S179" i="8"/>
  <c r="P179" i="8" s="1"/>
  <c r="E180" i="8"/>
  <c r="I180" i="8"/>
  <c r="T178" i="8"/>
  <c r="L178" i="8"/>
  <c r="M182" i="8"/>
  <c r="I179" i="7"/>
  <c r="S178" i="7"/>
  <c r="T177" i="7"/>
  <c r="P177" i="7"/>
  <c r="L177" i="7"/>
  <c r="H177" i="7"/>
  <c r="M181" i="7"/>
  <c r="Q182" i="7"/>
  <c r="E179" i="7"/>
  <c r="D177" i="7"/>
  <c r="M180" i="5"/>
  <c r="Q181" i="5"/>
  <c r="E179" i="5"/>
  <c r="W179" i="5" s="1"/>
  <c r="X179" i="5" s="1"/>
  <c r="U182" i="5"/>
  <c r="I180" i="5"/>
  <c r="AF178" i="4"/>
  <c r="D178" i="4"/>
  <c r="M181" i="4"/>
  <c r="Y180" i="4"/>
  <c r="U182" i="4"/>
  <c r="Q181" i="4"/>
  <c r="I180" i="4"/>
  <c r="AE179" i="4"/>
  <c r="E181" i="4"/>
  <c r="AC181" i="4"/>
  <c r="X173" i="2"/>
  <c r="L167" i="1"/>
  <c r="P167" i="1"/>
  <c r="D167" i="1"/>
  <c r="I169" i="1"/>
  <c r="S168" i="1"/>
  <c r="H168" i="1" s="1"/>
  <c r="E173" i="1"/>
  <c r="Q186" i="9" l="1"/>
  <c r="P184" i="9"/>
  <c r="L184" i="9"/>
  <c r="M185" i="9"/>
  <c r="T183" i="9"/>
  <c r="P183" i="9"/>
  <c r="I185" i="9"/>
  <c r="H184" i="9"/>
  <c r="D184" i="9"/>
  <c r="E185" i="9"/>
  <c r="D179" i="8"/>
  <c r="H179" i="8"/>
  <c r="Q183" i="8"/>
  <c r="I181" i="8"/>
  <c r="T179" i="8"/>
  <c r="L179" i="8"/>
  <c r="M183" i="8"/>
  <c r="E181" i="8"/>
  <c r="S180" i="8"/>
  <c r="P180" i="8" s="1"/>
  <c r="Q183" i="7"/>
  <c r="M182" i="7"/>
  <c r="T178" i="7"/>
  <c r="P178" i="7"/>
  <c r="L178" i="7"/>
  <c r="E180" i="7"/>
  <c r="I180" i="7"/>
  <c r="S179" i="7"/>
  <c r="H179" i="7" s="1"/>
  <c r="D178" i="7"/>
  <c r="H178" i="7"/>
  <c r="T177" i="5"/>
  <c r="P177" i="5"/>
  <c r="L177" i="5"/>
  <c r="H177" i="5"/>
  <c r="D177" i="5"/>
  <c r="I181" i="5"/>
  <c r="U183" i="5"/>
  <c r="E180" i="5"/>
  <c r="W180" i="5" s="1"/>
  <c r="X180" i="5" s="1"/>
  <c r="M181" i="5"/>
  <c r="I181" i="4"/>
  <c r="AF179" i="4"/>
  <c r="T179" i="4"/>
  <c r="AB179" i="4"/>
  <c r="D179" i="4"/>
  <c r="P179" i="4"/>
  <c r="L179" i="4"/>
  <c r="H179" i="4"/>
  <c r="Q182" i="4"/>
  <c r="AE180" i="4"/>
  <c r="X180" i="4" s="1"/>
  <c r="U183" i="4"/>
  <c r="X179" i="4"/>
  <c r="AC182" i="4"/>
  <c r="Y181" i="4"/>
  <c r="E182" i="4"/>
  <c r="M182" i="4"/>
  <c r="X174" i="2"/>
  <c r="I170" i="1"/>
  <c r="S169" i="1"/>
  <c r="H169" i="1" s="1"/>
  <c r="L168" i="1"/>
  <c r="P168" i="1"/>
  <c r="D168" i="1"/>
  <c r="E174" i="1"/>
  <c r="I186" i="9" l="1"/>
  <c r="M186" i="9"/>
  <c r="S186" i="9" s="1"/>
  <c r="E186" i="9"/>
  <c r="Q187" i="9"/>
  <c r="S185" i="9"/>
  <c r="Q184" i="8"/>
  <c r="S181" i="8"/>
  <c r="P181" i="8" s="1"/>
  <c r="D180" i="8"/>
  <c r="M184" i="8"/>
  <c r="I182" i="8"/>
  <c r="T180" i="8"/>
  <c r="L180" i="8"/>
  <c r="E182" i="8"/>
  <c r="H180" i="8"/>
  <c r="D179" i="7"/>
  <c r="I181" i="7"/>
  <c r="S180" i="7"/>
  <c r="D180" i="7" s="1"/>
  <c r="E181" i="7"/>
  <c r="M183" i="7"/>
  <c r="T179" i="7"/>
  <c r="P179" i="7"/>
  <c r="L179" i="7"/>
  <c r="Q184" i="7"/>
  <c r="Q183" i="5"/>
  <c r="T178" i="5"/>
  <c r="P178" i="5"/>
  <c r="L178" i="5"/>
  <c r="H178" i="5"/>
  <c r="D178" i="5"/>
  <c r="M182" i="5"/>
  <c r="U184" i="5"/>
  <c r="I182" i="5"/>
  <c r="E181" i="5"/>
  <c r="W181" i="5" s="1"/>
  <c r="X181" i="5" s="1"/>
  <c r="AE181" i="4"/>
  <c r="L181" i="4" s="1"/>
  <c r="E183" i="4"/>
  <c r="M183" i="4"/>
  <c r="Q183" i="4"/>
  <c r="X181" i="4"/>
  <c r="Y182" i="4"/>
  <c r="AC183" i="4"/>
  <c r="AB181" i="4"/>
  <c r="U184" i="4"/>
  <c r="I182" i="4"/>
  <c r="H181" i="4"/>
  <c r="AF180" i="4"/>
  <c r="T180" i="4"/>
  <c r="L180" i="4"/>
  <c r="D180" i="4"/>
  <c r="AB180" i="4"/>
  <c r="P180" i="4"/>
  <c r="H180" i="4"/>
  <c r="X175" i="2"/>
  <c r="L169" i="1"/>
  <c r="D169" i="1"/>
  <c r="P169" i="1"/>
  <c r="I171" i="1"/>
  <c r="S170" i="1"/>
  <c r="H170" i="1" s="1"/>
  <c r="E175" i="1"/>
  <c r="T185" i="9" l="1"/>
  <c r="P185" i="9"/>
  <c r="T186" i="9"/>
  <c r="E187" i="9"/>
  <c r="D186" i="9"/>
  <c r="I187" i="9"/>
  <c r="H186" i="9"/>
  <c r="S187" i="9"/>
  <c r="T187" i="9" s="1"/>
  <c r="Q188" i="9"/>
  <c r="P186" i="9"/>
  <c r="D185" i="9"/>
  <c r="L185" i="9"/>
  <c r="L186" i="9"/>
  <c r="M187" i="9"/>
  <c r="H185" i="9"/>
  <c r="H181" i="8"/>
  <c r="D181" i="8"/>
  <c r="Q185" i="8"/>
  <c r="T181" i="8"/>
  <c r="L181" i="8"/>
  <c r="E183" i="8"/>
  <c r="I183" i="8"/>
  <c r="M185" i="8"/>
  <c r="S182" i="8"/>
  <c r="P182" i="8" s="1"/>
  <c r="M184" i="7"/>
  <c r="E182" i="7"/>
  <c r="T180" i="7"/>
  <c r="P180" i="7"/>
  <c r="L180" i="7"/>
  <c r="H180" i="7"/>
  <c r="Q185" i="7"/>
  <c r="I182" i="7"/>
  <c r="S181" i="7"/>
  <c r="D181" i="7" s="1"/>
  <c r="I183" i="5"/>
  <c r="E182" i="5"/>
  <c r="W182" i="5" s="1"/>
  <c r="X182" i="5" s="1"/>
  <c r="M183" i="5"/>
  <c r="T180" i="5"/>
  <c r="P180" i="5"/>
  <c r="H180" i="5"/>
  <c r="L180" i="5"/>
  <c r="D180" i="5"/>
  <c r="U185" i="5"/>
  <c r="T179" i="5"/>
  <c r="P179" i="5"/>
  <c r="H179" i="5"/>
  <c r="L179" i="5"/>
  <c r="D179" i="5"/>
  <c r="Q184" i="5"/>
  <c r="P181" i="4"/>
  <c r="D181" i="4"/>
  <c r="T181" i="4"/>
  <c r="AF181" i="4"/>
  <c r="AE182" i="4"/>
  <c r="P182" i="4" s="1"/>
  <c r="I183" i="4"/>
  <c r="M184" i="4"/>
  <c r="E184" i="4"/>
  <c r="Q184" i="4"/>
  <c r="U185" i="4"/>
  <c r="AC184" i="4"/>
  <c r="Y183" i="4"/>
  <c r="X176" i="2"/>
  <c r="D170" i="1"/>
  <c r="L170" i="1"/>
  <c r="P170" i="1"/>
  <c r="I172" i="1"/>
  <c r="S171" i="1"/>
  <c r="H171" i="1" s="1"/>
  <c r="E176" i="1"/>
  <c r="H187" i="9" l="1"/>
  <c r="I188" i="9"/>
  <c r="P187" i="9"/>
  <c r="L187" i="9"/>
  <c r="M188" i="9"/>
  <c r="Q189" i="9"/>
  <c r="D187" i="9"/>
  <c r="E188" i="9"/>
  <c r="Q186" i="8"/>
  <c r="T182" i="8"/>
  <c r="L182" i="8"/>
  <c r="H182" i="8"/>
  <c r="E184" i="8"/>
  <c r="S183" i="8"/>
  <c r="P183" i="8" s="1"/>
  <c r="M186" i="8"/>
  <c r="D182" i="8"/>
  <c r="I184" i="8"/>
  <c r="H181" i="7"/>
  <c r="Q186" i="7"/>
  <c r="E183" i="7"/>
  <c r="M185" i="7"/>
  <c r="T181" i="7"/>
  <c r="P181" i="7"/>
  <c r="L181" i="7"/>
  <c r="I183" i="7"/>
  <c r="S182" i="7"/>
  <c r="H182" i="7" s="1"/>
  <c r="M184" i="5"/>
  <c r="U186" i="5"/>
  <c r="Q185" i="5"/>
  <c r="E183" i="5"/>
  <c r="W183" i="5" s="1"/>
  <c r="X183" i="5" s="1"/>
  <c r="I184" i="5"/>
  <c r="AB182" i="4"/>
  <c r="X182" i="4"/>
  <c r="H182" i="4"/>
  <c r="D182" i="4"/>
  <c r="T182" i="4"/>
  <c r="AF182" i="4"/>
  <c r="L182" i="4"/>
  <c r="AE183" i="4"/>
  <c r="X183" i="4" s="1"/>
  <c r="Y184" i="4"/>
  <c r="Q185" i="4"/>
  <c r="E185" i="4"/>
  <c r="AC185" i="4"/>
  <c r="M185" i="4"/>
  <c r="U186" i="4"/>
  <c r="I184" i="4"/>
  <c r="X177" i="2"/>
  <c r="I173" i="1"/>
  <c r="S172" i="1"/>
  <c r="H172" i="1" s="1"/>
  <c r="D171" i="1"/>
  <c r="L171" i="1"/>
  <c r="P171" i="1"/>
  <c r="E177" i="1"/>
  <c r="Q190" i="9" l="1"/>
  <c r="E189" i="9"/>
  <c r="S188" i="9"/>
  <c r="H188" i="9" s="1"/>
  <c r="I189" i="9"/>
  <c r="L188" i="9"/>
  <c r="M189" i="9"/>
  <c r="Q187" i="8"/>
  <c r="S184" i="8"/>
  <c r="P184" i="8" s="1"/>
  <c r="E185" i="8"/>
  <c r="I185" i="8"/>
  <c r="M187" i="8"/>
  <c r="T183" i="8"/>
  <c r="L183" i="8"/>
  <c r="D183" i="8"/>
  <c r="H183" i="8"/>
  <c r="D182" i="7"/>
  <c r="I184" i="7"/>
  <c r="S183" i="7"/>
  <c r="D183" i="7" s="1"/>
  <c r="M186" i="7"/>
  <c r="E184" i="7"/>
  <c r="Q187" i="7"/>
  <c r="T182" i="7"/>
  <c r="P182" i="7"/>
  <c r="L182" i="7"/>
  <c r="I185" i="5"/>
  <c r="T181" i="5"/>
  <c r="P181" i="5"/>
  <c r="H181" i="5"/>
  <c r="L181" i="5"/>
  <c r="D181" i="5"/>
  <c r="E184" i="5"/>
  <c r="W184" i="5" s="1"/>
  <c r="X184" i="5" s="1"/>
  <c r="Q186" i="5"/>
  <c r="M185" i="5"/>
  <c r="AE184" i="4"/>
  <c r="D184" i="4" s="1"/>
  <c r="D183" i="4"/>
  <c r="T183" i="4"/>
  <c r="H183" i="4"/>
  <c r="L183" i="4"/>
  <c r="AB183" i="4"/>
  <c r="P183" i="4"/>
  <c r="AF183" i="4"/>
  <c r="I185" i="4"/>
  <c r="E186" i="4"/>
  <c r="U187" i="4"/>
  <c r="Q186" i="4"/>
  <c r="M186" i="4"/>
  <c r="AC186" i="4"/>
  <c r="Y185" i="4"/>
  <c r="X178" i="2"/>
  <c r="D172" i="1"/>
  <c r="P172" i="1"/>
  <c r="L172" i="1"/>
  <c r="I174" i="1"/>
  <c r="S173" i="1"/>
  <c r="H173" i="1" s="1"/>
  <c r="E178" i="1"/>
  <c r="E190" i="9" l="1"/>
  <c r="M190" i="9"/>
  <c r="T188" i="9"/>
  <c r="P188" i="9"/>
  <c r="D188" i="9"/>
  <c r="S189" i="9"/>
  <c r="L189" i="9" s="1"/>
  <c r="H189" i="9"/>
  <c r="I190" i="9"/>
  <c r="Q191" i="9"/>
  <c r="H184" i="8"/>
  <c r="D184" i="8"/>
  <c r="Q188" i="8"/>
  <c r="M188" i="8"/>
  <c r="T184" i="8"/>
  <c r="L184" i="8"/>
  <c r="I186" i="8"/>
  <c r="E186" i="8"/>
  <c r="S185" i="8"/>
  <c r="P185" i="8" s="1"/>
  <c r="Q188" i="7"/>
  <c r="E185" i="7"/>
  <c r="M187" i="7"/>
  <c r="T183" i="7"/>
  <c r="P183" i="7"/>
  <c r="L183" i="7"/>
  <c r="H183" i="7"/>
  <c r="I185" i="7"/>
  <c r="S184" i="7"/>
  <c r="D184" i="7" s="1"/>
  <c r="T182" i="5"/>
  <c r="P182" i="5"/>
  <c r="L182" i="5"/>
  <c r="H182" i="5"/>
  <c r="D182" i="5"/>
  <c r="M186" i="5"/>
  <c r="Q187" i="5"/>
  <c r="E185" i="5"/>
  <c r="W185" i="5" s="1"/>
  <c r="X185" i="5" s="1"/>
  <c r="I186" i="5"/>
  <c r="P184" i="4"/>
  <c r="L184" i="4"/>
  <c r="AB184" i="4"/>
  <c r="X184" i="4"/>
  <c r="T184" i="4"/>
  <c r="AF184" i="4"/>
  <c r="H184" i="4"/>
  <c r="I186" i="4"/>
  <c r="U188" i="4"/>
  <c r="Y186" i="4"/>
  <c r="AC187" i="4"/>
  <c r="E187" i="4"/>
  <c r="M187" i="4"/>
  <c r="Q187" i="4"/>
  <c r="AE185" i="4"/>
  <c r="X185" i="4" s="1"/>
  <c r="X179" i="2"/>
  <c r="I175" i="1"/>
  <c r="S174" i="1"/>
  <c r="H174" i="1" s="1"/>
  <c r="L173" i="1"/>
  <c r="D173" i="1"/>
  <c r="P173" i="1"/>
  <c r="E179" i="1"/>
  <c r="Q192" i="9" l="1"/>
  <c r="E191" i="9"/>
  <c r="I191" i="9"/>
  <c r="T189" i="9"/>
  <c r="P189" i="9"/>
  <c r="M191" i="9"/>
  <c r="S190" i="9"/>
  <c r="D189" i="9"/>
  <c r="Q189" i="8"/>
  <c r="E187" i="8"/>
  <c r="S186" i="8"/>
  <c r="H186" i="8" s="1"/>
  <c r="T185" i="8"/>
  <c r="L185" i="8"/>
  <c r="D185" i="8"/>
  <c r="I187" i="8"/>
  <c r="H185" i="8"/>
  <c r="M189" i="8"/>
  <c r="H184" i="7"/>
  <c r="M188" i="7"/>
  <c r="E186" i="7"/>
  <c r="T184" i="7"/>
  <c r="P184" i="7"/>
  <c r="L184" i="7"/>
  <c r="I186" i="7"/>
  <c r="S185" i="7"/>
  <c r="Q189" i="7"/>
  <c r="M187" i="5"/>
  <c r="T183" i="5"/>
  <c r="P183" i="5"/>
  <c r="H183" i="5"/>
  <c r="L183" i="5"/>
  <c r="D183" i="5"/>
  <c r="E186" i="5"/>
  <c r="W186" i="5" s="1"/>
  <c r="X186" i="5" s="1"/>
  <c r="I187" i="5"/>
  <c r="Q188" i="5"/>
  <c r="M188" i="4"/>
  <c r="E188" i="4"/>
  <c r="AC188" i="4"/>
  <c r="Y187" i="4"/>
  <c r="AF185" i="4"/>
  <c r="T185" i="4"/>
  <c r="P185" i="4"/>
  <c r="L185" i="4"/>
  <c r="AB185" i="4"/>
  <c r="D185" i="4"/>
  <c r="Q188" i="4"/>
  <c r="U189" i="4"/>
  <c r="H185" i="4"/>
  <c r="AE186" i="4"/>
  <c r="H186" i="4" s="1"/>
  <c r="I187" i="4"/>
  <c r="X180" i="2"/>
  <c r="D174" i="1"/>
  <c r="L174" i="1"/>
  <c r="P174" i="1"/>
  <c r="I176" i="1"/>
  <c r="S175" i="1"/>
  <c r="E180" i="1"/>
  <c r="T190" i="9" l="1"/>
  <c r="P190" i="9"/>
  <c r="I192" i="9"/>
  <c r="Q193" i="9"/>
  <c r="L190" i="9"/>
  <c r="E192" i="9"/>
  <c r="M192" i="9"/>
  <c r="H190" i="9"/>
  <c r="D190" i="9"/>
  <c r="S191" i="9"/>
  <c r="H191" i="9" s="1"/>
  <c r="D186" i="8"/>
  <c r="P186" i="8"/>
  <c r="Q190" i="8"/>
  <c r="I188" i="8"/>
  <c r="S187" i="8"/>
  <c r="D187" i="8" s="1"/>
  <c r="M190" i="8"/>
  <c r="T186" i="8"/>
  <c r="L186" i="8"/>
  <c r="E188" i="8"/>
  <c r="T185" i="7"/>
  <c r="P185" i="7"/>
  <c r="L185" i="7"/>
  <c r="Q190" i="7"/>
  <c r="I187" i="7"/>
  <c r="S186" i="7"/>
  <c r="D186" i="7" s="1"/>
  <c r="H185" i="7"/>
  <c r="D185" i="7"/>
  <c r="E187" i="7"/>
  <c r="M189" i="7"/>
  <c r="E187" i="5"/>
  <c r="W187" i="5" s="1"/>
  <c r="X187" i="5" s="1"/>
  <c r="T184" i="5"/>
  <c r="P184" i="5"/>
  <c r="L184" i="5"/>
  <c r="H184" i="5"/>
  <c r="D184" i="5"/>
  <c r="D186" i="5"/>
  <c r="Q189" i="5"/>
  <c r="I188" i="5"/>
  <c r="M188" i="5"/>
  <c r="AE187" i="4"/>
  <c r="T187" i="4" s="1"/>
  <c r="AF186" i="4"/>
  <c r="T186" i="4"/>
  <c r="P186" i="4"/>
  <c r="AB186" i="4"/>
  <c r="D186" i="4"/>
  <c r="L186" i="4"/>
  <c r="X186" i="4"/>
  <c r="Y188" i="4"/>
  <c r="I188" i="4"/>
  <c r="U190" i="4"/>
  <c r="E189" i="4"/>
  <c r="Q189" i="4"/>
  <c r="M189" i="4"/>
  <c r="X181" i="2"/>
  <c r="D175" i="1"/>
  <c r="P175" i="1"/>
  <c r="L175" i="1"/>
  <c r="H175" i="1"/>
  <c r="I177" i="1"/>
  <c r="S176" i="1"/>
  <c r="H176" i="1" s="1"/>
  <c r="E181" i="1"/>
  <c r="S192" i="9" l="1"/>
  <c r="D191" i="9"/>
  <c r="L191" i="9"/>
  <c r="T192" i="9"/>
  <c r="P192" i="9"/>
  <c r="Q194" i="9"/>
  <c r="T191" i="9"/>
  <c r="P191" i="9"/>
  <c r="L192" i="9"/>
  <c r="M193" i="9"/>
  <c r="E193" i="9"/>
  <c r="D192" i="9"/>
  <c r="H192" i="9"/>
  <c r="I193" i="9"/>
  <c r="H187" i="8"/>
  <c r="P187" i="8"/>
  <c r="Q191" i="8"/>
  <c r="S188" i="8"/>
  <c r="P188" i="8" s="1"/>
  <c r="T187" i="8"/>
  <c r="L187" i="8"/>
  <c r="E189" i="8"/>
  <c r="M191" i="8"/>
  <c r="I189" i="8"/>
  <c r="E188" i="7"/>
  <c r="T186" i="7"/>
  <c r="P186" i="7"/>
  <c r="L186" i="7"/>
  <c r="H186" i="7"/>
  <c r="I188" i="7"/>
  <c r="S187" i="7"/>
  <c r="Q191" i="7"/>
  <c r="M190" i="7"/>
  <c r="Q190" i="5"/>
  <c r="E188" i="5"/>
  <c r="W188" i="5" s="1"/>
  <c r="X188" i="5" s="1"/>
  <c r="D187" i="5"/>
  <c r="I189" i="5"/>
  <c r="T186" i="5"/>
  <c r="P186" i="5"/>
  <c r="L186" i="5"/>
  <c r="H186" i="5"/>
  <c r="M189" i="5"/>
  <c r="T185" i="5"/>
  <c r="P185" i="5"/>
  <c r="H185" i="5"/>
  <c r="L185" i="5"/>
  <c r="D185" i="5"/>
  <c r="AB187" i="4"/>
  <c r="P187" i="4"/>
  <c r="D187" i="4"/>
  <c r="H187" i="4"/>
  <c r="L187" i="4"/>
  <c r="AF187" i="4"/>
  <c r="X187" i="4"/>
  <c r="E190" i="4"/>
  <c r="AC190" i="4"/>
  <c r="U191" i="4"/>
  <c r="Y189" i="4"/>
  <c r="I189" i="4"/>
  <c r="M190" i="4"/>
  <c r="Q190" i="4"/>
  <c r="AE188" i="4"/>
  <c r="X188" i="4" s="1"/>
  <c r="X182" i="2"/>
  <c r="I178" i="1"/>
  <c r="S177" i="1"/>
  <c r="H177" i="1" s="1"/>
  <c r="D176" i="1"/>
  <c r="P176" i="1"/>
  <c r="L176" i="1"/>
  <c r="E182" i="1"/>
  <c r="E194" i="9" l="1"/>
  <c r="Q195" i="9"/>
  <c r="M194" i="9"/>
  <c r="S193" i="9"/>
  <c r="L193" i="9" s="1"/>
  <c r="I194" i="9"/>
  <c r="Q192" i="8"/>
  <c r="D188" i="8"/>
  <c r="H188" i="8"/>
  <c r="E190" i="8"/>
  <c r="I190" i="8"/>
  <c r="S189" i="8"/>
  <c r="P189" i="8" s="1"/>
  <c r="M192" i="8"/>
  <c r="T188" i="8"/>
  <c r="L188" i="8"/>
  <c r="Q192" i="7"/>
  <c r="M191" i="7"/>
  <c r="T187" i="7"/>
  <c r="P187" i="7"/>
  <c r="L187" i="7"/>
  <c r="I189" i="7"/>
  <c r="S188" i="7"/>
  <c r="H187" i="7"/>
  <c r="D187" i="7"/>
  <c r="E189" i="7"/>
  <c r="I190" i="5"/>
  <c r="Q191" i="5"/>
  <c r="T187" i="5"/>
  <c r="P187" i="5"/>
  <c r="H187" i="5"/>
  <c r="L187" i="5"/>
  <c r="E189" i="5"/>
  <c r="W189" i="5" s="1"/>
  <c r="X189" i="5" s="1"/>
  <c r="M190" i="5"/>
  <c r="D188" i="5"/>
  <c r="H188" i="4"/>
  <c r="M191" i="4"/>
  <c r="I190" i="4"/>
  <c r="Y190" i="4"/>
  <c r="U192" i="4"/>
  <c r="AF188" i="4"/>
  <c r="T188" i="4"/>
  <c r="L188" i="4"/>
  <c r="AB188" i="4"/>
  <c r="P188" i="4"/>
  <c r="D188" i="4"/>
  <c r="AC191" i="4"/>
  <c r="Q191" i="4"/>
  <c r="AE189" i="4"/>
  <c r="E191" i="4"/>
  <c r="X183" i="2"/>
  <c r="D177" i="1"/>
  <c r="P177" i="1"/>
  <c r="L177" i="1"/>
  <c r="I179" i="1"/>
  <c r="S178" i="1"/>
  <c r="E183" i="1"/>
  <c r="H193" i="9" l="1"/>
  <c r="I195" i="9"/>
  <c r="M195" i="9"/>
  <c r="T193" i="9"/>
  <c r="P193" i="9"/>
  <c r="Q196" i="9"/>
  <c r="S194" i="9"/>
  <c r="D194" i="9" s="1"/>
  <c r="E195" i="9"/>
  <c r="S195" i="9" s="1"/>
  <c r="D193" i="9"/>
  <c r="Q193" i="8"/>
  <c r="M193" i="8"/>
  <c r="T189" i="8"/>
  <c r="L189" i="8"/>
  <c r="H189" i="8"/>
  <c r="S190" i="8"/>
  <c r="P190" i="8" s="1"/>
  <c r="I191" i="8"/>
  <c r="D189" i="8"/>
  <c r="E191" i="8"/>
  <c r="T188" i="7"/>
  <c r="P188" i="7"/>
  <c r="L188" i="7"/>
  <c r="I190" i="7"/>
  <c r="S189" i="7"/>
  <c r="H188" i="7"/>
  <c r="M192" i="7"/>
  <c r="D188" i="7"/>
  <c r="E190" i="7"/>
  <c r="Q193" i="7"/>
  <c r="E190" i="5"/>
  <c r="W190" i="5" s="1"/>
  <c r="X190" i="5" s="1"/>
  <c r="T188" i="5"/>
  <c r="P188" i="5"/>
  <c r="L188" i="5"/>
  <c r="H188" i="5"/>
  <c r="M191" i="5"/>
  <c r="I191" i="5"/>
  <c r="Q192" i="5"/>
  <c r="AE190" i="4"/>
  <c r="P190" i="4" s="1"/>
  <c r="E192" i="4"/>
  <c r="AF189" i="4"/>
  <c r="T189" i="4"/>
  <c r="D189" i="4"/>
  <c r="AB189" i="4"/>
  <c r="P189" i="4"/>
  <c r="L189" i="4"/>
  <c r="U193" i="4"/>
  <c r="X189" i="4"/>
  <c r="Q192" i="4"/>
  <c r="Y191" i="4"/>
  <c r="AC192" i="4"/>
  <c r="I191" i="4"/>
  <c r="H189" i="4"/>
  <c r="M192" i="4"/>
  <c r="X184" i="2"/>
  <c r="D178" i="1"/>
  <c r="P178" i="1"/>
  <c r="L178" i="1"/>
  <c r="I180" i="1"/>
  <c r="S179" i="1"/>
  <c r="H179" i="1" s="1"/>
  <c r="H178" i="1"/>
  <c r="E184" i="1"/>
  <c r="T195" i="9" l="1"/>
  <c r="P195" i="9"/>
  <c r="L194" i="9"/>
  <c r="L195" i="9"/>
  <c r="M196" i="9"/>
  <c r="T194" i="9"/>
  <c r="P194" i="9"/>
  <c r="H194" i="9"/>
  <c r="D195" i="9"/>
  <c r="E196" i="9"/>
  <c r="Q197" i="9"/>
  <c r="I196" i="9"/>
  <c r="H195" i="9"/>
  <c r="H190" i="8"/>
  <c r="Q194" i="8"/>
  <c r="I192" i="8"/>
  <c r="S191" i="8"/>
  <c r="P191" i="8" s="1"/>
  <c r="E192" i="8"/>
  <c r="T190" i="8"/>
  <c r="L190" i="8"/>
  <c r="D190" i="8"/>
  <c r="M194" i="8"/>
  <c r="E191" i="7"/>
  <c r="M193" i="7"/>
  <c r="T189" i="7"/>
  <c r="P189" i="7"/>
  <c r="L189" i="7"/>
  <c r="H189" i="7"/>
  <c r="I191" i="7"/>
  <c r="S190" i="7"/>
  <c r="Q194" i="7"/>
  <c r="D189" i="7"/>
  <c r="I192" i="5"/>
  <c r="T189" i="5"/>
  <c r="P189" i="5"/>
  <c r="H189" i="5"/>
  <c r="L189" i="5"/>
  <c r="Q193" i="5"/>
  <c r="M192" i="5"/>
  <c r="E191" i="5"/>
  <c r="W191" i="5" s="1"/>
  <c r="X191" i="5" s="1"/>
  <c r="D189" i="5"/>
  <c r="T190" i="4"/>
  <c r="AF190" i="4"/>
  <c r="L190" i="4"/>
  <c r="AB190" i="4"/>
  <c r="H190" i="4"/>
  <c r="X190" i="4"/>
  <c r="D190" i="4"/>
  <c r="I192" i="4"/>
  <c r="U194" i="4"/>
  <c r="AC193" i="4"/>
  <c r="Y192" i="4"/>
  <c r="AE191" i="4"/>
  <c r="Q193" i="4"/>
  <c r="M193" i="4"/>
  <c r="E193" i="4"/>
  <c r="X185" i="2"/>
  <c r="D179" i="1"/>
  <c r="P179" i="1"/>
  <c r="L179" i="1"/>
  <c r="I181" i="1"/>
  <c r="S180" i="1"/>
  <c r="H180" i="1" s="1"/>
  <c r="E185" i="1"/>
  <c r="S196" i="9" l="1"/>
  <c r="T196" i="9" s="1"/>
  <c r="M197" i="9"/>
  <c r="L196" i="9"/>
  <c r="Q198" i="9"/>
  <c r="D196" i="9"/>
  <c r="E197" i="9"/>
  <c r="I197" i="9"/>
  <c r="H196" i="9"/>
  <c r="Q195" i="8"/>
  <c r="D191" i="8"/>
  <c r="E193" i="8"/>
  <c r="S192" i="8"/>
  <c r="P192" i="8" s="1"/>
  <c r="M195" i="8"/>
  <c r="I193" i="8"/>
  <c r="T191" i="8"/>
  <c r="L191" i="8"/>
  <c r="H191" i="8"/>
  <c r="I192" i="7"/>
  <c r="S191" i="7"/>
  <c r="T190" i="7"/>
  <c r="P190" i="7"/>
  <c r="L190" i="7"/>
  <c r="H190" i="7"/>
  <c r="M194" i="7"/>
  <c r="Q195" i="7"/>
  <c r="E192" i="7"/>
  <c r="D190" i="7"/>
  <c r="M193" i="5"/>
  <c r="Q194" i="5"/>
  <c r="I193" i="5"/>
  <c r="E192" i="5"/>
  <c r="W192" i="5" s="1"/>
  <c r="X192" i="5" s="1"/>
  <c r="AE192" i="4"/>
  <c r="D192" i="4" s="1"/>
  <c r="Y193" i="4"/>
  <c r="Q194" i="4"/>
  <c r="AF191" i="4"/>
  <c r="T191" i="4"/>
  <c r="D191" i="4"/>
  <c r="P191" i="4"/>
  <c r="L191" i="4"/>
  <c r="AB191" i="4"/>
  <c r="AF192" i="4"/>
  <c r="T192" i="4"/>
  <c r="X191" i="4"/>
  <c r="AC194" i="4"/>
  <c r="E194" i="4"/>
  <c r="U195" i="4"/>
  <c r="H191" i="4"/>
  <c r="M194" i="4"/>
  <c r="I193" i="4"/>
  <c r="X186" i="2"/>
  <c r="L180" i="1"/>
  <c r="D180" i="1"/>
  <c r="P180" i="1"/>
  <c r="I182" i="1"/>
  <c r="S181" i="1"/>
  <c r="H181" i="1"/>
  <c r="E186" i="1"/>
  <c r="P196" i="9" l="1"/>
  <c r="I198" i="9"/>
  <c r="E198" i="9"/>
  <c r="M198" i="9"/>
  <c r="S198" i="9" s="1"/>
  <c r="Q199" i="9"/>
  <c r="S197" i="9"/>
  <c r="Q196" i="8"/>
  <c r="H192" i="8"/>
  <c r="S193" i="8"/>
  <c r="P193" i="8" s="1"/>
  <c r="I194" i="8"/>
  <c r="M196" i="8"/>
  <c r="E194" i="8"/>
  <c r="T192" i="8"/>
  <c r="L192" i="8"/>
  <c r="D192" i="8"/>
  <c r="Q196" i="7"/>
  <c r="M195" i="7"/>
  <c r="T191" i="7"/>
  <c r="P191" i="7"/>
  <c r="L191" i="7"/>
  <c r="D191" i="7"/>
  <c r="I193" i="7"/>
  <c r="S192" i="7"/>
  <c r="H192" i="7" s="1"/>
  <c r="E193" i="7"/>
  <c r="H191" i="7"/>
  <c r="E193" i="5"/>
  <c r="W193" i="5" s="1"/>
  <c r="X193" i="5" s="1"/>
  <c r="T191" i="5"/>
  <c r="P191" i="5"/>
  <c r="H191" i="5"/>
  <c r="L191" i="5"/>
  <c r="T190" i="5"/>
  <c r="P190" i="5"/>
  <c r="L190" i="5"/>
  <c r="H190" i="5"/>
  <c r="D190" i="5"/>
  <c r="I194" i="5"/>
  <c r="M194" i="5"/>
  <c r="D191" i="5"/>
  <c r="Q195" i="5"/>
  <c r="L192" i="4"/>
  <c r="X192" i="4"/>
  <c r="H192" i="4"/>
  <c r="AB192" i="4"/>
  <c r="P192" i="4"/>
  <c r="AE193" i="4"/>
  <c r="P193" i="4" s="1"/>
  <c r="E195" i="4"/>
  <c r="U196" i="4"/>
  <c r="AC195" i="4"/>
  <c r="I194" i="4"/>
  <c r="Q195" i="4"/>
  <c r="M195" i="4"/>
  <c r="Y194" i="4"/>
  <c r="X187" i="2"/>
  <c r="D181" i="1"/>
  <c r="P181" i="1"/>
  <c r="L181" i="1"/>
  <c r="I183" i="1"/>
  <c r="S182" i="1"/>
  <c r="H182" i="1" s="1"/>
  <c r="E187" i="1"/>
  <c r="L198" i="9" l="1"/>
  <c r="M199" i="9"/>
  <c r="T198" i="9"/>
  <c r="D198" i="9"/>
  <c r="E199" i="9"/>
  <c r="T197" i="9"/>
  <c r="P197" i="9"/>
  <c r="P198" i="9"/>
  <c r="D197" i="9"/>
  <c r="S199" i="9"/>
  <c r="T199" i="9" s="1"/>
  <c r="Q200" i="9"/>
  <c r="H198" i="9"/>
  <c r="I199" i="9"/>
  <c r="L197" i="9"/>
  <c r="H197" i="9"/>
  <c r="H193" i="8"/>
  <c r="D193" i="8"/>
  <c r="Q197" i="8"/>
  <c r="E195" i="8"/>
  <c r="M197" i="8"/>
  <c r="I195" i="8"/>
  <c r="S194" i="8"/>
  <c r="T193" i="8"/>
  <c r="L193" i="8"/>
  <c r="T192" i="7"/>
  <c r="P192" i="7"/>
  <c r="L192" i="7"/>
  <c r="I194" i="7"/>
  <c r="S193" i="7"/>
  <c r="D193" i="7" s="1"/>
  <c r="M196" i="7"/>
  <c r="E194" i="7"/>
  <c r="Q197" i="7"/>
  <c r="D192" i="7"/>
  <c r="T192" i="5"/>
  <c r="P192" i="5"/>
  <c r="L192" i="5"/>
  <c r="H192" i="5"/>
  <c r="I195" i="5"/>
  <c r="Q196" i="5"/>
  <c r="D192" i="5"/>
  <c r="M195" i="5"/>
  <c r="E194" i="5"/>
  <c r="W194" i="5" s="1"/>
  <c r="X194" i="5" s="1"/>
  <c r="X193" i="4"/>
  <c r="D193" i="4"/>
  <c r="L193" i="4"/>
  <c r="AB193" i="4"/>
  <c r="H193" i="4"/>
  <c r="T193" i="4"/>
  <c r="AF193" i="4"/>
  <c r="Y195" i="4"/>
  <c r="I195" i="4"/>
  <c r="AC196" i="4"/>
  <c r="U197" i="4"/>
  <c r="M196" i="4"/>
  <c r="Q196" i="4"/>
  <c r="AE194" i="4"/>
  <c r="H194" i="4" s="1"/>
  <c r="E196" i="4"/>
  <c r="X188" i="2"/>
  <c r="D182" i="1"/>
  <c r="L182" i="1"/>
  <c r="P182" i="1"/>
  <c r="I184" i="1"/>
  <c r="S183" i="1"/>
  <c r="H183" i="1" s="1"/>
  <c r="E188" i="1"/>
  <c r="E200" i="9" l="1"/>
  <c r="D199" i="9"/>
  <c r="P199" i="9"/>
  <c r="I200" i="9"/>
  <c r="H199" i="9"/>
  <c r="L199" i="9"/>
  <c r="M200" i="9"/>
  <c r="S200" i="9" s="1"/>
  <c r="Q201" i="9"/>
  <c r="H194" i="8"/>
  <c r="P194" i="8"/>
  <c r="Q198" i="8"/>
  <c r="S195" i="8"/>
  <c r="I196" i="8"/>
  <c r="E196" i="8"/>
  <c r="T194" i="8"/>
  <c r="L194" i="8"/>
  <c r="M198" i="8"/>
  <c r="D194" i="8"/>
  <c r="E195" i="7"/>
  <c r="Q198" i="7"/>
  <c r="M197" i="7"/>
  <c r="T193" i="7"/>
  <c r="P193" i="7"/>
  <c r="L193" i="7"/>
  <c r="I195" i="7"/>
  <c r="S194" i="7"/>
  <c r="D194" i="7" s="1"/>
  <c r="H193" i="7"/>
  <c r="Q197" i="5"/>
  <c r="M196" i="5"/>
  <c r="I196" i="5"/>
  <c r="E195" i="5"/>
  <c r="W195" i="5" s="1"/>
  <c r="X195" i="5" s="1"/>
  <c r="AE195" i="4"/>
  <c r="AF195" i="4" s="1"/>
  <c r="U198" i="4"/>
  <c r="M197" i="4"/>
  <c r="AC197" i="4"/>
  <c r="E197" i="4"/>
  <c r="I196" i="4"/>
  <c r="AF194" i="4"/>
  <c r="T194" i="4"/>
  <c r="D194" i="4"/>
  <c r="L194" i="4"/>
  <c r="AB194" i="4"/>
  <c r="P194" i="4"/>
  <c r="Y196" i="4"/>
  <c r="Q197" i="4"/>
  <c r="X194" i="4"/>
  <c r="X189" i="2"/>
  <c r="I185" i="1"/>
  <c r="S184" i="1"/>
  <c r="H184" i="1" s="1"/>
  <c r="L183" i="1"/>
  <c r="P183" i="1"/>
  <c r="D183" i="1"/>
  <c r="E189" i="1"/>
  <c r="T200" i="9" l="1"/>
  <c r="P200" i="9"/>
  <c r="Q202" i="9"/>
  <c r="H200" i="9"/>
  <c r="I201" i="9"/>
  <c r="M201" i="9"/>
  <c r="L200" i="9"/>
  <c r="D200" i="9"/>
  <c r="E201" i="9"/>
  <c r="D195" i="8"/>
  <c r="P195" i="8"/>
  <c r="Q199" i="8"/>
  <c r="H195" i="8"/>
  <c r="S196" i="8"/>
  <c r="P196" i="8" s="1"/>
  <c r="M199" i="8"/>
  <c r="E197" i="8"/>
  <c r="T195" i="8"/>
  <c r="L195" i="8"/>
  <c r="I197" i="8"/>
  <c r="H194" i="7"/>
  <c r="I196" i="7"/>
  <c r="S195" i="7"/>
  <c r="D195" i="7" s="1"/>
  <c r="M198" i="7"/>
  <c r="Q199" i="7"/>
  <c r="T194" i="7"/>
  <c r="P194" i="7"/>
  <c r="L194" i="7"/>
  <c r="E196" i="7"/>
  <c r="I197" i="5"/>
  <c r="Q198" i="5"/>
  <c r="E196" i="5"/>
  <c r="W196" i="5" s="1"/>
  <c r="X196" i="5" s="1"/>
  <c r="M197" i="5"/>
  <c r="T193" i="5"/>
  <c r="P193" i="5"/>
  <c r="H193" i="5"/>
  <c r="L193" i="5"/>
  <c r="D193" i="5"/>
  <c r="D195" i="5"/>
  <c r="H195" i="4"/>
  <c r="P195" i="4"/>
  <c r="X195" i="4"/>
  <c r="L195" i="4"/>
  <c r="D195" i="4"/>
  <c r="AB195" i="4"/>
  <c r="T195" i="4"/>
  <c r="M198" i="4"/>
  <c r="Y197" i="4"/>
  <c r="AC198" i="4"/>
  <c r="I197" i="4"/>
  <c r="AE196" i="4"/>
  <c r="U199" i="4"/>
  <c r="Q198" i="4"/>
  <c r="E198" i="4"/>
  <c r="X190" i="2"/>
  <c r="D184" i="1"/>
  <c r="P184" i="1"/>
  <c r="L184" i="1"/>
  <c r="I186" i="1"/>
  <c r="S185" i="1"/>
  <c r="H185" i="1" s="1"/>
  <c r="E190" i="1"/>
  <c r="I202" i="9" l="1"/>
  <c r="E202" i="9"/>
  <c r="Q203" i="9"/>
  <c r="M202" i="9"/>
  <c r="S201" i="9"/>
  <c r="L201" i="9" s="1"/>
  <c r="H196" i="8"/>
  <c r="Q200" i="8"/>
  <c r="E198" i="8"/>
  <c r="D196" i="8"/>
  <c r="S197" i="8"/>
  <c r="P197" i="8" s="1"/>
  <c r="M200" i="8"/>
  <c r="I198" i="8"/>
  <c r="T196" i="8"/>
  <c r="L196" i="8"/>
  <c r="I197" i="7"/>
  <c r="S196" i="7"/>
  <c r="Q200" i="7"/>
  <c r="M199" i="7"/>
  <c r="T195" i="7"/>
  <c r="P195" i="7"/>
  <c r="L195" i="7"/>
  <c r="D196" i="7"/>
  <c r="E197" i="7"/>
  <c r="H195" i="7"/>
  <c r="T195" i="5"/>
  <c r="P195" i="5"/>
  <c r="L195" i="5"/>
  <c r="H195" i="5"/>
  <c r="Q199" i="5"/>
  <c r="I198" i="5"/>
  <c r="M198" i="5"/>
  <c r="T194" i="5"/>
  <c r="P194" i="5"/>
  <c r="L194" i="5"/>
  <c r="H194" i="5"/>
  <c r="D194" i="5"/>
  <c r="E197" i="5"/>
  <c r="W197" i="5" s="1"/>
  <c r="X197" i="5" s="1"/>
  <c r="U200" i="4"/>
  <c r="AF196" i="4"/>
  <c r="T196" i="4"/>
  <c r="D196" i="4"/>
  <c r="P196" i="4"/>
  <c r="AB196" i="4"/>
  <c r="L196" i="4"/>
  <c r="I198" i="4"/>
  <c r="H196" i="4"/>
  <c r="AC199" i="4"/>
  <c r="E199" i="4"/>
  <c r="Y198" i="4"/>
  <c r="X196" i="4"/>
  <c r="Q199" i="4"/>
  <c r="AE197" i="4"/>
  <c r="M199" i="4"/>
  <c r="X191" i="2"/>
  <c r="I187" i="1"/>
  <c r="S186" i="1"/>
  <c r="H186" i="1" s="1"/>
  <c r="D185" i="1"/>
  <c r="L185" i="1"/>
  <c r="P185" i="1"/>
  <c r="E191" i="1"/>
  <c r="M203" i="9" l="1"/>
  <c r="S202" i="9"/>
  <c r="D202" i="9" s="1"/>
  <c r="E203" i="9"/>
  <c r="T201" i="9"/>
  <c r="P201" i="9"/>
  <c r="H201" i="9"/>
  <c r="Q204" i="9"/>
  <c r="D201" i="9"/>
  <c r="I203" i="9"/>
  <c r="S203" i="9" s="1"/>
  <c r="H197" i="8"/>
  <c r="Q201" i="8"/>
  <c r="I199" i="8"/>
  <c r="M201" i="8"/>
  <c r="S198" i="8"/>
  <c r="P198" i="8" s="1"/>
  <c r="T197" i="8"/>
  <c r="L197" i="8"/>
  <c r="D197" i="8"/>
  <c r="E199" i="8"/>
  <c r="M200" i="7"/>
  <c r="Q201" i="7"/>
  <c r="T196" i="7"/>
  <c r="P196" i="7"/>
  <c r="L196" i="7"/>
  <c r="H196" i="7"/>
  <c r="E198" i="7"/>
  <c r="I198" i="7"/>
  <c r="S197" i="7"/>
  <c r="D197" i="7" s="1"/>
  <c r="Q200" i="5"/>
  <c r="E198" i="5"/>
  <c r="W198" i="5" s="1"/>
  <c r="X198" i="5" s="1"/>
  <c r="I199" i="5"/>
  <c r="M199" i="5"/>
  <c r="D197" i="5"/>
  <c r="I199" i="4"/>
  <c r="AF197" i="4"/>
  <c r="T197" i="4"/>
  <c r="L197" i="4"/>
  <c r="D197" i="4"/>
  <c r="P197" i="4"/>
  <c r="AB197" i="4"/>
  <c r="AE198" i="4"/>
  <c r="M200" i="4"/>
  <c r="Q200" i="4"/>
  <c r="AC200" i="4"/>
  <c r="H197" i="4"/>
  <c r="X197" i="4"/>
  <c r="Y199" i="4"/>
  <c r="E200" i="4"/>
  <c r="U201" i="4"/>
  <c r="X192" i="2"/>
  <c r="D186" i="1"/>
  <c r="P186" i="1"/>
  <c r="L186" i="1"/>
  <c r="I188" i="1"/>
  <c r="S187" i="1"/>
  <c r="H187" i="1" s="1"/>
  <c r="E192" i="1"/>
  <c r="T203" i="9" l="1"/>
  <c r="P203" i="9"/>
  <c r="E204" i="9"/>
  <c r="D203" i="9"/>
  <c r="Q205" i="9"/>
  <c r="T202" i="9"/>
  <c r="P202" i="9"/>
  <c r="H203" i="9"/>
  <c r="I204" i="9"/>
  <c r="S204" i="9" s="1"/>
  <c r="L202" i="9"/>
  <c r="H202" i="9"/>
  <c r="L203" i="9"/>
  <c r="M204" i="9"/>
  <c r="D198" i="8"/>
  <c r="Q202" i="8"/>
  <c r="T198" i="8"/>
  <c r="L198" i="8"/>
  <c r="S199" i="8"/>
  <c r="P199" i="8" s="1"/>
  <c r="E200" i="8"/>
  <c r="M202" i="8"/>
  <c r="H198" i="8"/>
  <c r="I200" i="8"/>
  <c r="I199" i="7"/>
  <c r="S198" i="7"/>
  <c r="H198" i="7" s="1"/>
  <c r="E199" i="7"/>
  <c r="Q202" i="7"/>
  <c r="T197" i="7"/>
  <c r="P197" i="7"/>
  <c r="L197" i="7"/>
  <c r="H197" i="7"/>
  <c r="M201" i="7"/>
  <c r="M200" i="5"/>
  <c r="T196" i="5"/>
  <c r="P196" i="5"/>
  <c r="H196" i="5"/>
  <c r="L196" i="5"/>
  <c r="D196" i="5"/>
  <c r="I200" i="5"/>
  <c r="T197" i="5"/>
  <c r="P197" i="5"/>
  <c r="L197" i="5"/>
  <c r="H197" i="5"/>
  <c r="E199" i="5"/>
  <c r="W199" i="5" s="1"/>
  <c r="X199" i="5" s="1"/>
  <c r="Q201" i="5"/>
  <c r="M201" i="4"/>
  <c r="AF198" i="4"/>
  <c r="T198" i="4"/>
  <c r="AB198" i="4"/>
  <c r="D198" i="4"/>
  <c r="P198" i="4"/>
  <c r="L198" i="4"/>
  <c r="U202" i="4"/>
  <c r="E201" i="4"/>
  <c r="Y200" i="4"/>
  <c r="X198" i="4"/>
  <c r="AC201" i="4"/>
  <c r="Q201" i="4"/>
  <c r="H198" i="4"/>
  <c r="AE199" i="4"/>
  <c r="H199" i="4" s="1"/>
  <c r="I200" i="4"/>
  <c r="X193" i="2"/>
  <c r="D187" i="1"/>
  <c r="P187" i="1"/>
  <c r="L187" i="1"/>
  <c r="I189" i="1"/>
  <c r="S188" i="1"/>
  <c r="E193" i="1"/>
  <c r="T204" i="9" l="1"/>
  <c r="P204" i="9"/>
  <c r="Q206" i="9"/>
  <c r="H204" i="9"/>
  <c r="I205" i="9"/>
  <c r="L204" i="9"/>
  <c r="M205" i="9"/>
  <c r="D204" i="9"/>
  <c r="E205" i="9"/>
  <c r="S205" i="9" s="1"/>
  <c r="D199" i="8"/>
  <c r="Q203" i="8"/>
  <c r="M203" i="8"/>
  <c r="S200" i="8"/>
  <c r="P200" i="8" s="1"/>
  <c r="T199" i="8"/>
  <c r="L199" i="8"/>
  <c r="I201" i="8"/>
  <c r="E201" i="8"/>
  <c r="H199" i="8"/>
  <c r="D198" i="7"/>
  <c r="Q203" i="7"/>
  <c r="E200" i="7"/>
  <c r="T198" i="7"/>
  <c r="P198" i="7"/>
  <c r="L198" i="7"/>
  <c r="M202" i="7"/>
  <c r="I200" i="7"/>
  <c r="S199" i="7"/>
  <c r="D199" i="7" s="1"/>
  <c r="M201" i="5"/>
  <c r="I201" i="5"/>
  <c r="Q202" i="5"/>
  <c r="E200" i="5"/>
  <c r="W200" i="5" s="1"/>
  <c r="X200" i="5" s="1"/>
  <c r="E202" i="4"/>
  <c r="Q202" i="4"/>
  <c r="I201" i="4"/>
  <c r="AF199" i="4"/>
  <c r="T199" i="4"/>
  <c r="AB199" i="4"/>
  <c r="L199" i="4"/>
  <c r="D199" i="4"/>
  <c r="P199" i="4"/>
  <c r="U203" i="4"/>
  <c r="AE200" i="4"/>
  <c r="H200" i="4" s="1"/>
  <c r="AC202" i="4"/>
  <c r="Y201" i="4"/>
  <c r="M202" i="4"/>
  <c r="X199" i="4"/>
  <c r="X194" i="2"/>
  <c r="L188" i="1"/>
  <c r="P188" i="1"/>
  <c r="D188" i="1"/>
  <c r="H188" i="1"/>
  <c r="I190" i="1"/>
  <c r="S189" i="1"/>
  <c r="H189" i="1" s="1"/>
  <c r="E194" i="1"/>
  <c r="T205" i="9" l="1"/>
  <c r="P205" i="9"/>
  <c r="L205" i="9"/>
  <c r="M206" i="9"/>
  <c r="Q207" i="9"/>
  <c r="E206" i="9"/>
  <c r="D205" i="9"/>
  <c r="I206" i="9"/>
  <c r="H205" i="9"/>
  <c r="D200" i="8"/>
  <c r="H200" i="8"/>
  <c r="Q204" i="8"/>
  <c r="I202" i="8"/>
  <c r="S201" i="8"/>
  <c r="P201" i="8" s="1"/>
  <c r="T200" i="8"/>
  <c r="L200" i="8"/>
  <c r="E202" i="8"/>
  <c r="M204" i="8"/>
  <c r="H199" i="7"/>
  <c r="I201" i="7"/>
  <c r="S200" i="7"/>
  <c r="D200" i="7" s="1"/>
  <c r="M203" i="7"/>
  <c r="E201" i="7"/>
  <c r="T199" i="7"/>
  <c r="P199" i="7"/>
  <c r="L199" i="7"/>
  <c r="Q204" i="7"/>
  <c r="E201" i="5"/>
  <c r="W201" i="5" s="1"/>
  <c r="X201" i="5" s="1"/>
  <c r="I202" i="5"/>
  <c r="M202" i="5"/>
  <c r="T198" i="5"/>
  <c r="P198" i="5"/>
  <c r="H198" i="5"/>
  <c r="L198" i="5"/>
  <c r="D198" i="5"/>
  <c r="Q203" i="5"/>
  <c r="D200" i="5"/>
  <c r="X200" i="4"/>
  <c r="M203" i="4"/>
  <c r="Y202" i="4"/>
  <c r="I202" i="4"/>
  <c r="AC203" i="4"/>
  <c r="AF200" i="4"/>
  <c r="T200" i="4"/>
  <c r="L200" i="4"/>
  <c r="AB200" i="4"/>
  <c r="D200" i="4"/>
  <c r="P200" i="4"/>
  <c r="Q203" i="4"/>
  <c r="AE201" i="4"/>
  <c r="H201" i="4" s="1"/>
  <c r="U204" i="4"/>
  <c r="E203" i="4"/>
  <c r="X195" i="2"/>
  <c r="D189" i="1"/>
  <c r="P189" i="1"/>
  <c r="L189" i="1"/>
  <c r="I191" i="1"/>
  <c r="S190" i="1"/>
  <c r="H190" i="1" s="1"/>
  <c r="E195" i="1"/>
  <c r="S206" i="9" l="1"/>
  <c r="T206" i="9"/>
  <c r="P206" i="9"/>
  <c r="H206" i="9"/>
  <c r="I207" i="9"/>
  <c r="L206" i="9"/>
  <c r="M207" i="9"/>
  <c r="Q208" i="9"/>
  <c r="E207" i="9"/>
  <c r="S207" i="9" s="1"/>
  <c r="D206" i="9"/>
  <c r="D201" i="8"/>
  <c r="Q205" i="8"/>
  <c r="M205" i="8"/>
  <c r="T201" i="8"/>
  <c r="L201" i="8"/>
  <c r="S202" i="8"/>
  <c r="P202" i="8" s="1"/>
  <c r="I203" i="8"/>
  <c r="E203" i="8"/>
  <c r="H201" i="8"/>
  <c r="E202" i="7"/>
  <c r="M204" i="7"/>
  <c r="T200" i="7"/>
  <c r="P200" i="7"/>
  <c r="L200" i="7"/>
  <c r="I202" i="7"/>
  <c r="S201" i="7"/>
  <c r="Q205" i="7"/>
  <c r="H200" i="7"/>
  <c r="I203" i="5"/>
  <c r="Q204" i="5"/>
  <c r="T199" i="5"/>
  <c r="P199" i="5"/>
  <c r="L199" i="5"/>
  <c r="H199" i="5"/>
  <c r="D199" i="5"/>
  <c r="T200" i="5"/>
  <c r="P200" i="5"/>
  <c r="L200" i="5"/>
  <c r="H200" i="5"/>
  <c r="M203" i="5"/>
  <c r="E202" i="5"/>
  <c r="W202" i="5" s="1"/>
  <c r="X202" i="5" s="1"/>
  <c r="AE202" i="4"/>
  <c r="AB202" i="4" s="1"/>
  <c r="AC204" i="4"/>
  <c r="U205" i="4"/>
  <c r="E204" i="4"/>
  <c r="AF201" i="4"/>
  <c r="T201" i="4"/>
  <c r="D201" i="4"/>
  <c r="P201" i="4"/>
  <c r="L201" i="4"/>
  <c r="AB201" i="4"/>
  <c r="AF202" i="4"/>
  <c r="T202" i="4"/>
  <c r="I203" i="4"/>
  <c r="Q204" i="4"/>
  <c r="Y203" i="4"/>
  <c r="X201" i="4"/>
  <c r="M204" i="4"/>
  <c r="L202" i="4"/>
  <c r="X196" i="2"/>
  <c r="L190" i="1"/>
  <c r="P190" i="1"/>
  <c r="D190" i="1"/>
  <c r="I192" i="1"/>
  <c r="S191" i="1"/>
  <c r="H191" i="1" s="1"/>
  <c r="E196" i="1"/>
  <c r="T207" i="9" l="1"/>
  <c r="P207" i="9"/>
  <c r="H207" i="9"/>
  <c r="I208" i="9"/>
  <c r="L207" i="9"/>
  <c r="M208" i="9"/>
  <c r="E208" i="9"/>
  <c r="D207" i="9"/>
  <c r="Q209" i="9"/>
  <c r="S208" i="9"/>
  <c r="T208" i="9" s="1"/>
  <c r="D202" i="8"/>
  <c r="H202" i="8"/>
  <c r="Q206" i="8"/>
  <c r="E204" i="8"/>
  <c r="I204" i="8"/>
  <c r="S203" i="8"/>
  <c r="T202" i="8"/>
  <c r="L202" i="8"/>
  <c r="M206" i="8"/>
  <c r="T201" i="7"/>
  <c r="P201" i="7"/>
  <c r="L201" i="7"/>
  <c r="H201" i="7"/>
  <c r="I203" i="7"/>
  <c r="S202" i="7"/>
  <c r="M205" i="7"/>
  <c r="D201" i="7"/>
  <c r="Q206" i="7"/>
  <c r="E203" i="7"/>
  <c r="Q205" i="5"/>
  <c r="E203" i="5"/>
  <c r="W203" i="5" s="1"/>
  <c r="X203" i="5" s="1"/>
  <c r="M204" i="5"/>
  <c r="I204" i="5"/>
  <c r="P202" i="4"/>
  <c r="X202" i="4"/>
  <c r="H202" i="4"/>
  <c r="D202" i="4"/>
  <c r="AE203" i="4"/>
  <c r="AF203" i="4" s="1"/>
  <c r="Q205" i="4"/>
  <c r="Y204" i="4"/>
  <c r="E205" i="4"/>
  <c r="I204" i="4"/>
  <c r="U206" i="4"/>
  <c r="M205" i="4"/>
  <c r="AC205" i="4"/>
  <c r="X197" i="2"/>
  <c r="L191" i="1"/>
  <c r="D191" i="1"/>
  <c r="P191" i="1"/>
  <c r="I193" i="1"/>
  <c r="S192" i="1"/>
  <c r="H192" i="1" s="1"/>
  <c r="E197" i="1"/>
  <c r="Q210" i="9" l="1"/>
  <c r="I209" i="9"/>
  <c r="H208" i="9"/>
  <c r="M209" i="9"/>
  <c r="L208" i="9"/>
  <c r="P208" i="9"/>
  <c r="D208" i="9"/>
  <c r="E209" i="9"/>
  <c r="D203" i="8"/>
  <c r="P203" i="8"/>
  <c r="Q207" i="8"/>
  <c r="H203" i="8"/>
  <c r="M207" i="8"/>
  <c r="I205" i="8"/>
  <c r="S204" i="8"/>
  <c r="P204" i="8" s="1"/>
  <c r="T203" i="8"/>
  <c r="L203" i="8"/>
  <c r="E205" i="8"/>
  <c r="M206" i="7"/>
  <c r="T202" i="7"/>
  <c r="P202" i="7"/>
  <c r="L202" i="7"/>
  <c r="H202" i="7"/>
  <c r="I204" i="7"/>
  <c r="S203" i="7"/>
  <c r="D203" i="7" s="1"/>
  <c r="E204" i="7"/>
  <c r="D202" i="7"/>
  <c r="Q207" i="7"/>
  <c r="I205" i="5"/>
  <c r="T202" i="5"/>
  <c r="P202" i="5"/>
  <c r="H202" i="5"/>
  <c r="L202" i="5"/>
  <c r="W204" i="5"/>
  <c r="X204" i="5" s="1"/>
  <c r="M205" i="5"/>
  <c r="D202" i="5"/>
  <c r="Q206" i="5"/>
  <c r="T201" i="5"/>
  <c r="P201" i="5"/>
  <c r="H201" i="5"/>
  <c r="L201" i="5"/>
  <c r="D201" i="5"/>
  <c r="H203" i="4"/>
  <c r="X203" i="4"/>
  <c r="L203" i="4"/>
  <c r="P203" i="4"/>
  <c r="D203" i="4"/>
  <c r="AB203" i="4"/>
  <c r="T203" i="4"/>
  <c r="Y205" i="4"/>
  <c r="AC206" i="4"/>
  <c r="AE204" i="4"/>
  <c r="E206" i="4"/>
  <c r="Q206" i="4"/>
  <c r="M206" i="4"/>
  <c r="U207" i="4"/>
  <c r="I205" i="4"/>
  <c r="X198" i="2"/>
  <c r="D192" i="1"/>
  <c r="P192" i="1"/>
  <c r="L192" i="1"/>
  <c r="I194" i="1"/>
  <c r="S193" i="1"/>
  <c r="H193" i="1"/>
  <c r="E198" i="1"/>
  <c r="E210" i="9" l="1"/>
  <c r="I210" i="9"/>
  <c r="S209" i="9"/>
  <c r="M210" i="9"/>
  <c r="Q211" i="9"/>
  <c r="D204" i="8"/>
  <c r="Q208" i="8"/>
  <c r="I206" i="8"/>
  <c r="S205" i="8"/>
  <c r="P205" i="8" s="1"/>
  <c r="T204" i="8"/>
  <c r="L204" i="8"/>
  <c r="H204" i="8"/>
  <c r="M208" i="8"/>
  <c r="E206" i="8"/>
  <c r="E205" i="7"/>
  <c r="T203" i="7"/>
  <c r="P203" i="7"/>
  <c r="L203" i="7"/>
  <c r="I205" i="7"/>
  <c r="S204" i="7"/>
  <c r="H203" i="7"/>
  <c r="Q208" i="7"/>
  <c r="M207" i="7"/>
  <c r="M206" i="5"/>
  <c r="E205" i="5"/>
  <c r="W205" i="5" s="1"/>
  <c r="X205" i="5" s="1"/>
  <c r="I206" i="5"/>
  <c r="Q207" i="5"/>
  <c r="AE205" i="4"/>
  <c r="L205" i="4" s="1"/>
  <c r="E207" i="4"/>
  <c r="Q207" i="4"/>
  <c r="M207" i="4"/>
  <c r="AF204" i="4"/>
  <c r="T204" i="4"/>
  <c r="D204" i="4"/>
  <c r="P204" i="4"/>
  <c r="L204" i="4"/>
  <c r="AB204" i="4"/>
  <c r="H204" i="4"/>
  <c r="I206" i="4"/>
  <c r="AC207" i="4"/>
  <c r="Y206" i="4"/>
  <c r="U208" i="4"/>
  <c r="X204" i="4"/>
  <c r="X199" i="2"/>
  <c r="D193" i="1"/>
  <c r="L193" i="1"/>
  <c r="P193" i="1"/>
  <c r="I195" i="1"/>
  <c r="S194" i="1"/>
  <c r="H194" i="1" s="1"/>
  <c r="E199" i="1"/>
  <c r="T209" i="9" l="1"/>
  <c r="P209" i="9"/>
  <c r="I211" i="9"/>
  <c r="M211" i="9"/>
  <c r="H209" i="9"/>
  <c r="S210" i="9"/>
  <c r="L210" i="9" s="1"/>
  <c r="D210" i="9"/>
  <c r="E211" i="9"/>
  <c r="Q212" i="9"/>
  <c r="L209" i="9"/>
  <c r="D209" i="9"/>
  <c r="Q209" i="8"/>
  <c r="E207" i="8"/>
  <c r="T205" i="8"/>
  <c r="L205" i="8"/>
  <c r="M209" i="8"/>
  <c r="S206" i="8"/>
  <c r="P206" i="8" s="1"/>
  <c r="H205" i="8"/>
  <c r="D205" i="8"/>
  <c r="I207" i="8"/>
  <c r="T204" i="7"/>
  <c r="P204" i="7"/>
  <c r="L204" i="7"/>
  <c r="Q209" i="7"/>
  <c r="E206" i="7"/>
  <c r="H204" i="7"/>
  <c r="I206" i="7"/>
  <c r="S205" i="7"/>
  <c r="M208" i="7"/>
  <c r="D204" i="7"/>
  <c r="Q208" i="5"/>
  <c r="T203" i="5"/>
  <c r="P203" i="5"/>
  <c r="H203" i="5"/>
  <c r="L203" i="5"/>
  <c r="D203" i="5"/>
  <c r="E206" i="5"/>
  <c r="W206" i="5" s="1"/>
  <c r="X206" i="5" s="1"/>
  <c r="T204" i="5"/>
  <c r="P204" i="5"/>
  <c r="H204" i="5"/>
  <c r="L204" i="5"/>
  <c r="I207" i="5"/>
  <c r="D204" i="5"/>
  <c r="D205" i="5"/>
  <c r="M207" i="5"/>
  <c r="T205" i="4"/>
  <c r="AF205" i="4"/>
  <c r="X205" i="4"/>
  <c r="D205" i="4"/>
  <c r="P205" i="4"/>
  <c r="H205" i="4"/>
  <c r="AB205" i="4"/>
  <c r="Q208" i="4"/>
  <c r="I207" i="4"/>
  <c r="AC208" i="4"/>
  <c r="AE206" i="4"/>
  <c r="M208" i="4"/>
  <c r="E208" i="4"/>
  <c r="U209" i="4"/>
  <c r="Y207" i="4"/>
  <c r="X200" i="2"/>
  <c r="D194" i="1"/>
  <c r="P194" i="1"/>
  <c r="L194" i="1"/>
  <c r="I196" i="1"/>
  <c r="S195" i="1"/>
  <c r="H195" i="1" s="1"/>
  <c r="E200" i="1"/>
  <c r="Q213" i="9" l="1"/>
  <c r="T210" i="9"/>
  <c r="P210" i="9"/>
  <c r="H210" i="9"/>
  <c r="M212" i="9"/>
  <c r="I212" i="9"/>
  <c r="E212" i="9"/>
  <c r="S211" i="9"/>
  <c r="L211" i="9" s="1"/>
  <c r="H206" i="8"/>
  <c r="Q210" i="8"/>
  <c r="M210" i="8"/>
  <c r="T206" i="8"/>
  <c r="L206" i="8"/>
  <c r="S207" i="8"/>
  <c r="P207" i="8" s="1"/>
  <c r="D206" i="8"/>
  <c r="I208" i="8"/>
  <c r="E208" i="8"/>
  <c r="T205" i="7"/>
  <c r="P205" i="7"/>
  <c r="L205" i="7"/>
  <c r="D205" i="7"/>
  <c r="M209" i="7"/>
  <c r="I207" i="7"/>
  <c r="S206" i="7"/>
  <c r="H205" i="7"/>
  <c r="E207" i="7"/>
  <c r="Q210" i="7"/>
  <c r="Q209" i="5"/>
  <c r="M208" i="5"/>
  <c r="I208" i="5"/>
  <c r="E207" i="5"/>
  <c r="W207" i="5" s="1"/>
  <c r="X207" i="5" s="1"/>
  <c r="T205" i="5"/>
  <c r="P205" i="5"/>
  <c r="H205" i="5"/>
  <c r="L205" i="5"/>
  <c r="E209" i="4"/>
  <c r="M209" i="4"/>
  <c r="AC209" i="4"/>
  <c r="AF206" i="4"/>
  <c r="T206" i="4"/>
  <c r="D206" i="4"/>
  <c r="AB206" i="4"/>
  <c r="L206" i="4"/>
  <c r="P206" i="4"/>
  <c r="I208" i="4"/>
  <c r="Y208" i="4"/>
  <c r="H206" i="4"/>
  <c r="X206" i="4"/>
  <c r="U210" i="4"/>
  <c r="Q209" i="4"/>
  <c r="AE207" i="4"/>
  <c r="X201" i="2"/>
  <c r="L195" i="1"/>
  <c r="P195" i="1"/>
  <c r="D195" i="1"/>
  <c r="I197" i="1"/>
  <c r="S196" i="1"/>
  <c r="H196" i="1" s="1"/>
  <c r="E201" i="1"/>
  <c r="D211" i="9" l="1"/>
  <c r="H211" i="9"/>
  <c r="E213" i="9"/>
  <c r="M213" i="9"/>
  <c r="Q214" i="9"/>
  <c r="I213" i="9"/>
  <c r="S213" i="9" s="1"/>
  <c r="T211" i="9"/>
  <c r="P211" i="9"/>
  <c r="S212" i="9"/>
  <c r="H207" i="8"/>
  <c r="Q211" i="8"/>
  <c r="I209" i="8"/>
  <c r="E209" i="8"/>
  <c r="S208" i="8"/>
  <c r="T207" i="8"/>
  <c r="L207" i="8"/>
  <c r="D207" i="8"/>
  <c r="M211" i="8"/>
  <c r="I208" i="7"/>
  <c r="S207" i="7"/>
  <c r="D207" i="7" s="1"/>
  <c r="M210" i="7"/>
  <c r="E208" i="7"/>
  <c r="T206" i="7"/>
  <c r="P206" i="7"/>
  <c r="L206" i="7"/>
  <c r="H206" i="7"/>
  <c r="Q211" i="7"/>
  <c r="D206" i="7"/>
  <c r="E208" i="5"/>
  <c r="W208" i="5" s="1"/>
  <c r="X208" i="5" s="1"/>
  <c r="T206" i="5"/>
  <c r="P206" i="5"/>
  <c r="H206" i="5"/>
  <c r="L206" i="5"/>
  <c r="I209" i="5"/>
  <c r="M209" i="5"/>
  <c r="D206" i="5"/>
  <c r="Q210" i="5"/>
  <c r="AE208" i="4"/>
  <c r="AB208" i="4" s="1"/>
  <c r="AF207" i="4"/>
  <c r="T207" i="4"/>
  <c r="P207" i="4"/>
  <c r="AB207" i="4"/>
  <c r="D207" i="4"/>
  <c r="L207" i="4"/>
  <c r="Q210" i="4"/>
  <c r="U211" i="4"/>
  <c r="AC210" i="4"/>
  <c r="Y209" i="4"/>
  <c r="X207" i="4"/>
  <c r="M210" i="4"/>
  <c r="H207" i="4"/>
  <c r="I209" i="4"/>
  <c r="E210" i="4"/>
  <c r="X202" i="2"/>
  <c r="D196" i="1"/>
  <c r="P196" i="1"/>
  <c r="L196" i="1"/>
  <c r="I198" i="1"/>
  <c r="S197" i="1"/>
  <c r="H197" i="1" s="1"/>
  <c r="E202" i="1"/>
  <c r="T213" i="9" l="1"/>
  <c r="P213" i="9"/>
  <c r="T212" i="9"/>
  <c r="P212" i="9"/>
  <c r="L212" i="9"/>
  <c r="M214" i="9"/>
  <c r="L213" i="9"/>
  <c r="H212" i="9"/>
  <c r="E214" i="9"/>
  <c r="D213" i="9"/>
  <c r="I214" i="9"/>
  <c r="H213" i="9"/>
  <c r="Q215" i="9"/>
  <c r="D212" i="9"/>
  <c r="D208" i="8"/>
  <c r="P208" i="8"/>
  <c r="Q212" i="8"/>
  <c r="E210" i="8"/>
  <c r="T208" i="8"/>
  <c r="L208" i="8"/>
  <c r="I210" i="8"/>
  <c r="M212" i="8"/>
  <c r="S209" i="8"/>
  <c r="H208" i="8"/>
  <c r="E209" i="7"/>
  <c r="M211" i="7"/>
  <c r="T207" i="7"/>
  <c r="P207" i="7"/>
  <c r="L207" i="7"/>
  <c r="H207" i="7"/>
  <c r="Q212" i="7"/>
  <c r="I209" i="7"/>
  <c r="S208" i="7"/>
  <c r="H208" i="7" s="1"/>
  <c r="Q211" i="5"/>
  <c r="M210" i="5"/>
  <c r="E209" i="5"/>
  <c r="W209" i="5" s="1"/>
  <c r="X209" i="5" s="1"/>
  <c r="T207" i="5"/>
  <c r="P207" i="5"/>
  <c r="L207" i="5"/>
  <c r="H207" i="5"/>
  <c r="I210" i="5"/>
  <c r="D207" i="5"/>
  <c r="T208" i="4"/>
  <c r="H208" i="4"/>
  <c r="AE209" i="4"/>
  <c r="D209" i="4" s="1"/>
  <c r="AF208" i="4"/>
  <c r="D208" i="4"/>
  <c r="P208" i="4"/>
  <c r="L208" i="4"/>
  <c r="X208" i="4"/>
  <c r="Q211" i="4"/>
  <c r="M211" i="4"/>
  <c r="Y210" i="4"/>
  <c r="X209" i="4"/>
  <c r="E211" i="4"/>
  <c r="AC211" i="4"/>
  <c r="U212" i="4"/>
  <c r="I210" i="4"/>
  <c r="X203" i="2"/>
  <c r="D197" i="1"/>
  <c r="L197" i="1"/>
  <c r="P197" i="1"/>
  <c r="I199" i="1"/>
  <c r="S198" i="1"/>
  <c r="H198" i="1" s="1"/>
  <c r="E203" i="1"/>
  <c r="I215" i="9" l="1"/>
  <c r="E215" i="9"/>
  <c r="M215" i="9"/>
  <c r="S214" i="9"/>
  <c r="S215" i="9"/>
  <c r="T215" i="9" s="1"/>
  <c r="Q216" i="9"/>
  <c r="D209" i="8"/>
  <c r="P209" i="8"/>
  <c r="Q213" i="8"/>
  <c r="S210" i="8"/>
  <c r="M213" i="8"/>
  <c r="I211" i="8"/>
  <c r="T209" i="8"/>
  <c r="L209" i="8"/>
  <c r="H209" i="8"/>
  <c r="E211" i="8"/>
  <c r="Q213" i="7"/>
  <c r="M212" i="7"/>
  <c r="T208" i="7"/>
  <c r="P208" i="7"/>
  <c r="L208" i="7"/>
  <c r="E210" i="7"/>
  <c r="I210" i="7"/>
  <c r="S209" i="7"/>
  <c r="D209" i="7" s="1"/>
  <c r="D208" i="7"/>
  <c r="I211" i="5"/>
  <c r="E210" i="5"/>
  <c r="W210" i="5" s="1"/>
  <c r="X210" i="5" s="1"/>
  <c r="M211" i="5"/>
  <c r="Q212" i="5"/>
  <c r="AB209" i="4"/>
  <c r="AF209" i="4"/>
  <c r="L209" i="4"/>
  <c r="P209" i="4"/>
  <c r="H209" i="4"/>
  <c r="T209" i="4"/>
  <c r="M212" i="4"/>
  <c r="I211" i="4"/>
  <c r="Y211" i="4"/>
  <c r="U213" i="4"/>
  <c r="AC212" i="4"/>
  <c r="Q212" i="4"/>
  <c r="AE210" i="4"/>
  <c r="X210" i="4" s="1"/>
  <c r="E212" i="4"/>
  <c r="X204" i="2"/>
  <c r="D198" i="1"/>
  <c r="P198" i="1"/>
  <c r="L198" i="1"/>
  <c r="I200" i="1"/>
  <c r="S199" i="1"/>
  <c r="H199" i="1" s="1"/>
  <c r="E204" i="1"/>
  <c r="P215" i="9" l="1"/>
  <c r="Q217" i="9"/>
  <c r="E216" i="9"/>
  <c r="D215" i="9"/>
  <c r="T214" i="9"/>
  <c r="P214" i="9"/>
  <c r="D214" i="9"/>
  <c r="M216" i="9"/>
  <c r="L215" i="9"/>
  <c r="H214" i="9"/>
  <c r="L214" i="9"/>
  <c r="H215" i="9"/>
  <c r="I216" i="9"/>
  <c r="H210" i="8"/>
  <c r="P210" i="8"/>
  <c r="Q214" i="8"/>
  <c r="E212" i="8"/>
  <c r="T210" i="8"/>
  <c r="L210" i="8"/>
  <c r="M214" i="8"/>
  <c r="S211" i="8"/>
  <c r="P211" i="8" s="1"/>
  <c r="I212" i="8"/>
  <c r="D210" i="8"/>
  <c r="H209" i="7"/>
  <c r="I211" i="7"/>
  <c r="S210" i="7"/>
  <c r="D210" i="7" s="1"/>
  <c r="E211" i="7"/>
  <c r="M213" i="7"/>
  <c r="T209" i="7"/>
  <c r="P209" i="7"/>
  <c r="L209" i="7"/>
  <c r="Q214" i="7"/>
  <c r="Q213" i="5"/>
  <c r="T208" i="5"/>
  <c r="P208" i="5"/>
  <c r="L208" i="5"/>
  <c r="H208" i="5"/>
  <c r="D208" i="5"/>
  <c r="M212" i="5"/>
  <c r="E211" i="5"/>
  <c r="W211" i="5" s="1"/>
  <c r="X211" i="5" s="1"/>
  <c r="I212" i="5"/>
  <c r="D210" i="5"/>
  <c r="H210" i="4"/>
  <c r="Q213" i="4"/>
  <c r="AC213" i="4"/>
  <c r="U214" i="4"/>
  <c r="Y212" i="4"/>
  <c r="I212" i="4"/>
  <c r="E213" i="4"/>
  <c r="AF210" i="4"/>
  <c r="T210" i="4"/>
  <c r="D210" i="4"/>
  <c r="P210" i="4"/>
  <c r="AB210" i="4"/>
  <c r="L210" i="4"/>
  <c r="AE211" i="4"/>
  <c r="H211" i="4" s="1"/>
  <c r="M213" i="4"/>
  <c r="X205" i="2"/>
  <c r="D199" i="1"/>
  <c r="P199" i="1"/>
  <c r="L199" i="1"/>
  <c r="I201" i="1"/>
  <c r="S200" i="1"/>
  <c r="H200" i="1" s="1"/>
  <c r="E205" i="1"/>
  <c r="E217" i="9" l="1"/>
  <c r="Q218" i="9"/>
  <c r="I217" i="9"/>
  <c r="S216" i="9"/>
  <c r="H216" i="9" s="1"/>
  <c r="M217" i="9"/>
  <c r="Q215" i="8"/>
  <c r="H211" i="8"/>
  <c r="M215" i="8"/>
  <c r="I213" i="8"/>
  <c r="S212" i="8"/>
  <c r="P212" i="8" s="1"/>
  <c r="E213" i="8"/>
  <c r="T211" i="8"/>
  <c r="L211" i="8"/>
  <c r="D211" i="8"/>
  <c r="Q215" i="7"/>
  <c r="M214" i="7"/>
  <c r="E212" i="7"/>
  <c r="T210" i="7"/>
  <c r="P210" i="7"/>
  <c r="L210" i="7"/>
  <c r="H210" i="7"/>
  <c r="I212" i="7"/>
  <c r="S211" i="7"/>
  <c r="H211" i="7" s="1"/>
  <c r="T210" i="5"/>
  <c r="P210" i="5"/>
  <c r="H210" i="5"/>
  <c r="L210" i="5"/>
  <c r="M213" i="5"/>
  <c r="I213" i="5"/>
  <c r="Q214" i="5"/>
  <c r="E212" i="5"/>
  <c r="W212" i="5" s="1"/>
  <c r="X212" i="5" s="1"/>
  <c r="D211" i="5"/>
  <c r="T209" i="5"/>
  <c r="P209" i="5"/>
  <c r="L209" i="5"/>
  <c r="H209" i="5"/>
  <c r="D209" i="5"/>
  <c r="M214" i="4"/>
  <c r="AF211" i="4"/>
  <c r="T211" i="4"/>
  <c r="L211" i="4"/>
  <c r="D211" i="4"/>
  <c r="P211" i="4"/>
  <c r="AB211" i="4"/>
  <c r="U215" i="4"/>
  <c r="AC214" i="4"/>
  <c r="I213" i="4"/>
  <c r="Y213" i="4"/>
  <c r="X211" i="4"/>
  <c r="Q214" i="4"/>
  <c r="AE212" i="4"/>
  <c r="E214" i="4"/>
  <c r="X206" i="2"/>
  <c r="D200" i="1"/>
  <c r="L200" i="1"/>
  <c r="P200" i="1"/>
  <c r="I202" i="1"/>
  <c r="S201" i="1"/>
  <c r="H201" i="1" s="1"/>
  <c r="E206" i="1"/>
  <c r="Q219" i="9" l="1"/>
  <c r="M218" i="9"/>
  <c r="S217" i="9"/>
  <c r="L217" i="9" s="1"/>
  <c r="T216" i="9"/>
  <c r="P216" i="9"/>
  <c r="D216" i="9"/>
  <c r="L216" i="9"/>
  <c r="H217" i="9"/>
  <c r="I218" i="9"/>
  <c r="E218" i="9"/>
  <c r="D212" i="8"/>
  <c r="Q216" i="8"/>
  <c r="S213" i="8"/>
  <c r="P213" i="8" s="1"/>
  <c r="I214" i="8"/>
  <c r="T212" i="8"/>
  <c r="L212" i="8"/>
  <c r="H212" i="8"/>
  <c r="E214" i="8"/>
  <c r="M216" i="8"/>
  <c r="D211" i="7"/>
  <c r="E213" i="7"/>
  <c r="M215" i="7"/>
  <c r="T211" i="7"/>
  <c r="P211" i="7"/>
  <c r="L211" i="7"/>
  <c r="I213" i="7"/>
  <c r="S212" i="7"/>
  <c r="Q216" i="7"/>
  <c r="Q215" i="5"/>
  <c r="I214" i="5"/>
  <c r="E213" i="5"/>
  <c r="W213" i="5" s="1"/>
  <c r="X213" i="5" s="1"/>
  <c r="M214" i="5"/>
  <c r="T211" i="5"/>
  <c r="P211" i="5"/>
  <c r="H211" i="5"/>
  <c r="L211" i="5"/>
  <c r="AE213" i="4"/>
  <c r="P213" i="4" s="1"/>
  <c r="E215" i="4"/>
  <c r="Q215" i="4"/>
  <c r="AF212" i="4"/>
  <c r="T212" i="4"/>
  <c r="P212" i="4"/>
  <c r="AB212" i="4"/>
  <c r="D212" i="4"/>
  <c r="L212" i="4"/>
  <c r="AC215" i="4"/>
  <c r="U216" i="4"/>
  <c r="X212" i="4"/>
  <c r="Y214" i="4"/>
  <c r="H212" i="4"/>
  <c r="I214" i="4"/>
  <c r="M215" i="4"/>
  <c r="X207" i="2"/>
  <c r="D201" i="1"/>
  <c r="P201" i="1"/>
  <c r="L201" i="1"/>
  <c r="I203" i="1"/>
  <c r="S202" i="1"/>
  <c r="H202" i="1" s="1"/>
  <c r="E207" i="1"/>
  <c r="M219" i="9" l="1"/>
  <c r="T217" i="9"/>
  <c r="P217" i="9"/>
  <c r="Q220" i="9"/>
  <c r="D217" i="9"/>
  <c r="I219" i="9"/>
  <c r="E219" i="9"/>
  <c r="S218" i="9"/>
  <c r="H218" i="9" s="1"/>
  <c r="Q217" i="8"/>
  <c r="D213" i="8"/>
  <c r="H213" i="8"/>
  <c r="I215" i="8"/>
  <c r="M217" i="8"/>
  <c r="S214" i="8"/>
  <c r="P214" i="8" s="1"/>
  <c r="E215" i="8"/>
  <c r="T213" i="8"/>
  <c r="L213" i="8"/>
  <c r="T212" i="7"/>
  <c r="P212" i="7"/>
  <c r="L212" i="7"/>
  <c r="I214" i="7"/>
  <c r="S213" i="7"/>
  <c r="H212" i="7"/>
  <c r="M216" i="7"/>
  <c r="D212" i="7"/>
  <c r="Q217" i="7"/>
  <c r="E214" i="7"/>
  <c r="Q216" i="5"/>
  <c r="E214" i="5"/>
  <c r="W214" i="5" s="1"/>
  <c r="X214" i="5" s="1"/>
  <c r="D213" i="5"/>
  <c r="M215" i="5"/>
  <c r="I215" i="5"/>
  <c r="AF213" i="4"/>
  <c r="H213" i="4"/>
  <c r="L213" i="4"/>
  <c r="X213" i="4"/>
  <c r="T213" i="4"/>
  <c r="AB213" i="4"/>
  <c r="D213" i="4"/>
  <c r="I215" i="4"/>
  <c r="Y215" i="4"/>
  <c r="AE214" i="4"/>
  <c r="U217" i="4"/>
  <c r="AE215" i="4"/>
  <c r="D215" i="4" s="1"/>
  <c r="Q216" i="4"/>
  <c r="E216" i="4"/>
  <c r="M216" i="4"/>
  <c r="AC216" i="4"/>
  <c r="X208" i="2"/>
  <c r="D202" i="1"/>
  <c r="P202" i="1"/>
  <c r="L202" i="1"/>
  <c r="I204" i="1"/>
  <c r="S203" i="1"/>
  <c r="H203" i="1" s="1"/>
  <c r="E208" i="1"/>
  <c r="D218" i="9" l="1"/>
  <c r="L218" i="9"/>
  <c r="E220" i="9"/>
  <c r="I220" i="9"/>
  <c r="S219" i="9"/>
  <c r="H219" i="9" s="1"/>
  <c r="Q221" i="9"/>
  <c r="T218" i="9"/>
  <c r="P218" i="9"/>
  <c r="M220" i="9"/>
  <c r="D214" i="8"/>
  <c r="Q218" i="8"/>
  <c r="M218" i="8"/>
  <c r="T214" i="8"/>
  <c r="L214" i="8"/>
  <c r="I216" i="8"/>
  <c r="E216" i="8"/>
  <c r="S215" i="8"/>
  <c r="P215" i="8" s="1"/>
  <c r="H214" i="8"/>
  <c r="M217" i="7"/>
  <c r="T213" i="7"/>
  <c r="P213" i="7"/>
  <c r="L213" i="7"/>
  <c r="I215" i="7"/>
  <c r="S214" i="7"/>
  <c r="D214" i="7" s="1"/>
  <c r="H213" i="7"/>
  <c r="D213" i="7"/>
  <c r="E215" i="7"/>
  <c r="Q218" i="7"/>
  <c r="Q217" i="5"/>
  <c r="I216" i="5"/>
  <c r="T212" i="5"/>
  <c r="P212" i="5"/>
  <c r="L212" i="5"/>
  <c r="H212" i="5"/>
  <c r="D212" i="5"/>
  <c r="M216" i="5"/>
  <c r="T213" i="5"/>
  <c r="P213" i="5"/>
  <c r="H213" i="5"/>
  <c r="L213" i="5"/>
  <c r="E215" i="5"/>
  <c r="W215" i="5" s="1"/>
  <c r="X215" i="5" s="1"/>
  <c r="P215" i="4"/>
  <c r="E217" i="4"/>
  <c r="Q217" i="4"/>
  <c r="AF215" i="4"/>
  <c r="T215" i="4"/>
  <c r="U218" i="4"/>
  <c r="AF214" i="4"/>
  <c r="T214" i="4"/>
  <c r="D214" i="4"/>
  <c r="L214" i="4"/>
  <c r="P214" i="4"/>
  <c r="AB214" i="4"/>
  <c r="AC217" i="4"/>
  <c r="Y216" i="4"/>
  <c r="X215" i="4"/>
  <c r="AB215" i="4"/>
  <c r="X214" i="4"/>
  <c r="L215" i="4"/>
  <c r="I216" i="4"/>
  <c r="H215" i="4"/>
  <c r="M217" i="4"/>
  <c r="H214" i="4"/>
  <c r="X209" i="2"/>
  <c r="D203" i="1"/>
  <c r="L203" i="1"/>
  <c r="P203" i="1"/>
  <c r="I205" i="1"/>
  <c r="S204" i="1"/>
  <c r="H204" i="1" s="1"/>
  <c r="E209" i="1"/>
  <c r="L219" i="9" l="1"/>
  <c r="M221" i="9"/>
  <c r="Q222" i="9"/>
  <c r="I221" i="9"/>
  <c r="S220" i="9"/>
  <c r="T219" i="9"/>
  <c r="P219" i="9"/>
  <c r="D220" i="9"/>
  <c r="E221" i="9"/>
  <c r="S221" i="9" s="1"/>
  <c r="D219" i="9"/>
  <c r="Q219" i="8"/>
  <c r="S216" i="8"/>
  <c r="P216" i="8" s="1"/>
  <c r="T215" i="8"/>
  <c r="L215" i="8"/>
  <c r="E217" i="8"/>
  <c r="H215" i="8"/>
  <c r="M219" i="8"/>
  <c r="D215" i="8"/>
  <c r="I217" i="8"/>
  <c r="T214" i="7"/>
  <c r="P214" i="7"/>
  <c r="L214" i="7"/>
  <c r="H214" i="7"/>
  <c r="I216" i="7"/>
  <c r="S215" i="7"/>
  <c r="Q219" i="7"/>
  <c r="M218" i="7"/>
  <c r="E216" i="7"/>
  <c r="Q218" i="5"/>
  <c r="E216" i="5"/>
  <c r="W216" i="5" s="1"/>
  <c r="X216" i="5" s="1"/>
  <c r="I217" i="5"/>
  <c r="M217" i="5"/>
  <c r="U219" i="4"/>
  <c r="Y217" i="4"/>
  <c r="I217" i="4"/>
  <c r="AC218" i="4"/>
  <c r="Q218" i="4"/>
  <c r="AE216" i="4"/>
  <c r="H216" i="4" s="1"/>
  <c r="M218" i="4"/>
  <c r="E218" i="4"/>
  <c r="X210" i="2"/>
  <c r="L204" i="1"/>
  <c r="P204" i="1"/>
  <c r="D204" i="1"/>
  <c r="I206" i="1"/>
  <c r="S205" i="1"/>
  <c r="H205" i="1" s="1"/>
  <c r="E210" i="1"/>
  <c r="T221" i="9" l="1"/>
  <c r="P221" i="9"/>
  <c r="H221" i="9"/>
  <c r="I222" i="9"/>
  <c r="T220" i="9"/>
  <c r="P220" i="9"/>
  <c r="Q223" i="9"/>
  <c r="M222" i="9"/>
  <c r="L221" i="9"/>
  <c r="E222" i="9"/>
  <c r="S222" i="9" s="1"/>
  <c r="D221" i="9"/>
  <c r="H220" i="9"/>
  <c r="L220" i="9"/>
  <c r="Q220" i="8"/>
  <c r="D216" i="8"/>
  <c r="H216" i="8"/>
  <c r="M220" i="8"/>
  <c r="E218" i="8"/>
  <c r="T216" i="8"/>
  <c r="L216" i="8"/>
  <c r="I218" i="8"/>
  <c r="S217" i="8"/>
  <c r="M219" i="7"/>
  <c r="Q220" i="7"/>
  <c r="T215" i="7"/>
  <c r="P215" i="7"/>
  <c r="L215" i="7"/>
  <c r="I217" i="7"/>
  <c r="S216" i="7"/>
  <c r="H215" i="7"/>
  <c r="D215" i="7"/>
  <c r="E217" i="7"/>
  <c r="I218" i="5"/>
  <c r="M218" i="5"/>
  <c r="T214" i="5"/>
  <c r="P214" i="5"/>
  <c r="L214" i="5"/>
  <c r="H214" i="5"/>
  <c r="D214" i="5"/>
  <c r="E217" i="5"/>
  <c r="W217" i="5" s="1"/>
  <c r="X217" i="5" s="1"/>
  <c r="Q219" i="5"/>
  <c r="D216" i="5"/>
  <c r="AE217" i="4"/>
  <c r="P217" i="4" s="1"/>
  <c r="Q219" i="4"/>
  <c r="AF216" i="4"/>
  <c r="T216" i="4"/>
  <c r="D216" i="4"/>
  <c r="L216" i="4"/>
  <c r="P216" i="4"/>
  <c r="AB216" i="4"/>
  <c r="AC219" i="4"/>
  <c r="I218" i="4"/>
  <c r="E219" i="4"/>
  <c r="X216" i="4"/>
  <c r="Y218" i="4"/>
  <c r="M219" i="4"/>
  <c r="U220" i="4"/>
  <c r="X211" i="2"/>
  <c r="D205" i="1"/>
  <c r="L205" i="1"/>
  <c r="P205" i="1"/>
  <c r="I207" i="1"/>
  <c r="S206" i="1"/>
  <c r="H206" i="1" s="1"/>
  <c r="E211" i="1"/>
  <c r="T222" i="9" l="1"/>
  <c r="P222" i="9"/>
  <c r="H222" i="9"/>
  <c r="I223" i="9"/>
  <c r="E223" i="9"/>
  <c r="D222" i="9"/>
  <c r="L222" i="9"/>
  <c r="M223" i="9"/>
  <c r="S223" i="9"/>
  <c r="T223" i="9" s="1"/>
  <c r="Q224" i="9"/>
  <c r="H217" i="8"/>
  <c r="P217" i="8"/>
  <c r="Q221" i="8"/>
  <c r="S218" i="8"/>
  <c r="P218" i="8" s="1"/>
  <c r="D217" i="8"/>
  <c r="E219" i="8"/>
  <c r="I219" i="8"/>
  <c r="T217" i="8"/>
  <c r="L217" i="8"/>
  <c r="M221" i="8"/>
  <c r="T216" i="7"/>
  <c r="P216" i="7"/>
  <c r="L216" i="7"/>
  <c r="I218" i="7"/>
  <c r="S217" i="7"/>
  <c r="D217" i="7" s="1"/>
  <c r="H216" i="7"/>
  <c r="Q221" i="7"/>
  <c r="E218" i="7"/>
  <c r="D216" i="7"/>
  <c r="M220" i="7"/>
  <c r="E218" i="5"/>
  <c r="W218" i="5" s="1"/>
  <c r="X218" i="5" s="1"/>
  <c r="I219" i="5"/>
  <c r="M219" i="5"/>
  <c r="Q220" i="5"/>
  <c r="T216" i="5"/>
  <c r="P216" i="5"/>
  <c r="H216" i="5"/>
  <c r="L216" i="5"/>
  <c r="T215" i="5"/>
  <c r="P215" i="5"/>
  <c r="L215" i="5"/>
  <c r="H215" i="5"/>
  <c r="D215" i="5"/>
  <c r="H217" i="4"/>
  <c r="L217" i="4"/>
  <c r="AB217" i="4"/>
  <c r="X217" i="4"/>
  <c r="D217" i="4"/>
  <c r="T217" i="4"/>
  <c r="AF217" i="4"/>
  <c r="Y219" i="4"/>
  <c r="E220" i="4"/>
  <c r="I219" i="4"/>
  <c r="Q220" i="4"/>
  <c r="AE218" i="4"/>
  <c r="U221" i="4"/>
  <c r="AC220" i="4"/>
  <c r="M220" i="4"/>
  <c r="X212" i="2"/>
  <c r="D206" i="1"/>
  <c r="L206" i="1"/>
  <c r="P206" i="1"/>
  <c r="I208" i="1"/>
  <c r="S207" i="1"/>
  <c r="H207" i="1" s="1"/>
  <c r="E212" i="1"/>
  <c r="Q225" i="9" l="1"/>
  <c r="I224" i="9"/>
  <c r="H223" i="9"/>
  <c r="M224" i="9"/>
  <c r="L223" i="9"/>
  <c r="E224" i="9"/>
  <c r="D223" i="9"/>
  <c r="P223" i="9"/>
  <c r="Q222" i="8"/>
  <c r="H218" i="8"/>
  <c r="D218" i="8"/>
  <c r="M222" i="8"/>
  <c r="E220" i="8"/>
  <c r="S219" i="8"/>
  <c r="P219" i="8" s="1"/>
  <c r="I220" i="8"/>
  <c r="T218" i="8"/>
  <c r="L218" i="8"/>
  <c r="E219" i="7"/>
  <c r="Q222" i="7"/>
  <c r="T217" i="7"/>
  <c r="P217" i="7"/>
  <c r="L217" i="7"/>
  <c r="I219" i="7"/>
  <c r="S218" i="7"/>
  <c r="H217" i="7"/>
  <c r="M221" i="7"/>
  <c r="Q221" i="5"/>
  <c r="M220" i="5"/>
  <c r="I220" i="5"/>
  <c r="E219" i="5"/>
  <c r="W219" i="5" s="1"/>
  <c r="X219" i="5" s="1"/>
  <c r="AE219" i="4"/>
  <c r="AF219" i="4" s="1"/>
  <c r="AF218" i="4"/>
  <c r="T218" i="4"/>
  <c r="AB218" i="4"/>
  <c r="P218" i="4"/>
  <c r="D218" i="4"/>
  <c r="L218" i="4"/>
  <c r="U222" i="4"/>
  <c r="Q221" i="4"/>
  <c r="H218" i="4"/>
  <c r="I220" i="4"/>
  <c r="H219" i="4"/>
  <c r="M221" i="4"/>
  <c r="E221" i="4"/>
  <c r="X218" i="4"/>
  <c r="AC221" i="4"/>
  <c r="Y220" i="4"/>
  <c r="X213" i="2"/>
  <c r="D207" i="1"/>
  <c r="L207" i="1"/>
  <c r="P207" i="1"/>
  <c r="I209" i="1"/>
  <c r="S208" i="1"/>
  <c r="H208" i="1"/>
  <c r="E213" i="1"/>
  <c r="I225" i="9" l="1"/>
  <c r="M225" i="9"/>
  <c r="Q226" i="9"/>
  <c r="E225" i="9"/>
  <c r="S224" i="9"/>
  <c r="D224" i="9" s="1"/>
  <c r="H219" i="8"/>
  <c r="Q223" i="8"/>
  <c r="T219" i="8"/>
  <c r="L219" i="8"/>
  <c r="D219" i="8"/>
  <c r="I221" i="8"/>
  <c r="S220" i="8"/>
  <c r="P220" i="8" s="1"/>
  <c r="E221" i="8"/>
  <c r="M223" i="8"/>
  <c r="T218" i="7"/>
  <c r="P218" i="7"/>
  <c r="L218" i="7"/>
  <c r="M222" i="7"/>
  <c r="I220" i="7"/>
  <c r="S219" i="7"/>
  <c r="H218" i="7"/>
  <c r="Q223" i="7"/>
  <c r="E220" i="7"/>
  <c r="D218" i="7"/>
  <c r="E220" i="5"/>
  <c r="W220" i="5" s="1"/>
  <c r="X220" i="5" s="1"/>
  <c r="M221" i="5"/>
  <c r="T217" i="5"/>
  <c r="P217" i="5"/>
  <c r="H217" i="5"/>
  <c r="L217" i="5"/>
  <c r="D217" i="5"/>
  <c r="I221" i="5"/>
  <c r="Q222" i="5"/>
  <c r="X219" i="4"/>
  <c r="P219" i="4"/>
  <c r="AB219" i="4"/>
  <c r="D219" i="4"/>
  <c r="L219" i="4"/>
  <c r="T219" i="4"/>
  <c r="U223" i="4"/>
  <c r="E222" i="4"/>
  <c r="M222" i="4"/>
  <c r="Q222" i="4"/>
  <c r="Y221" i="4"/>
  <c r="I221" i="4"/>
  <c r="AC222" i="4"/>
  <c r="AE220" i="4"/>
  <c r="X220" i="4" s="1"/>
  <c r="X214" i="2"/>
  <c r="D208" i="1"/>
  <c r="P208" i="1"/>
  <c r="L208" i="1"/>
  <c r="I210" i="1"/>
  <c r="S209" i="1"/>
  <c r="H209" i="1" s="1"/>
  <c r="E214" i="1"/>
  <c r="Q227" i="9" l="1"/>
  <c r="E226" i="9"/>
  <c r="M226" i="9"/>
  <c r="T224" i="9"/>
  <c r="P224" i="9"/>
  <c r="L224" i="9"/>
  <c r="H224" i="9"/>
  <c r="S225" i="9"/>
  <c r="I226" i="9"/>
  <c r="D220" i="8"/>
  <c r="Q224" i="8"/>
  <c r="S221" i="8"/>
  <c r="P221" i="8" s="1"/>
  <c r="I222" i="8"/>
  <c r="M224" i="8"/>
  <c r="E222" i="8"/>
  <c r="T220" i="8"/>
  <c r="L220" i="8"/>
  <c r="H220" i="8"/>
  <c r="Q224" i="7"/>
  <c r="T219" i="7"/>
  <c r="P219" i="7"/>
  <c r="L219" i="7"/>
  <c r="I221" i="7"/>
  <c r="S220" i="7"/>
  <c r="H219" i="7"/>
  <c r="M223" i="7"/>
  <c r="E221" i="7"/>
  <c r="D219" i="7"/>
  <c r="T219" i="5"/>
  <c r="P219" i="5"/>
  <c r="H219" i="5"/>
  <c r="L219" i="5"/>
  <c r="D219" i="5"/>
  <c r="Q223" i="5"/>
  <c r="I222" i="5"/>
  <c r="T218" i="5"/>
  <c r="P218" i="5"/>
  <c r="H218" i="5"/>
  <c r="L218" i="5"/>
  <c r="D218" i="5"/>
  <c r="M222" i="5"/>
  <c r="E221" i="5"/>
  <c r="W221" i="5" s="1"/>
  <c r="X221" i="5" s="1"/>
  <c r="Y222" i="4"/>
  <c r="I222" i="4"/>
  <c r="AE221" i="4"/>
  <c r="Q223" i="4"/>
  <c r="M223" i="4"/>
  <c r="AF220" i="4"/>
  <c r="T220" i="4"/>
  <c r="P220" i="4"/>
  <c r="AB220" i="4"/>
  <c r="L220" i="4"/>
  <c r="D220" i="4"/>
  <c r="E223" i="4"/>
  <c r="AC223" i="4"/>
  <c r="U224" i="4"/>
  <c r="H220" i="4"/>
  <c r="X215" i="2"/>
  <c r="D209" i="1"/>
  <c r="P209" i="1"/>
  <c r="L209" i="1"/>
  <c r="I211" i="1"/>
  <c r="S210" i="1"/>
  <c r="H210" i="1" s="1"/>
  <c r="E215" i="1"/>
  <c r="T225" i="9" l="1"/>
  <c r="P225" i="9"/>
  <c r="E227" i="9"/>
  <c r="L225" i="9"/>
  <c r="I227" i="9"/>
  <c r="S226" i="9"/>
  <c r="H226" i="9" s="1"/>
  <c r="M227" i="9"/>
  <c r="D225" i="9"/>
  <c r="H225" i="9"/>
  <c r="Q228" i="9"/>
  <c r="Q225" i="8"/>
  <c r="D221" i="8"/>
  <c r="H221" i="8"/>
  <c r="E223" i="8"/>
  <c r="S222" i="8"/>
  <c r="P222" i="8" s="1"/>
  <c r="M225" i="8"/>
  <c r="I223" i="8"/>
  <c r="T221" i="8"/>
  <c r="L221" i="8"/>
  <c r="M224" i="7"/>
  <c r="T220" i="7"/>
  <c r="P220" i="7"/>
  <c r="L220" i="7"/>
  <c r="H220" i="7"/>
  <c r="I222" i="7"/>
  <c r="S221" i="7"/>
  <c r="D221" i="7" s="1"/>
  <c r="E222" i="7"/>
  <c r="D220" i="7"/>
  <c r="Q225" i="7"/>
  <c r="I223" i="5"/>
  <c r="E222" i="5"/>
  <c r="W222" i="5" s="1"/>
  <c r="X222" i="5" s="1"/>
  <c r="M223" i="5"/>
  <c r="D221" i="5"/>
  <c r="Q224" i="5"/>
  <c r="AE222" i="4"/>
  <c r="D222" i="4" s="1"/>
  <c r="Q224" i="4"/>
  <c r="M224" i="4"/>
  <c r="U225" i="4"/>
  <c r="AC224" i="4"/>
  <c r="E224" i="4"/>
  <c r="AF221" i="4"/>
  <c r="T221" i="4"/>
  <c r="AB221" i="4"/>
  <c r="D221" i="4"/>
  <c r="L221" i="4"/>
  <c r="P221" i="4"/>
  <c r="H221" i="4"/>
  <c r="I223" i="4"/>
  <c r="Y223" i="4"/>
  <c r="X221" i="4"/>
  <c r="X216" i="2"/>
  <c r="D210" i="1"/>
  <c r="L210" i="1"/>
  <c r="P210" i="1"/>
  <c r="I212" i="1"/>
  <c r="S211" i="1"/>
  <c r="H211" i="1" s="1"/>
  <c r="E216" i="1"/>
  <c r="L226" i="9" l="1"/>
  <c r="T226" i="9"/>
  <c r="P226" i="9"/>
  <c r="E228" i="9"/>
  <c r="D226" i="9"/>
  <c r="H227" i="9"/>
  <c r="I228" i="9"/>
  <c r="M228" i="9"/>
  <c r="L227" i="9"/>
  <c r="Q229" i="9"/>
  <c r="S228" i="9"/>
  <c r="T228" i="9" s="1"/>
  <c r="S227" i="9"/>
  <c r="D227" i="9" s="1"/>
  <c r="H222" i="8"/>
  <c r="Q226" i="8"/>
  <c r="I224" i="8"/>
  <c r="M226" i="8"/>
  <c r="T222" i="8"/>
  <c r="L222" i="8"/>
  <c r="E224" i="8"/>
  <c r="S223" i="8"/>
  <c r="P223" i="8" s="1"/>
  <c r="D222" i="8"/>
  <c r="E223" i="7"/>
  <c r="T221" i="7"/>
  <c r="P221" i="7"/>
  <c r="L221" i="7"/>
  <c r="I223" i="7"/>
  <c r="S222" i="7"/>
  <c r="H222" i="7" s="1"/>
  <c r="H221" i="7"/>
  <c r="Q226" i="7"/>
  <c r="M225" i="7"/>
  <c r="T220" i="5"/>
  <c r="P220" i="5"/>
  <c r="L220" i="5"/>
  <c r="H220" i="5"/>
  <c r="D220" i="5"/>
  <c r="Q225" i="5"/>
  <c r="E223" i="5"/>
  <c r="W223" i="5" s="1"/>
  <c r="X223" i="5" s="1"/>
  <c r="I224" i="5"/>
  <c r="T221" i="5"/>
  <c r="P221" i="5"/>
  <c r="L221" i="5"/>
  <c r="H221" i="5"/>
  <c r="M224" i="5"/>
  <c r="AF222" i="4"/>
  <c r="X222" i="4"/>
  <c r="T222" i="4"/>
  <c r="H222" i="4"/>
  <c r="L222" i="4"/>
  <c r="P222" i="4"/>
  <c r="AB222" i="4"/>
  <c r="I224" i="4"/>
  <c r="AC225" i="4"/>
  <c r="Y224" i="4"/>
  <c r="E225" i="4"/>
  <c r="U226" i="4"/>
  <c r="M225" i="4"/>
  <c r="AE223" i="4"/>
  <c r="H223" i="4" s="1"/>
  <c r="Q225" i="4"/>
  <c r="X217" i="2"/>
  <c r="D211" i="1"/>
  <c r="P211" i="1"/>
  <c r="L211" i="1"/>
  <c r="I213" i="1"/>
  <c r="S212" i="1"/>
  <c r="H212" i="1"/>
  <c r="E217" i="1"/>
  <c r="H228" i="9" l="1"/>
  <c r="I229" i="9"/>
  <c r="P228" i="9"/>
  <c r="D228" i="9"/>
  <c r="E229" i="9"/>
  <c r="Q230" i="9"/>
  <c r="L228" i="9"/>
  <c r="M229" i="9"/>
  <c r="T227" i="9"/>
  <c r="P227" i="9"/>
  <c r="Q227" i="8"/>
  <c r="T223" i="8"/>
  <c r="L223" i="8"/>
  <c r="D223" i="8"/>
  <c r="H223" i="8"/>
  <c r="S224" i="8"/>
  <c r="P224" i="8" s="1"/>
  <c r="E225" i="8"/>
  <c r="M227" i="8"/>
  <c r="I225" i="8"/>
  <c r="Q227" i="7"/>
  <c r="T222" i="7"/>
  <c r="P222" i="7"/>
  <c r="L222" i="7"/>
  <c r="I224" i="7"/>
  <c r="S223" i="7"/>
  <c r="D223" i="7" s="1"/>
  <c r="E224" i="7"/>
  <c r="M226" i="7"/>
  <c r="D222" i="7"/>
  <c r="E224" i="5"/>
  <c r="W224" i="5" s="1"/>
  <c r="X224" i="5" s="1"/>
  <c r="I225" i="5"/>
  <c r="Q226" i="5"/>
  <c r="M225" i="5"/>
  <c r="X223" i="4"/>
  <c r="U227" i="4"/>
  <c r="E226" i="4"/>
  <c r="Q226" i="4"/>
  <c r="M226" i="4"/>
  <c r="Y225" i="4"/>
  <c r="AE224" i="4"/>
  <c r="AC226" i="4"/>
  <c r="AF223" i="4"/>
  <c r="T223" i="4"/>
  <c r="P223" i="4"/>
  <c r="L223" i="4"/>
  <c r="AB223" i="4"/>
  <c r="D223" i="4"/>
  <c r="I225" i="4"/>
  <c r="X218" i="2"/>
  <c r="D212" i="1"/>
  <c r="L212" i="1"/>
  <c r="P212" i="1"/>
  <c r="I214" i="1"/>
  <c r="S213" i="1"/>
  <c r="H213" i="1" s="1"/>
  <c r="E218" i="1"/>
  <c r="M230" i="9" l="1"/>
  <c r="E230" i="9"/>
  <c r="S229" i="9"/>
  <c r="Q231" i="9"/>
  <c r="I230" i="9"/>
  <c r="H229" i="9"/>
  <c r="D224" i="8"/>
  <c r="Q228" i="8"/>
  <c r="S225" i="8"/>
  <c r="M228" i="8"/>
  <c r="E226" i="8"/>
  <c r="T224" i="8"/>
  <c r="L224" i="8"/>
  <c r="H224" i="8"/>
  <c r="I226" i="8"/>
  <c r="M227" i="7"/>
  <c r="E225" i="7"/>
  <c r="T223" i="7"/>
  <c r="P223" i="7"/>
  <c r="L223" i="7"/>
  <c r="I225" i="7"/>
  <c r="S224" i="7"/>
  <c r="H223" i="7"/>
  <c r="Q228" i="7"/>
  <c r="Q227" i="5"/>
  <c r="I226" i="5"/>
  <c r="T222" i="5"/>
  <c r="P222" i="5"/>
  <c r="H222" i="5"/>
  <c r="L222" i="5"/>
  <c r="D222" i="5"/>
  <c r="E225" i="5"/>
  <c r="W225" i="5" s="1"/>
  <c r="X225" i="5" s="1"/>
  <c r="M226" i="5"/>
  <c r="AE225" i="4"/>
  <c r="AF225" i="4" s="1"/>
  <c r="AF224" i="4"/>
  <c r="T224" i="4"/>
  <c r="P224" i="4"/>
  <c r="AB224" i="4"/>
  <c r="D224" i="4"/>
  <c r="L224" i="4"/>
  <c r="X224" i="4"/>
  <c r="Y226" i="4"/>
  <c r="I226" i="4"/>
  <c r="Q227" i="4"/>
  <c r="H224" i="4"/>
  <c r="M227" i="4"/>
  <c r="E227" i="4"/>
  <c r="U228" i="4"/>
  <c r="AC227" i="4"/>
  <c r="X219" i="2"/>
  <c r="D213" i="1"/>
  <c r="L213" i="1"/>
  <c r="P213" i="1"/>
  <c r="I215" i="1"/>
  <c r="S214" i="1"/>
  <c r="H214" i="1" s="1"/>
  <c r="E219" i="1"/>
  <c r="I231" i="9" l="1"/>
  <c r="S230" i="9"/>
  <c r="T229" i="9"/>
  <c r="P229" i="9"/>
  <c r="D230" i="9"/>
  <c r="E231" i="9"/>
  <c r="D229" i="9"/>
  <c r="L229" i="9"/>
  <c r="Q232" i="9"/>
  <c r="M231" i="9"/>
  <c r="S231" i="9" s="1"/>
  <c r="T231" i="9" s="1"/>
  <c r="L230" i="9"/>
  <c r="D225" i="8"/>
  <c r="P225" i="8"/>
  <c r="Q229" i="8"/>
  <c r="H225" i="8"/>
  <c r="E227" i="8"/>
  <c r="T225" i="8"/>
  <c r="L225" i="8"/>
  <c r="M229" i="8"/>
  <c r="I227" i="8"/>
  <c r="S226" i="8"/>
  <c r="P226" i="8" s="1"/>
  <c r="T224" i="7"/>
  <c r="P224" i="7"/>
  <c r="L224" i="7"/>
  <c r="H224" i="7"/>
  <c r="I226" i="7"/>
  <c r="S225" i="7"/>
  <c r="D225" i="7" s="1"/>
  <c r="E226" i="7"/>
  <c r="D224" i="7"/>
  <c r="Q229" i="7"/>
  <c r="M228" i="7"/>
  <c r="T223" i="5"/>
  <c r="P223" i="5"/>
  <c r="L223" i="5"/>
  <c r="H223" i="5"/>
  <c r="D223" i="5"/>
  <c r="I227" i="5"/>
  <c r="M227" i="5"/>
  <c r="Q228" i="5"/>
  <c r="E226" i="5"/>
  <c r="W226" i="5" s="1"/>
  <c r="X226" i="5" s="1"/>
  <c r="AE226" i="4"/>
  <c r="AB226" i="4" s="1"/>
  <c r="L225" i="4"/>
  <c r="H225" i="4"/>
  <c r="P225" i="4"/>
  <c r="D225" i="4"/>
  <c r="X225" i="4"/>
  <c r="AB225" i="4"/>
  <c r="T225" i="4"/>
  <c r="E228" i="4"/>
  <c r="Q228" i="4"/>
  <c r="M228" i="4"/>
  <c r="AC228" i="4"/>
  <c r="I227" i="4"/>
  <c r="U229" i="4"/>
  <c r="Y227" i="4"/>
  <c r="X220" i="2"/>
  <c r="D214" i="1"/>
  <c r="P214" i="1"/>
  <c r="L214" i="1"/>
  <c r="I216" i="1"/>
  <c r="S215" i="1"/>
  <c r="H215" i="1" s="1"/>
  <c r="E220" i="1"/>
  <c r="D231" i="9" l="1"/>
  <c r="E232" i="9"/>
  <c r="P231" i="9"/>
  <c r="T230" i="9"/>
  <c r="P230" i="9"/>
  <c r="Q233" i="9"/>
  <c r="I232" i="9"/>
  <c r="H231" i="9"/>
  <c r="L231" i="9"/>
  <c r="M232" i="9"/>
  <c r="H230" i="9"/>
  <c r="Q230" i="8"/>
  <c r="I228" i="8"/>
  <c r="M230" i="8"/>
  <c r="T226" i="8"/>
  <c r="L226" i="8"/>
  <c r="S227" i="8"/>
  <c r="P227" i="8" s="1"/>
  <c r="D226" i="8"/>
  <c r="H226" i="8"/>
  <c r="E228" i="8"/>
  <c r="Q230" i="7"/>
  <c r="E227" i="7"/>
  <c r="T225" i="7"/>
  <c r="P225" i="7"/>
  <c r="L225" i="7"/>
  <c r="H225" i="7"/>
  <c r="I227" i="7"/>
  <c r="S226" i="7"/>
  <c r="H226" i="7" s="1"/>
  <c r="M229" i="7"/>
  <c r="Q229" i="5"/>
  <c r="M228" i="5"/>
  <c r="T224" i="5"/>
  <c r="P224" i="5"/>
  <c r="L224" i="5"/>
  <c r="H224" i="5"/>
  <c r="D224" i="5"/>
  <c r="I228" i="5"/>
  <c r="T225" i="5"/>
  <c r="P225" i="5"/>
  <c r="L225" i="5"/>
  <c r="H225" i="5"/>
  <c r="D225" i="5"/>
  <c r="E227" i="5"/>
  <c r="W227" i="5" s="1"/>
  <c r="X227" i="5" s="1"/>
  <c r="X226" i="4"/>
  <c r="AF226" i="4"/>
  <c r="D226" i="4"/>
  <c r="L226" i="4"/>
  <c r="H226" i="4"/>
  <c r="P226" i="4"/>
  <c r="T226" i="4"/>
  <c r="AE227" i="4"/>
  <c r="AF227" i="4" s="1"/>
  <c r="AC229" i="4"/>
  <c r="M229" i="4"/>
  <c r="Y228" i="4"/>
  <c r="U230" i="4"/>
  <c r="Q229" i="4"/>
  <c r="I228" i="4"/>
  <c r="E229" i="4"/>
  <c r="X221" i="2"/>
  <c r="P215" i="1"/>
  <c r="L215" i="1"/>
  <c r="D215" i="1"/>
  <c r="I217" i="1"/>
  <c r="S216" i="1"/>
  <c r="H216" i="1" s="1"/>
  <c r="E221" i="1"/>
  <c r="Q234" i="9" l="1"/>
  <c r="M233" i="9"/>
  <c r="S232" i="9"/>
  <c r="I233" i="9"/>
  <c r="H232" i="9"/>
  <c r="D232" i="9"/>
  <c r="E233" i="9"/>
  <c r="Q231" i="8"/>
  <c r="E229" i="8"/>
  <c r="T227" i="8"/>
  <c r="L227" i="8"/>
  <c r="M231" i="8"/>
  <c r="I229" i="8"/>
  <c r="S228" i="8"/>
  <c r="P228" i="8" s="1"/>
  <c r="D227" i="8"/>
  <c r="H227" i="8"/>
  <c r="T226" i="7"/>
  <c r="P226" i="7"/>
  <c r="L226" i="7"/>
  <c r="I228" i="7"/>
  <c r="S227" i="7"/>
  <c r="D227" i="7" s="1"/>
  <c r="E228" i="7"/>
  <c r="D226" i="7"/>
  <c r="Q231" i="7"/>
  <c r="M230" i="7"/>
  <c r="E228" i="5"/>
  <c r="W228" i="5" s="1"/>
  <c r="X228" i="5" s="1"/>
  <c r="I229" i="5"/>
  <c r="T226" i="5"/>
  <c r="P226" i="5"/>
  <c r="H226" i="5"/>
  <c r="L226" i="5"/>
  <c r="D226" i="5"/>
  <c r="M229" i="5"/>
  <c r="Q230" i="5"/>
  <c r="X227" i="4"/>
  <c r="P227" i="4"/>
  <c r="L227" i="4"/>
  <c r="AB227" i="4"/>
  <c r="D227" i="4"/>
  <c r="H227" i="4"/>
  <c r="T227" i="4"/>
  <c r="Y229" i="4"/>
  <c r="M230" i="4"/>
  <c r="E230" i="4"/>
  <c r="AC230" i="4"/>
  <c r="I229" i="4"/>
  <c r="AE228" i="4"/>
  <c r="Q230" i="4"/>
  <c r="U231" i="4"/>
  <c r="X222" i="2"/>
  <c r="D216" i="1"/>
  <c r="L216" i="1"/>
  <c r="P216" i="1"/>
  <c r="I218" i="1"/>
  <c r="S217" i="1"/>
  <c r="H217" i="1" s="1"/>
  <c r="E222" i="1"/>
  <c r="E234" i="9" l="1"/>
  <c r="I234" i="9"/>
  <c r="T232" i="9"/>
  <c r="P232" i="9"/>
  <c r="L232" i="9"/>
  <c r="M234" i="9"/>
  <c r="S233" i="9"/>
  <c r="Q235" i="9"/>
  <c r="Q232" i="8"/>
  <c r="M232" i="8"/>
  <c r="S229" i="8"/>
  <c r="D229" i="8" s="1"/>
  <c r="T228" i="8"/>
  <c r="L228" i="8"/>
  <c r="I230" i="8"/>
  <c r="H228" i="8"/>
  <c r="E230" i="8"/>
  <c r="D228" i="8"/>
  <c r="M231" i="7"/>
  <c r="Q232" i="7"/>
  <c r="E229" i="7"/>
  <c r="T227" i="7"/>
  <c r="P227" i="7"/>
  <c r="L227" i="7"/>
  <c r="H227" i="7"/>
  <c r="I229" i="7"/>
  <c r="S228" i="7"/>
  <c r="D228" i="7" s="1"/>
  <c r="T227" i="5"/>
  <c r="P227" i="5"/>
  <c r="L227" i="5"/>
  <c r="H227" i="5"/>
  <c r="D227" i="5"/>
  <c r="M230" i="5"/>
  <c r="I230" i="5"/>
  <c r="Q231" i="5"/>
  <c r="E229" i="5"/>
  <c r="W229" i="5" s="1"/>
  <c r="X229" i="5" s="1"/>
  <c r="I230" i="4"/>
  <c r="Q231" i="4"/>
  <c r="E231" i="4"/>
  <c r="AF228" i="4"/>
  <c r="T228" i="4"/>
  <c r="P228" i="4"/>
  <c r="AB228" i="4"/>
  <c r="D228" i="4"/>
  <c r="L228" i="4"/>
  <c r="H228" i="4"/>
  <c r="AC231" i="4"/>
  <c r="U232" i="4"/>
  <c r="M231" i="4"/>
  <c r="AE229" i="4"/>
  <c r="X229" i="4" s="1"/>
  <c r="X228" i="4"/>
  <c r="Y230" i="4"/>
  <c r="X223" i="2"/>
  <c r="D217" i="1"/>
  <c r="L217" i="1"/>
  <c r="P217" i="1"/>
  <c r="I219" i="1"/>
  <c r="S218" i="1"/>
  <c r="H218" i="1" s="1"/>
  <c r="E223" i="1"/>
  <c r="T233" i="9" l="1"/>
  <c r="P233" i="9"/>
  <c r="I235" i="9"/>
  <c r="Q236" i="9"/>
  <c r="H233" i="9"/>
  <c r="M235" i="9"/>
  <c r="E235" i="9"/>
  <c r="S235" i="9" s="1"/>
  <c r="L233" i="9"/>
  <c r="S234" i="9"/>
  <c r="H234" i="9" s="1"/>
  <c r="D233" i="9"/>
  <c r="H229" i="8"/>
  <c r="P229" i="8"/>
  <c r="Q233" i="8"/>
  <c r="E231" i="8"/>
  <c r="I231" i="8"/>
  <c r="T229" i="8"/>
  <c r="L229" i="8"/>
  <c r="S230" i="8"/>
  <c r="M233" i="8"/>
  <c r="I230" i="7"/>
  <c r="S229" i="7"/>
  <c r="D229" i="7" s="1"/>
  <c r="E230" i="7"/>
  <c r="Q233" i="7"/>
  <c r="T228" i="7"/>
  <c r="P228" i="7"/>
  <c r="L228" i="7"/>
  <c r="M232" i="7"/>
  <c r="H228" i="7"/>
  <c r="I231" i="5"/>
  <c r="E230" i="5"/>
  <c r="W230" i="5" s="1"/>
  <c r="X230" i="5" s="1"/>
  <c r="M231" i="5"/>
  <c r="Q232" i="5"/>
  <c r="Y231" i="4"/>
  <c r="M232" i="4"/>
  <c r="AF229" i="4"/>
  <c r="T229" i="4"/>
  <c r="P229" i="4"/>
  <c r="L229" i="4"/>
  <c r="D229" i="4"/>
  <c r="AB229" i="4"/>
  <c r="U233" i="4"/>
  <c r="E232" i="4"/>
  <c r="AE230" i="4"/>
  <c r="H230" i="4" s="1"/>
  <c r="AC232" i="4"/>
  <c r="Q232" i="4"/>
  <c r="H229" i="4"/>
  <c r="I231" i="4"/>
  <c r="X224" i="2"/>
  <c r="D218" i="1"/>
  <c r="L218" i="1"/>
  <c r="P218" i="1"/>
  <c r="I220" i="1"/>
  <c r="S219" i="1"/>
  <c r="H219" i="1" s="1"/>
  <c r="E224" i="1"/>
  <c r="D234" i="9" l="1"/>
  <c r="L234" i="9"/>
  <c r="T235" i="9"/>
  <c r="P235" i="9"/>
  <c r="M236" i="9"/>
  <c r="L235" i="9"/>
  <c r="Q237" i="9"/>
  <c r="I236" i="9"/>
  <c r="H235" i="9"/>
  <c r="E236" i="9"/>
  <c r="S236" i="9" s="1"/>
  <c r="D235" i="9"/>
  <c r="T234" i="9"/>
  <c r="P234" i="9"/>
  <c r="H230" i="8"/>
  <c r="P230" i="8"/>
  <c r="Q234" i="8"/>
  <c r="S231" i="8"/>
  <c r="T230" i="8"/>
  <c r="L230" i="8"/>
  <c r="I232" i="8"/>
  <c r="D230" i="8"/>
  <c r="M234" i="8"/>
  <c r="E232" i="8"/>
  <c r="Q234" i="7"/>
  <c r="E231" i="7"/>
  <c r="T229" i="7"/>
  <c r="P229" i="7"/>
  <c r="L229" i="7"/>
  <c r="I231" i="7"/>
  <c r="S230" i="7"/>
  <c r="M233" i="7"/>
  <c r="H229" i="7"/>
  <c r="T228" i="5"/>
  <c r="P228" i="5"/>
  <c r="H228" i="5"/>
  <c r="L228" i="5"/>
  <c r="D228" i="5"/>
  <c r="I232" i="5"/>
  <c r="Q233" i="5"/>
  <c r="M232" i="5"/>
  <c r="E231" i="5"/>
  <c r="W231" i="5" s="1"/>
  <c r="X231" i="5" s="1"/>
  <c r="I232" i="4"/>
  <c r="AE231" i="4"/>
  <c r="X231" i="4" s="1"/>
  <c r="U234" i="4"/>
  <c r="Q233" i="4"/>
  <c r="AC233" i="4"/>
  <c r="AF230" i="4"/>
  <c r="T230" i="4"/>
  <c r="P230" i="4"/>
  <c r="AB230" i="4"/>
  <c r="D230" i="4"/>
  <c r="L230" i="4"/>
  <c r="M233" i="4"/>
  <c r="E233" i="4"/>
  <c r="Y232" i="4"/>
  <c r="X230" i="4"/>
  <c r="X225" i="2"/>
  <c r="D219" i="1"/>
  <c r="L219" i="1"/>
  <c r="P219" i="1"/>
  <c r="I221" i="1"/>
  <c r="S220" i="1"/>
  <c r="H220" i="1" s="1"/>
  <c r="E225" i="1"/>
  <c r="T236" i="9" l="1"/>
  <c r="P236" i="9"/>
  <c r="H236" i="9"/>
  <c r="I237" i="9"/>
  <c r="Q238" i="9"/>
  <c r="M237" i="9"/>
  <c r="L236" i="9"/>
  <c r="E237" i="9"/>
  <c r="S237" i="9" s="1"/>
  <c r="D236" i="9"/>
  <c r="H231" i="8"/>
  <c r="P231" i="8"/>
  <c r="Q235" i="8"/>
  <c r="M235" i="8"/>
  <c r="I233" i="8"/>
  <c r="E233" i="8"/>
  <c r="T231" i="8"/>
  <c r="L231" i="8"/>
  <c r="S232" i="8"/>
  <c r="D231" i="8"/>
  <c r="M234" i="7"/>
  <c r="E232" i="7"/>
  <c r="Q235" i="7"/>
  <c r="T230" i="7"/>
  <c r="P230" i="7"/>
  <c r="L230" i="7"/>
  <c r="H230" i="7"/>
  <c r="I232" i="7"/>
  <c r="S231" i="7"/>
  <c r="D231" i="7" s="1"/>
  <c r="D230" i="7"/>
  <c r="M233" i="5"/>
  <c r="I233" i="5"/>
  <c r="Q234" i="5"/>
  <c r="T229" i="5"/>
  <c r="P229" i="5"/>
  <c r="H229" i="5"/>
  <c r="L229" i="5"/>
  <c r="D229" i="5"/>
  <c r="T230" i="5"/>
  <c r="P230" i="5"/>
  <c r="H230" i="5"/>
  <c r="L230" i="5"/>
  <c r="D230" i="5"/>
  <c r="E232" i="5"/>
  <c r="W232" i="5" s="1"/>
  <c r="X232" i="5" s="1"/>
  <c r="D231" i="5"/>
  <c r="Q234" i="4"/>
  <c r="Y233" i="4"/>
  <c r="E234" i="4"/>
  <c r="M234" i="4"/>
  <c r="AC234" i="4"/>
  <c r="AE232" i="4"/>
  <c r="U235" i="4"/>
  <c r="AF231" i="4"/>
  <c r="T231" i="4"/>
  <c r="D231" i="4"/>
  <c r="L231" i="4"/>
  <c r="AB231" i="4"/>
  <c r="P231" i="4"/>
  <c r="I233" i="4"/>
  <c r="H231" i="4"/>
  <c r="X226" i="2"/>
  <c r="D220" i="1"/>
  <c r="P220" i="1"/>
  <c r="L220" i="1"/>
  <c r="I222" i="1"/>
  <c r="S221" i="1"/>
  <c r="H221" i="1" s="1"/>
  <c r="E226" i="1"/>
  <c r="T237" i="9" l="1"/>
  <c r="P237" i="9"/>
  <c r="M238" i="9"/>
  <c r="L237" i="9"/>
  <c r="Q239" i="9"/>
  <c r="H237" i="9"/>
  <c r="I238" i="9"/>
  <c r="E238" i="9"/>
  <c r="S238" i="9" s="1"/>
  <c r="D237" i="9"/>
  <c r="D232" i="8"/>
  <c r="P232" i="8"/>
  <c r="Q236" i="8"/>
  <c r="S233" i="8"/>
  <c r="P233" i="8" s="1"/>
  <c r="E234" i="8"/>
  <c r="T232" i="8"/>
  <c r="L232" i="8"/>
  <c r="I234" i="8"/>
  <c r="H232" i="8"/>
  <c r="M236" i="8"/>
  <c r="H231" i="7"/>
  <c r="E233" i="7"/>
  <c r="M235" i="7"/>
  <c r="Q236" i="7"/>
  <c r="T231" i="7"/>
  <c r="P231" i="7"/>
  <c r="L231" i="7"/>
  <c r="I233" i="7"/>
  <c r="S232" i="7"/>
  <c r="H232" i="7" s="1"/>
  <c r="T231" i="5"/>
  <c r="P231" i="5"/>
  <c r="L231" i="5"/>
  <c r="H231" i="5"/>
  <c r="M234" i="5"/>
  <c r="E233" i="5"/>
  <c r="W233" i="5" s="1"/>
  <c r="X233" i="5" s="1"/>
  <c r="Q235" i="5"/>
  <c r="I234" i="5"/>
  <c r="AF232" i="4"/>
  <c r="T232" i="4"/>
  <c r="L232" i="4"/>
  <c r="D232" i="4"/>
  <c r="AB232" i="4"/>
  <c r="P232" i="4"/>
  <c r="AC235" i="4"/>
  <c r="M235" i="4"/>
  <c r="I234" i="4"/>
  <c r="H232" i="4"/>
  <c r="E235" i="4"/>
  <c r="Y234" i="4"/>
  <c r="X232" i="4"/>
  <c r="AE233" i="4"/>
  <c r="H233" i="4" s="1"/>
  <c r="U236" i="4"/>
  <c r="Q235" i="4"/>
  <c r="X227" i="2"/>
  <c r="D221" i="1"/>
  <c r="L221" i="1"/>
  <c r="P221" i="1"/>
  <c r="I223" i="1"/>
  <c r="S222" i="1"/>
  <c r="H222" i="1" s="1"/>
  <c r="E227" i="1"/>
  <c r="T238" i="9" l="1"/>
  <c r="P238" i="9"/>
  <c r="Q240" i="9"/>
  <c r="M239" i="9"/>
  <c r="L238" i="9"/>
  <c r="D238" i="9"/>
  <c r="E239" i="9"/>
  <c r="H238" i="9"/>
  <c r="I239" i="9"/>
  <c r="Q237" i="8"/>
  <c r="H233" i="8"/>
  <c r="D233" i="8"/>
  <c r="I235" i="8"/>
  <c r="E235" i="8"/>
  <c r="M237" i="8"/>
  <c r="T233" i="8"/>
  <c r="L233" i="8"/>
  <c r="S234" i="8"/>
  <c r="P234" i="8" s="1"/>
  <c r="E234" i="7"/>
  <c r="I234" i="7"/>
  <c r="S233" i="7"/>
  <c r="Q237" i="7"/>
  <c r="M236" i="7"/>
  <c r="T232" i="7"/>
  <c r="P232" i="7"/>
  <c r="L232" i="7"/>
  <c r="D232" i="7"/>
  <c r="Q236" i="5"/>
  <c r="E234" i="5"/>
  <c r="W234" i="5" s="1"/>
  <c r="X234" i="5" s="1"/>
  <c r="M235" i="5"/>
  <c r="I235" i="5"/>
  <c r="AE234" i="4"/>
  <c r="T234" i="4" s="1"/>
  <c r="Q236" i="4"/>
  <c r="M236" i="4"/>
  <c r="U237" i="4"/>
  <c r="I235" i="4"/>
  <c r="AF233" i="4"/>
  <c r="T233" i="4"/>
  <c r="P233" i="4"/>
  <c r="D233" i="4"/>
  <c r="AB233" i="4"/>
  <c r="L233" i="4"/>
  <c r="AC236" i="4"/>
  <c r="X233" i="4"/>
  <c r="Y235" i="4"/>
  <c r="E236" i="4"/>
  <c r="X228" i="2"/>
  <c r="D222" i="1"/>
  <c r="L222" i="1"/>
  <c r="P222" i="1"/>
  <c r="I224" i="1"/>
  <c r="S223" i="1"/>
  <c r="H223" i="1" s="1"/>
  <c r="E228" i="1"/>
  <c r="I240" i="9" l="1"/>
  <c r="E240" i="9"/>
  <c r="M240" i="9"/>
  <c r="S239" i="9"/>
  <c r="S240" i="9"/>
  <c r="P240" i="9" s="1"/>
  <c r="Q241" i="9"/>
  <c r="Q238" i="8"/>
  <c r="S235" i="8"/>
  <c r="P235" i="8" s="1"/>
  <c r="T234" i="8"/>
  <c r="L234" i="8"/>
  <c r="M238" i="8"/>
  <c r="E236" i="8"/>
  <c r="D234" i="8"/>
  <c r="H234" i="8"/>
  <c r="I236" i="8"/>
  <c r="M237" i="7"/>
  <c r="Q238" i="7"/>
  <c r="T233" i="7"/>
  <c r="P233" i="7"/>
  <c r="L233" i="7"/>
  <c r="I235" i="7"/>
  <c r="S234" i="7"/>
  <c r="H233" i="7"/>
  <c r="D233" i="7"/>
  <c r="E235" i="7"/>
  <c r="T233" i="5"/>
  <c r="P233" i="5"/>
  <c r="L233" i="5"/>
  <c r="H233" i="5"/>
  <c r="M236" i="5"/>
  <c r="E235" i="5"/>
  <c r="W235" i="5" s="1"/>
  <c r="X235" i="5" s="1"/>
  <c r="Q237" i="5"/>
  <c r="I236" i="5"/>
  <c r="D233" i="5"/>
  <c r="T232" i="5"/>
  <c r="P232" i="5"/>
  <c r="L232" i="5"/>
  <c r="H232" i="5"/>
  <c r="D232" i="5"/>
  <c r="AE235" i="4"/>
  <c r="T235" i="4" s="1"/>
  <c r="AF234" i="4"/>
  <c r="H234" i="4"/>
  <c r="X234" i="4"/>
  <c r="P234" i="4"/>
  <c r="AB234" i="4"/>
  <c r="L234" i="4"/>
  <c r="D234" i="4"/>
  <c r="P235" i="4"/>
  <c r="L235" i="4"/>
  <c r="AB235" i="4"/>
  <c r="AC237" i="4"/>
  <c r="Q237" i="4"/>
  <c r="M237" i="4"/>
  <c r="U238" i="4"/>
  <c r="E237" i="4"/>
  <c r="D235" i="4"/>
  <c r="H235" i="4"/>
  <c r="I236" i="4"/>
  <c r="X235" i="4"/>
  <c r="Y236" i="4"/>
  <c r="X229" i="2"/>
  <c r="D223" i="1"/>
  <c r="L223" i="1"/>
  <c r="P223" i="1"/>
  <c r="I225" i="1"/>
  <c r="S224" i="1"/>
  <c r="H224" i="1" s="1"/>
  <c r="E229" i="1"/>
  <c r="T240" i="9" l="1"/>
  <c r="T239" i="9"/>
  <c r="P239" i="9"/>
  <c r="L240" i="9"/>
  <c r="M241" i="9"/>
  <c r="Q242" i="9"/>
  <c r="L239" i="9"/>
  <c r="D239" i="9"/>
  <c r="E241" i="9"/>
  <c r="D240" i="9"/>
  <c r="I241" i="9"/>
  <c r="H240" i="9"/>
  <c r="H239" i="9"/>
  <c r="Q239" i="8"/>
  <c r="H235" i="8"/>
  <c r="D235" i="8"/>
  <c r="I237" i="8"/>
  <c r="E237" i="8"/>
  <c r="M239" i="8"/>
  <c r="S236" i="8"/>
  <c r="P236" i="8" s="1"/>
  <c r="T235" i="8"/>
  <c r="L235" i="8"/>
  <c r="T234" i="7"/>
  <c r="P234" i="7"/>
  <c r="L234" i="7"/>
  <c r="I236" i="7"/>
  <c r="S235" i="7"/>
  <c r="D235" i="7" s="1"/>
  <c r="H234" i="7"/>
  <c r="Q239" i="7"/>
  <c r="E236" i="7"/>
  <c r="D234" i="7"/>
  <c r="M238" i="7"/>
  <c r="T234" i="5"/>
  <c r="P234" i="5"/>
  <c r="L234" i="5"/>
  <c r="H234" i="5"/>
  <c r="M237" i="5"/>
  <c r="E236" i="5"/>
  <c r="W236" i="5" s="1"/>
  <c r="X236" i="5" s="1"/>
  <c r="I237" i="5"/>
  <c r="Q238" i="5"/>
  <c r="D234" i="5"/>
  <c r="AF235" i="4"/>
  <c r="Y237" i="4"/>
  <c r="U239" i="4"/>
  <c r="M238" i="4"/>
  <c r="Q238" i="4"/>
  <c r="I237" i="4"/>
  <c r="AE236" i="4"/>
  <c r="AC238" i="4"/>
  <c r="E238" i="4"/>
  <c r="X230" i="2"/>
  <c r="D224" i="1"/>
  <c r="P224" i="1"/>
  <c r="L224" i="1"/>
  <c r="I226" i="1"/>
  <c r="S225" i="1"/>
  <c r="H225" i="1" s="1"/>
  <c r="E230" i="1"/>
  <c r="Q243" i="9" l="1"/>
  <c r="M242" i="9"/>
  <c r="E242" i="9"/>
  <c r="S241" i="9"/>
  <c r="I242" i="9"/>
  <c r="Q240" i="8"/>
  <c r="S237" i="8"/>
  <c r="M240" i="8"/>
  <c r="T236" i="8"/>
  <c r="L236" i="8"/>
  <c r="E238" i="8"/>
  <c r="D236" i="8"/>
  <c r="H236" i="8"/>
  <c r="I238" i="8"/>
  <c r="E237" i="7"/>
  <c r="Q240" i="7"/>
  <c r="T235" i="7"/>
  <c r="P235" i="7"/>
  <c r="L235" i="7"/>
  <c r="I237" i="7"/>
  <c r="S236" i="7"/>
  <c r="H235" i="7"/>
  <c r="M239" i="7"/>
  <c r="E237" i="5"/>
  <c r="W237" i="5" s="1"/>
  <c r="X237" i="5" s="1"/>
  <c r="I238" i="5"/>
  <c r="M238" i="5"/>
  <c r="Q239" i="5"/>
  <c r="D236" i="5"/>
  <c r="AF236" i="4"/>
  <c r="T236" i="4"/>
  <c r="AB236" i="4"/>
  <c r="P236" i="4"/>
  <c r="L236" i="4"/>
  <c r="D236" i="4"/>
  <c r="I238" i="4"/>
  <c r="H236" i="4"/>
  <c r="AE237" i="4"/>
  <c r="X237" i="4" s="1"/>
  <c r="Q239" i="4"/>
  <c r="M239" i="4"/>
  <c r="E239" i="4"/>
  <c r="U240" i="4"/>
  <c r="AC239" i="4"/>
  <c r="Y238" i="4"/>
  <c r="X236" i="4"/>
  <c r="X231" i="2"/>
  <c r="D225" i="1"/>
  <c r="L225" i="1"/>
  <c r="P225" i="1"/>
  <c r="I227" i="1"/>
  <c r="S226" i="1"/>
  <c r="H226" i="1" s="1"/>
  <c r="E231" i="1"/>
  <c r="T241" i="9" l="1"/>
  <c r="P241" i="9"/>
  <c r="D241" i="9"/>
  <c r="E243" i="9"/>
  <c r="M243" i="9"/>
  <c r="L241" i="9"/>
  <c r="Q244" i="9"/>
  <c r="I243" i="9"/>
  <c r="S243" i="9" s="1"/>
  <c r="H241" i="9"/>
  <c r="S242" i="9"/>
  <c r="D242" i="9" s="1"/>
  <c r="D237" i="8"/>
  <c r="P237" i="8"/>
  <c r="Q241" i="8"/>
  <c r="H237" i="8"/>
  <c r="E239" i="8"/>
  <c r="I239" i="8"/>
  <c r="M241" i="8"/>
  <c r="S238" i="8"/>
  <c r="P238" i="8" s="1"/>
  <c r="T237" i="8"/>
  <c r="L237" i="8"/>
  <c r="T236" i="7"/>
  <c r="P236" i="7"/>
  <c r="L236" i="7"/>
  <c r="Q241" i="7"/>
  <c r="H236" i="7"/>
  <c r="E238" i="7"/>
  <c r="I238" i="7"/>
  <c r="S237" i="7"/>
  <c r="M240" i="7"/>
  <c r="D236" i="7"/>
  <c r="Q240" i="5"/>
  <c r="T235" i="5"/>
  <c r="P235" i="5"/>
  <c r="H235" i="5"/>
  <c r="L235" i="5"/>
  <c r="D235" i="5"/>
  <c r="I239" i="5"/>
  <c r="T236" i="5"/>
  <c r="P236" i="5"/>
  <c r="L236" i="5"/>
  <c r="H236" i="5"/>
  <c r="M239" i="5"/>
  <c r="E238" i="5"/>
  <c r="W238" i="5" s="1"/>
  <c r="X238" i="5" s="1"/>
  <c r="I239" i="4"/>
  <c r="AF237" i="4"/>
  <c r="T237" i="4"/>
  <c r="AB237" i="4"/>
  <c r="D237" i="4"/>
  <c r="L237" i="4"/>
  <c r="P237" i="4"/>
  <c r="H237" i="4"/>
  <c r="AC240" i="4"/>
  <c r="Q240" i="4"/>
  <c r="Y239" i="4"/>
  <c r="U241" i="4"/>
  <c r="E240" i="4"/>
  <c r="M240" i="4"/>
  <c r="AE238" i="4"/>
  <c r="X232" i="2"/>
  <c r="L226" i="1"/>
  <c r="P226" i="1"/>
  <c r="D226" i="1"/>
  <c r="I228" i="1"/>
  <c r="S227" i="1"/>
  <c r="H227" i="1" s="1"/>
  <c r="E232" i="1"/>
  <c r="L242" i="9" l="1"/>
  <c r="T243" i="9"/>
  <c r="P243" i="9"/>
  <c r="L243" i="9"/>
  <c r="M244" i="9"/>
  <c r="E244" i="9"/>
  <c r="D243" i="9"/>
  <c r="I244" i="9"/>
  <c r="H243" i="9"/>
  <c r="T242" i="9"/>
  <c r="P242" i="9"/>
  <c r="Q245" i="9"/>
  <c r="H242" i="9"/>
  <c r="Q242" i="8"/>
  <c r="T238" i="8"/>
  <c r="L238" i="8"/>
  <c r="M242" i="8"/>
  <c r="H238" i="8"/>
  <c r="I240" i="8"/>
  <c r="D238" i="8"/>
  <c r="S239" i="8"/>
  <c r="E240" i="8"/>
  <c r="T237" i="7"/>
  <c r="P237" i="7"/>
  <c r="L237" i="7"/>
  <c r="I239" i="7"/>
  <c r="S238" i="7"/>
  <c r="D238" i="7" s="1"/>
  <c r="H237" i="7"/>
  <c r="D237" i="7"/>
  <c r="E239" i="7"/>
  <c r="Q242" i="7"/>
  <c r="M241" i="7"/>
  <c r="M240" i="5"/>
  <c r="I240" i="5"/>
  <c r="E239" i="5"/>
  <c r="W239" i="5" s="1"/>
  <c r="X239" i="5" s="1"/>
  <c r="Q241" i="5"/>
  <c r="AF238" i="4"/>
  <c r="T238" i="4"/>
  <c r="L238" i="4"/>
  <c r="D238" i="4"/>
  <c r="P238" i="4"/>
  <c r="AB238" i="4"/>
  <c r="M241" i="4"/>
  <c r="U242" i="4"/>
  <c r="AC241" i="4"/>
  <c r="Q241" i="4"/>
  <c r="E241" i="4"/>
  <c r="Y240" i="4"/>
  <c r="X238" i="4"/>
  <c r="H238" i="4"/>
  <c r="AE239" i="4"/>
  <c r="X239" i="4" s="1"/>
  <c r="I240" i="4"/>
  <c r="X233" i="2"/>
  <c r="P227" i="1"/>
  <c r="L227" i="1"/>
  <c r="D227" i="1"/>
  <c r="I229" i="1"/>
  <c r="S228" i="1"/>
  <c r="H228" i="1" s="1"/>
  <c r="E233" i="1"/>
  <c r="S244" i="9" l="1"/>
  <c r="T244" i="9" s="1"/>
  <c r="H244" i="9"/>
  <c r="I245" i="9"/>
  <c r="D244" i="9"/>
  <c r="E245" i="9"/>
  <c r="Q246" i="9"/>
  <c r="M245" i="9"/>
  <c r="L244" i="9"/>
  <c r="P244" i="9"/>
  <c r="H239" i="8"/>
  <c r="P239" i="8"/>
  <c r="Q243" i="8"/>
  <c r="S240" i="8"/>
  <c r="P240" i="8" s="1"/>
  <c r="I241" i="8"/>
  <c r="M243" i="8"/>
  <c r="T239" i="8"/>
  <c r="L239" i="8"/>
  <c r="E241" i="8"/>
  <c r="D239" i="8"/>
  <c r="Q243" i="7"/>
  <c r="E240" i="7"/>
  <c r="T238" i="7"/>
  <c r="P238" i="7"/>
  <c r="L238" i="7"/>
  <c r="I240" i="7"/>
  <c r="S239" i="7"/>
  <c r="H238" i="7"/>
  <c r="M242" i="7"/>
  <c r="E240" i="5"/>
  <c r="W240" i="5" s="1"/>
  <c r="X240" i="5" s="1"/>
  <c r="Q242" i="5"/>
  <c r="T237" i="5"/>
  <c r="P237" i="5"/>
  <c r="H237" i="5"/>
  <c r="L237" i="5"/>
  <c r="D237" i="5"/>
  <c r="T238" i="5"/>
  <c r="P238" i="5"/>
  <c r="L238" i="5"/>
  <c r="H238" i="5"/>
  <c r="D238" i="5"/>
  <c r="I241" i="5"/>
  <c r="M241" i="5"/>
  <c r="H239" i="4"/>
  <c r="U243" i="4"/>
  <c r="AF239" i="4"/>
  <c r="T239" i="4"/>
  <c r="P239" i="4"/>
  <c r="D239" i="4"/>
  <c r="L239" i="4"/>
  <c r="AB239" i="4"/>
  <c r="AC242" i="4"/>
  <c r="Y241" i="4"/>
  <c r="I241" i="4"/>
  <c r="M242" i="4"/>
  <c r="E242" i="4"/>
  <c r="Q242" i="4"/>
  <c r="AE240" i="4"/>
  <c r="X240" i="4" s="1"/>
  <c r="X234" i="2"/>
  <c r="L228" i="1"/>
  <c r="P228" i="1"/>
  <c r="D228" i="1"/>
  <c r="I230" i="1"/>
  <c r="S229" i="1"/>
  <c r="H229" i="1" s="1"/>
  <c r="E234" i="1"/>
  <c r="Q247" i="9" l="1"/>
  <c r="E246" i="9"/>
  <c r="M246" i="9"/>
  <c r="I246" i="9"/>
  <c r="S245" i="9"/>
  <c r="L245" i="9" s="1"/>
  <c r="Q244" i="8"/>
  <c r="D240" i="8"/>
  <c r="H240" i="8"/>
  <c r="M244" i="8"/>
  <c r="I242" i="8"/>
  <c r="E242" i="8"/>
  <c r="T240" i="8"/>
  <c r="L240" i="8"/>
  <c r="S241" i="8"/>
  <c r="T239" i="7"/>
  <c r="P239" i="7"/>
  <c r="L239" i="7"/>
  <c r="M243" i="7"/>
  <c r="I241" i="7"/>
  <c r="S240" i="7"/>
  <c r="D240" i="7" s="1"/>
  <c r="H239" i="7"/>
  <c r="D239" i="7"/>
  <c r="E241" i="7"/>
  <c r="Q244" i="7"/>
  <c r="M242" i="5"/>
  <c r="Q243" i="5"/>
  <c r="I242" i="5"/>
  <c r="E241" i="5"/>
  <c r="W241" i="5" s="1"/>
  <c r="X241" i="5" s="1"/>
  <c r="T239" i="5"/>
  <c r="P239" i="5"/>
  <c r="L239" i="5"/>
  <c r="H239" i="5"/>
  <c r="D239" i="5"/>
  <c r="AC243" i="4"/>
  <c r="Q243" i="4"/>
  <c r="Y242" i="4"/>
  <c r="AF240" i="4"/>
  <c r="T240" i="4"/>
  <c r="P240" i="4"/>
  <c r="D240" i="4"/>
  <c r="L240" i="4"/>
  <c r="AB240" i="4"/>
  <c r="AE241" i="4"/>
  <c r="H241" i="4" s="1"/>
  <c r="E243" i="4"/>
  <c r="M243" i="4"/>
  <c r="H240" i="4"/>
  <c r="U244" i="4"/>
  <c r="I242" i="4"/>
  <c r="X235" i="2"/>
  <c r="D229" i="1"/>
  <c r="L229" i="1"/>
  <c r="P229" i="1"/>
  <c r="I231" i="1"/>
  <c r="S230" i="1"/>
  <c r="H230" i="1" s="1"/>
  <c r="E235" i="1"/>
  <c r="H245" i="9" l="1"/>
  <c r="E247" i="9"/>
  <c r="I247" i="9"/>
  <c r="S246" i="9"/>
  <c r="Q248" i="9"/>
  <c r="T245" i="9"/>
  <c r="P245" i="9"/>
  <c r="L246" i="9"/>
  <c r="M247" i="9"/>
  <c r="S247" i="9" s="1"/>
  <c r="T247" i="9" s="1"/>
  <c r="D245" i="9"/>
  <c r="D241" i="8"/>
  <c r="P241" i="8"/>
  <c r="Q245" i="8"/>
  <c r="E243" i="8"/>
  <c r="T241" i="8"/>
  <c r="L241" i="8"/>
  <c r="H241" i="8"/>
  <c r="I243" i="8"/>
  <c r="S242" i="8"/>
  <c r="P242" i="8" s="1"/>
  <c r="M245" i="8"/>
  <c r="T240" i="7"/>
  <c r="P240" i="7"/>
  <c r="L240" i="7"/>
  <c r="H240" i="7"/>
  <c r="I242" i="7"/>
  <c r="S241" i="7"/>
  <c r="M244" i="7"/>
  <c r="Q245" i="7"/>
  <c r="E242" i="7"/>
  <c r="T240" i="5"/>
  <c r="P240" i="5"/>
  <c r="H240" i="5"/>
  <c r="L240" i="5"/>
  <c r="E242" i="5"/>
  <c r="W242" i="5" s="1"/>
  <c r="X242" i="5" s="1"/>
  <c r="I243" i="5"/>
  <c r="Q244" i="5"/>
  <c r="D240" i="5"/>
  <c r="M243" i="5"/>
  <c r="X241" i="4"/>
  <c r="I243" i="4"/>
  <c r="M244" i="4"/>
  <c r="U245" i="4"/>
  <c r="Y243" i="4"/>
  <c r="AE242" i="4"/>
  <c r="E244" i="4"/>
  <c r="Q244" i="4"/>
  <c r="AF241" i="4"/>
  <c r="T241" i="4"/>
  <c r="L241" i="4"/>
  <c r="P241" i="4"/>
  <c r="D241" i="4"/>
  <c r="AB241" i="4"/>
  <c r="AC244" i="4"/>
  <c r="X236" i="2"/>
  <c r="D230" i="1"/>
  <c r="L230" i="1"/>
  <c r="P230" i="1"/>
  <c r="I232" i="1"/>
  <c r="S231" i="1"/>
  <c r="H231" i="1" s="1"/>
  <c r="E236" i="1"/>
  <c r="T246" i="9" l="1"/>
  <c r="P246" i="9"/>
  <c r="H246" i="9"/>
  <c r="H247" i="9"/>
  <c r="I248" i="9"/>
  <c r="Q249" i="9"/>
  <c r="E248" i="9"/>
  <c r="D247" i="9"/>
  <c r="D246" i="9"/>
  <c r="P247" i="9"/>
  <c r="L247" i="9"/>
  <c r="M248" i="9"/>
  <c r="Q246" i="8"/>
  <c r="T242" i="8"/>
  <c r="L242" i="8"/>
  <c r="E244" i="8"/>
  <c r="M246" i="8"/>
  <c r="S243" i="8"/>
  <c r="P243" i="8" s="1"/>
  <c r="I244" i="8"/>
  <c r="H242" i="8"/>
  <c r="D242" i="8"/>
  <c r="Q246" i="7"/>
  <c r="M245" i="7"/>
  <c r="T241" i="7"/>
  <c r="P241" i="7"/>
  <c r="L241" i="7"/>
  <c r="I243" i="7"/>
  <c r="S242" i="7"/>
  <c r="H241" i="7"/>
  <c r="E243" i="7"/>
  <c r="D241" i="7"/>
  <c r="T241" i="5"/>
  <c r="P241" i="5"/>
  <c r="H241" i="5"/>
  <c r="L241" i="5"/>
  <c r="D241" i="5"/>
  <c r="I244" i="5"/>
  <c r="M244" i="5"/>
  <c r="Q245" i="5"/>
  <c r="E243" i="5"/>
  <c r="W243" i="5" s="1"/>
  <c r="X243" i="5" s="1"/>
  <c r="AF242" i="4"/>
  <c r="T242" i="4"/>
  <c r="AB242" i="4"/>
  <c r="P242" i="4"/>
  <c r="D242" i="4"/>
  <c r="L242" i="4"/>
  <c r="Y244" i="4"/>
  <c r="E245" i="4"/>
  <c r="AC245" i="4"/>
  <c r="X242" i="4"/>
  <c r="U246" i="4"/>
  <c r="M245" i="4"/>
  <c r="Q245" i="4"/>
  <c r="H242" i="4"/>
  <c r="AE243" i="4"/>
  <c r="X243" i="4" s="1"/>
  <c r="I244" i="4"/>
  <c r="X237" i="2"/>
  <c r="D231" i="1"/>
  <c r="P231" i="1"/>
  <c r="L231" i="1"/>
  <c r="I233" i="1"/>
  <c r="S232" i="1"/>
  <c r="H232" i="1" s="1"/>
  <c r="E237" i="1"/>
  <c r="E249" i="9" l="1"/>
  <c r="M249" i="9"/>
  <c r="Q250" i="9"/>
  <c r="S248" i="9"/>
  <c r="L248" i="9" s="1"/>
  <c r="I249" i="9"/>
  <c r="Q247" i="8"/>
  <c r="T243" i="8"/>
  <c r="L243" i="8"/>
  <c r="H243" i="8"/>
  <c r="I245" i="8"/>
  <c r="S244" i="8"/>
  <c r="P244" i="8" s="1"/>
  <c r="M247" i="8"/>
  <c r="E245" i="8"/>
  <c r="D243" i="8"/>
  <c r="T242" i="7"/>
  <c r="P242" i="7"/>
  <c r="L242" i="7"/>
  <c r="I244" i="7"/>
  <c r="S243" i="7"/>
  <c r="H242" i="7"/>
  <c r="M246" i="7"/>
  <c r="D242" i="7"/>
  <c r="Q247" i="7"/>
  <c r="E244" i="7"/>
  <c r="Q246" i="5"/>
  <c r="M245" i="5"/>
  <c r="I245" i="5"/>
  <c r="E244" i="5"/>
  <c r="W244" i="5" s="1"/>
  <c r="X244" i="5" s="1"/>
  <c r="D243" i="5"/>
  <c r="H243" i="4"/>
  <c r="I245" i="4"/>
  <c r="Y245" i="4"/>
  <c r="AC246" i="4"/>
  <c r="E246" i="4"/>
  <c r="Q246" i="4"/>
  <c r="AF243" i="4"/>
  <c r="T243" i="4"/>
  <c r="L243" i="4"/>
  <c r="P243" i="4"/>
  <c r="D243" i="4"/>
  <c r="AB243" i="4"/>
  <c r="AE244" i="4"/>
  <c r="M246" i="4"/>
  <c r="U247" i="4"/>
  <c r="X238" i="2"/>
  <c r="D232" i="1"/>
  <c r="P232" i="1"/>
  <c r="L232" i="1"/>
  <c r="I234" i="1"/>
  <c r="S233" i="1"/>
  <c r="H233" i="1" s="1"/>
  <c r="E238" i="1"/>
  <c r="H248" i="9" l="1"/>
  <c r="M250" i="9"/>
  <c r="I250" i="9"/>
  <c r="E250" i="9"/>
  <c r="T248" i="9"/>
  <c r="P248" i="9"/>
  <c r="S250" i="9"/>
  <c r="P250" i="9" s="1"/>
  <c r="Q251" i="9"/>
  <c r="S249" i="9"/>
  <c r="H249" i="9" s="1"/>
  <c r="D248" i="9"/>
  <c r="Q248" i="8"/>
  <c r="S245" i="8"/>
  <c r="H245" i="8" s="1"/>
  <c r="E246" i="8"/>
  <c r="T244" i="8"/>
  <c r="L244" i="8"/>
  <c r="M248" i="8"/>
  <c r="I246" i="8"/>
  <c r="H244" i="8"/>
  <c r="D244" i="8"/>
  <c r="M247" i="7"/>
  <c r="T243" i="7"/>
  <c r="P243" i="7"/>
  <c r="L243" i="7"/>
  <c r="I245" i="7"/>
  <c r="S244" i="7"/>
  <c r="D244" i="7" s="1"/>
  <c r="H243" i="7"/>
  <c r="E245" i="7"/>
  <c r="D243" i="7"/>
  <c r="Q248" i="7"/>
  <c r="T243" i="5"/>
  <c r="P243" i="5"/>
  <c r="L243" i="5"/>
  <c r="H243" i="5"/>
  <c r="I246" i="5"/>
  <c r="M246" i="5"/>
  <c r="E245" i="5"/>
  <c r="W245" i="5" s="1"/>
  <c r="X245" i="5" s="1"/>
  <c r="D244" i="5"/>
  <c r="T242" i="5"/>
  <c r="P242" i="5"/>
  <c r="L242" i="5"/>
  <c r="H242" i="5"/>
  <c r="D242" i="5"/>
  <c r="Q247" i="5"/>
  <c r="AE245" i="4"/>
  <c r="AF245" i="4" s="1"/>
  <c r="Q247" i="4"/>
  <c r="E247" i="4"/>
  <c r="M247" i="4"/>
  <c r="U248" i="4"/>
  <c r="AF244" i="4"/>
  <c r="T244" i="4"/>
  <c r="L244" i="4"/>
  <c r="AB244" i="4"/>
  <c r="P244" i="4"/>
  <c r="D244" i="4"/>
  <c r="AC247" i="4"/>
  <c r="Y246" i="4"/>
  <c r="X244" i="4"/>
  <c r="I246" i="4"/>
  <c r="H244" i="4"/>
  <c r="X239" i="2"/>
  <c r="D233" i="1"/>
  <c r="L233" i="1"/>
  <c r="P233" i="1"/>
  <c r="I235" i="1"/>
  <c r="S234" i="1"/>
  <c r="H234" i="1"/>
  <c r="E239" i="1"/>
  <c r="Q252" i="9" l="1"/>
  <c r="I251" i="9"/>
  <c r="H250" i="9"/>
  <c r="T249" i="9"/>
  <c r="P249" i="9"/>
  <c r="D250" i="9"/>
  <c r="E251" i="9"/>
  <c r="L249" i="9"/>
  <c r="T250" i="9"/>
  <c r="D249" i="9"/>
  <c r="L250" i="9"/>
  <c r="M251" i="9"/>
  <c r="D245" i="8"/>
  <c r="P245" i="8"/>
  <c r="Q249" i="8"/>
  <c r="M249" i="8"/>
  <c r="E247" i="8"/>
  <c r="I247" i="8"/>
  <c r="T245" i="8"/>
  <c r="L245" i="8"/>
  <c r="S246" i="8"/>
  <c r="P246" i="8" s="1"/>
  <c r="E246" i="7"/>
  <c r="T244" i="7"/>
  <c r="P244" i="7"/>
  <c r="L244" i="7"/>
  <c r="H244" i="7"/>
  <c r="I246" i="7"/>
  <c r="S245" i="7"/>
  <c r="Q249" i="7"/>
  <c r="M248" i="7"/>
  <c r="M247" i="5"/>
  <c r="I247" i="5"/>
  <c r="E246" i="5"/>
  <c r="W246" i="5" s="1"/>
  <c r="X246" i="5" s="1"/>
  <c r="Q248" i="5"/>
  <c r="T244" i="5"/>
  <c r="P244" i="5"/>
  <c r="L244" i="5"/>
  <c r="H244" i="5"/>
  <c r="D245" i="4"/>
  <c r="H245" i="4"/>
  <c r="L245" i="4"/>
  <c r="X245" i="4"/>
  <c r="AB245" i="4"/>
  <c r="T245" i="4"/>
  <c r="P245" i="4"/>
  <c r="AC248" i="4"/>
  <c r="U249" i="4"/>
  <c r="M248" i="4"/>
  <c r="E248" i="4"/>
  <c r="I247" i="4"/>
  <c r="AE246" i="4"/>
  <c r="Y247" i="4"/>
  <c r="Q248" i="4"/>
  <c r="X240" i="2"/>
  <c r="D234" i="1"/>
  <c r="L234" i="1"/>
  <c r="P234" i="1"/>
  <c r="I236" i="1"/>
  <c r="S235" i="1"/>
  <c r="H235" i="1" s="1"/>
  <c r="E240" i="1"/>
  <c r="Q253" i="9" l="1"/>
  <c r="E252" i="9"/>
  <c r="I252" i="9"/>
  <c r="M252" i="9"/>
  <c r="S251" i="9"/>
  <c r="L251" i="9" s="1"/>
  <c r="Q250" i="8"/>
  <c r="S247" i="8"/>
  <c r="I248" i="8"/>
  <c r="H246" i="8"/>
  <c r="E248" i="8"/>
  <c r="D246" i="8"/>
  <c r="M250" i="8"/>
  <c r="T246" i="8"/>
  <c r="L246" i="8"/>
  <c r="M249" i="7"/>
  <c r="T245" i="7"/>
  <c r="P245" i="7"/>
  <c r="L245" i="7"/>
  <c r="Q250" i="7"/>
  <c r="H245" i="7"/>
  <c r="I247" i="7"/>
  <c r="S246" i="7"/>
  <c r="D245" i="7"/>
  <c r="E247" i="7"/>
  <c r="Q249" i="5"/>
  <c r="M248" i="5"/>
  <c r="I248" i="5"/>
  <c r="E247" i="5"/>
  <c r="W247" i="5" s="1"/>
  <c r="X247" i="5" s="1"/>
  <c r="Y248" i="4"/>
  <c r="E249" i="4"/>
  <c r="I248" i="4"/>
  <c r="AF246" i="4"/>
  <c r="T246" i="4"/>
  <c r="P246" i="4"/>
  <c r="D246" i="4"/>
  <c r="L246" i="4"/>
  <c r="AB246" i="4"/>
  <c r="H246" i="4"/>
  <c r="M249" i="4"/>
  <c r="AE247" i="4"/>
  <c r="H247" i="4" s="1"/>
  <c r="U250" i="4"/>
  <c r="Q249" i="4"/>
  <c r="X246" i="4"/>
  <c r="AC249" i="4"/>
  <c r="X241" i="2"/>
  <c r="D235" i="1"/>
  <c r="L235" i="1"/>
  <c r="P235" i="1"/>
  <c r="I237" i="1"/>
  <c r="S236" i="1"/>
  <c r="H236" i="1" s="1"/>
  <c r="E241" i="1"/>
  <c r="T251" i="9" l="1"/>
  <c r="P251" i="9"/>
  <c r="I253" i="9"/>
  <c r="M253" i="9"/>
  <c r="H251" i="9"/>
  <c r="E253" i="9"/>
  <c r="D251" i="9"/>
  <c r="S252" i="9"/>
  <c r="Q254" i="9"/>
  <c r="H247" i="8"/>
  <c r="P247" i="8"/>
  <c r="D247" i="8"/>
  <c r="Q251" i="8"/>
  <c r="E249" i="8"/>
  <c r="I249" i="8"/>
  <c r="M251" i="8"/>
  <c r="T247" i="8"/>
  <c r="L247" i="8"/>
  <c r="S248" i="8"/>
  <c r="P248" i="8" s="1"/>
  <c r="Q251" i="7"/>
  <c r="I248" i="7"/>
  <c r="S247" i="7"/>
  <c r="M250" i="7"/>
  <c r="T246" i="7"/>
  <c r="P246" i="7"/>
  <c r="L246" i="7"/>
  <c r="H246" i="7"/>
  <c r="E248" i="7"/>
  <c r="D246" i="7"/>
  <c r="T245" i="5"/>
  <c r="P245" i="5"/>
  <c r="L245" i="5"/>
  <c r="H245" i="5"/>
  <c r="D245" i="5"/>
  <c r="E248" i="5"/>
  <c r="W248" i="5" s="1"/>
  <c r="X248" i="5" s="1"/>
  <c r="I249" i="5"/>
  <c r="M249" i="5"/>
  <c r="Q250" i="5"/>
  <c r="AE248" i="4"/>
  <c r="AB248" i="4" s="1"/>
  <c r="Q250" i="4"/>
  <c r="AC250" i="4"/>
  <c r="AF247" i="4"/>
  <c r="T247" i="4"/>
  <c r="AB247" i="4"/>
  <c r="P247" i="4"/>
  <c r="L247" i="4"/>
  <c r="D247" i="4"/>
  <c r="U251" i="4"/>
  <c r="I249" i="4"/>
  <c r="M250" i="4"/>
  <c r="E250" i="4"/>
  <c r="Y249" i="4"/>
  <c r="X247" i="4"/>
  <c r="X242" i="2"/>
  <c r="L236" i="1"/>
  <c r="P236" i="1"/>
  <c r="D236" i="1"/>
  <c r="I238" i="1"/>
  <c r="S237" i="1"/>
  <c r="H237" i="1" s="1"/>
  <c r="E242" i="1"/>
  <c r="E254" i="9" l="1"/>
  <c r="T252" i="9"/>
  <c r="P252" i="9"/>
  <c r="S253" i="9"/>
  <c r="D252" i="9"/>
  <c r="M254" i="9"/>
  <c r="L253" i="9"/>
  <c r="L252" i="9"/>
  <c r="H252" i="9"/>
  <c r="H253" i="9"/>
  <c r="I254" i="9"/>
  <c r="Q255" i="9"/>
  <c r="Q252" i="8"/>
  <c r="M252" i="8"/>
  <c r="T248" i="8"/>
  <c r="L248" i="8"/>
  <c r="H248" i="8"/>
  <c r="S249" i="8"/>
  <c r="P249" i="8" s="1"/>
  <c r="I250" i="8"/>
  <c r="D248" i="8"/>
  <c r="E250" i="8"/>
  <c r="M251" i="7"/>
  <c r="T247" i="7"/>
  <c r="P247" i="7"/>
  <c r="L247" i="7"/>
  <c r="I249" i="7"/>
  <c r="S248" i="7"/>
  <c r="D248" i="7" s="1"/>
  <c r="H247" i="7"/>
  <c r="E249" i="7"/>
  <c r="D247" i="7"/>
  <c r="Q252" i="7"/>
  <c r="T247" i="5"/>
  <c r="P247" i="5"/>
  <c r="L247" i="5"/>
  <c r="H247" i="5"/>
  <c r="I250" i="5"/>
  <c r="T246" i="5"/>
  <c r="P246" i="5"/>
  <c r="H246" i="5"/>
  <c r="L246" i="5"/>
  <c r="D246" i="5"/>
  <c r="D247" i="5"/>
  <c r="M250" i="5"/>
  <c r="E249" i="5"/>
  <c r="W249" i="5" s="1"/>
  <c r="X249" i="5" s="1"/>
  <c r="Q251" i="5"/>
  <c r="L248" i="4"/>
  <c r="T248" i="4"/>
  <c r="D248" i="4"/>
  <c r="AF248" i="4"/>
  <c r="H248" i="4"/>
  <c r="X248" i="4"/>
  <c r="P248" i="4"/>
  <c r="Y250" i="4"/>
  <c r="E251" i="4"/>
  <c r="M251" i="4"/>
  <c r="AC251" i="4"/>
  <c r="I250" i="4"/>
  <c r="U252" i="4"/>
  <c r="Q251" i="4"/>
  <c r="AE249" i="4"/>
  <c r="H249" i="4" s="1"/>
  <c r="X243" i="2"/>
  <c r="D237" i="1"/>
  <c r="P237" i="1"/>
  <c r="L237" i="1"/>
  <c r="I239" i="1"/>
  <c r="S238" i="1"/>
  <c r="H238" i="1" s="1"/>
  <c r="E243" i="1"/>
  <c r="I255" i="9" l="1"/>
  <c r="M255" i="9"/>
  <c r="T253" i="9"/>
  <c r="P253" i="9"/>
  <c r="Q256" i="9"/>
  <c r="E255" i="9"/>
  <c r="S255" i="9" s="1"/>
  <c r="S254" i="9"/>
  <c r="L254" i="9" s="1"/>
  <c r="D253" i="9"/>
  <c r="Q253" i="8"/>
  <c r="H249" i="8"/>
  <c r="T249" i="8"/>
  <c r="L249" i="8"/>
  <c r="S250" i="8"/>
  <c r="P250" i="8" s="1"/>
  <c r="I251" i="8"/>
  <c r="E251" i="8"/>
  <c r="D249" i="8"/>
  <c r="M253" i="8"/>
  <c r="T248" i="7"/>
  <c r="P248" i="7"/>
  <c r="L248" i="7"/>
  <c r="E250" i="7"/>
  <c r="I250" i="7"/>
  <c r="S249" i="7"/>
  <c r="H248" i="7"/>
  <c r="Q253" i="7"/>
  <c r="M252" i="7"/>
  <c r="Q252" i="5"/>
  <c r="E250" i="5"/>
  <c r="W250" i="5" s="1"/>
  <c r="X250" i="5" s="1"/>
  <c r="I251" i="5"/>
  <c r="M251" i="5"/>
  <c r="U253" i="4"/>
  <c r="I251" i="4"/>
  <c r="AC252" i="4"/>
  <c r="M252" i="4"/>
  <c r="AF249" i="4"/>
  <c r="T249" i="4"/>
  <c r="P249" i="4"/>
  <c r="AB249" i="4"/>
  <c r="L249" i="4"/>
  <c r="D249" i="4"/>
  <c r="E252" i="4"/>
  <c r="AE250" i="4"/>
  <c r="X250" i="4" s="1"/>
  <c r="X249" i="4"/>
  <c r="Q252" i="4"/>
  <c r="Y251" i="4"/>
  <c r="X244" i="2"/>
  <c r="D238" i="1"/>
  <c r="P238" i="1"/>
  <c r="L238" i="1"/>
  <c r="I240" i="1"/>
  <c r="S239" i="1"/>
  <c r="H239" i="1" s="1"/>
  <c r="E244" i="1"/>
  <c r="T255" i="9" l="1"/>
  <c r="P255" i="9"/>
  <c r="D254" i="9"/>
  <c r="T254" i="9"/>
  <c r="P254" i="9"/>
  <c r="M256" i="9"/>
  <c r="L255" i="9"/>
  <c r="D255" i="9"/>
  <c r="E256" i="9"/>
  <c r="H255" i="9"/>
  <c r="I256" i="9"/>
  <c r="Q257" i="9"/>
  <c r="H254" i="9"/>
  <c r="D250" i="8"/>
  <c r="H250" i="8"/>
  <c r="Q254" i="8"/>
  <c r="M254" i="8"/>
  <c r="T250" i="8"/>
  <c r="L250" i="8"/>
  <c r="S251" i="8"/>
  <c r="P251" i="8" s="1"/>
  <c r="I252" i="8"/>
  <c r="E252" i="8"/>
  <c r="Q254" i="7"/>
  <c r="M253" i="7"/>
  <c r="T249" i="7"/>
  <c r="P249" i="7"/>
  <c r="L249" i="7"/>
  <c r="H249" i="7"/>
  <c r="I251" i="7"/>
  <c r="S250" i="7"/>
  <c r="H250" i="7" s="1"/>
  <c r="E251" i="7"/>
  <c r="D249" i="7"/>
  <c r="M252" i="5"/>
  <c r="E251" i="5"/>
  <c r="W251" i="5" s="1"/>
  <c r="X251" i="5" s="1"/>
  <c r="T248" i="5"/>
  <c r="P248" i="5"/>
  <c r="L248" i="5"/>
  <c r="H248" i="5"/>
  <c r="D248" i="5"/>
  <c r="I252" i="5"/>
  <c r="Q253" i="5"/>
  <c r="Y252" i="4"/>
  <c r="Q253" i="4"/>
  <c r="AE251" i="4"/>
  <c r="H251" i="4" s="1"/>
  <c r="M253" i="4"/>
  <c r="AF250" i="4"/>
  <c r="T250" i="4"/>
  <c r="P250" i="4"/>
  <c r="D250" i="4"/>
  <c r="L250" i="4"/>
  <c r="AB250" i="4"/>
  <c r="AC253" i="4"/>
  <c r="E253" i="4"/>
  <c r="I252" i="4"/>
  <c r="H250" i="4"/>
  <c r="U254" i="4"/>
  <c r="X245" i="2"/>
  <c r="P239" i="1"/>
  <c r="L239" i="1"/>
  <c r="D239" i="1"/>
  <c r="I241" i="1"/>
  <c r="S240" i="1"/>
  <c r="H240" i="1" s="1"/>
  <c r="E245" i="1"/>
  <c r="E257" i="9" l="1"/>
  <c r="S257" i="9" s="1"/>
  <c r="P257" i="9" s="1"/>
  <c r="M257" i="9"/>
  <c r="I257" i="9"/>
  <c r="Q258" i="9"/>
  <c r="S256" i="9"/>
  <c r="H256" i="9" s="1"/>
  <c r="D251" i="8"/>
  <c r="H251" i="8"/>
  <c r="Q255" i="8"/>
  <c r="I253" i="8"/>
  <c r="M255" i="8"/>
  <c r="E253" i="8"/>
  <c r="S252" i="8"/>
  <c r="T251" i="8"/>
  <c r="L251" i="8"/>
  <c r="T250" i="7"/>
  <c r="P250" i="7"/>
  <c r="L250" i="7"/>
  <c r="I252" i="7"/>
  <c r="S251" i="7"/>
  <c r="M254" i="7"/>
  <c r="D250" i="7"/>
  <c r="Q255" i="7"/>
  <c r="E252" i="7"/>
  <c r="E252" i="5"/>
  <c r="W252" i="5" s="1"/>
  <c r="X252" i="5" s="1"/>
  <c r="T249" i="5"/>
  <c r="P249" i="5"/>
  <c r="L249" i="5"/>
  <c r="H249" i="5"/>
  <c r="D249" i="5"/>
  <c r="Q254" i="5"/>
  <c r="D251" i="5"/>
  <c r="I253" i="5"/>
  <c r="M253" i="5"/>
  <c r="M254" i="4"/>
  <c r="U255" i="4"/>
  <c r="I253" i="4"/>
  <c r="AF251" i="4"/>
  <c r="T251" i="4"/>
  <c r="D251" i="4"/>
  <c r="L251" i="4"/>
  <c r="AB251" i="4"/>
  <c r="P251" i="4"/>
  <c r="E254" i="4"/>
  <c r="Q254" i="4"/>
  <c r="AE252" i="4"/>
  <c r="H252" i="4" s="1"/>
  <c r="AC254" i="4"/>
  <c r="X251" i="4"/>
  <c r="Y253" i="4"/>
  <c r="X246" i="2"/>
  <c r="L240" i="1"/>
  <c r="P240" i="1"/>
  <c r="D240" i="1"/>
  <c r="I242" i="1"/>
  <c r="S241" i="1"/>
  <c r="H241" i="1" s="1"/>
  <c r="E246" i="1"/>
  <c r="T257" i="9" l="1"/>
  <c r="H257" i="9"/>
  <c r="I258" i="9"/>
  <c r="M258" i="9"/>
  <c r="L257" i="9"/>
  <c r="T256" i="9"/>
  <c r="P256" i="9"/>
  <c r="L256" i="9"/>
  <c r="Q259" i="9"/>
  <c r="E258" i="9"/>
  <c r="S258" i="9" s="1"/>
  <c r="D257" i="9"/>
  <c r="D256" i="9"/>
  <c r="H252" i="8"/>
  <c r="P252" i="8"/>
  <c r="Q256" i="8"/>
  <c r="M256" i="8"/>
  <c r="S253" i="8"/>
  <c r="T252" i="8"/>
  <c r="L252" i="8"/>
  <c r="D252" i="8"/>
  <c r="E254" i="8"/>
  <c r="I254" i="8"/>
  <c r="Q256" i="7"/>
  <c r="M255" i="7"/>
  <c r="T251" i="7"/>
  <c r="P251" i="7"/>
  <c r="L251" i="7"/>
  <c r="I253" i="7"/>
  <c r="S252" i="7"/>
  <c r="H251" i="7"/>
  <c r="D251" i="7"/>
  <c r="E253" i="7"/>
  <c r="Q255" i="5"/>
  <c r="E253" i="5"/>
  <c r="W253" i="5" s="1"/>
  <c r="X253" i="5" s="1"/>
  <c r="T250" i="5"/>
  <c r="P250" i="5"/>
  <c r="H250" i="5"/>
  <c r="L250" i="5"/>
  <c r="D250" i="5"/>
  <c r="I254" i="5"/>
  <c r="M254" i="5"/>
  <c r="T251" i="5"/>
  <c r="P251" i="5"/>
  <c r="L251" i="5"/>
  <c r="H251" i="5"/>
  <c r="X252" i="4"/>
  <c r="AC255" i="4"/>
  <c r="Y254" i="4"/>
  <c r="AF252" i="4"/>
  <c r="T252" i="4"/>
  <c r="P252" i="4"/>
  <c r="AB252" i="4"/>
  <c r="D252" i="4"/>
  <c r="L252" i="4"/>
  <c r="I254" i="4"/>
  <c r="AE253" i="4"/>
  <c r="X253" i="4" s="1"/>
  <c r="Q255" i="4"/>
  <c r="U256" i="4"/>
  <c r="E255" i="4"/>
  <c r="M255" i="4"/>
  <c r="X247" i="2"/>
  <c r="D241" i="1"/>
  <c r="L241" i="1"/>
  <c r="P241" i="1"/>
  <c r="I243" i="1"/>
  <c r="S242" i="1"/>
  <c r="H242" i="1" s="1"/>
  <c r="E247" i="1"/>
  <c r="T258" i="9" l="1"/>
  <c r="P258" i="9"/>
  <c r="L258" i="9"/>
  <c r="M259" i="9"/>
  <c r="Q260" i="9"/>
  <c r="H258" i="9"/>
  <c r="I259" i="9"/>
  <c r="E259" i="9"/>
  <c r="D258" i="9"/>
  <c r="D253" i="8"/>
  <c r="P253" i="8"/>
  <c r="Q257" i="8"/>
  <c r="I255" i="8"/>
  <c r="T253" i="8"/>
  <c r="L253" i="8"/>
  <c r="S254" i="8"/>
  <c r="D254" i="8" s="1"/>
  <c r="M257" i="8"/>
  <c r="E255" i="8"/>
  <c r="H253" i="8"/>
  <c r="T252" i="7"/>
  <c r="P252" i="7"/>
  <c r="L252" i="7"/>
  <c r="H252" i="7"/>
  <c r="I254" i="7"/>
  <c r="S253" i="7"/>
  <c r="D253" i="7" s="1"/>
  <c r="M256" i="7"/>
  <c r="E254" i="7"/>
  <c r="D252" i="7"/>
  <c r="Q257" i="7"/>
  <c r="I255" i="5"/>
  <c r="E254" i="5"/>
  <c r="W254" i="5" s="1"/>
  <c r="X254" i="5" s="1"/>
  <c r="M255" i="5"/>
  <c r="Q256" i="5"/>
  <c r="H253" i="4"/>
  <c r="M256" i="4"/>
  <c r="I255" i="4"/>
  <c r="E256" i="4"/>
  <c r="U257" i="4"/>
  <c r="Q256" i="4"/>
  <c r="Y255" i="4"/>
  <c r="AE254" i="4"/>
  <c r="H254" i="4" s="1"/>
  <c r="AC256" i="4"/>
  <c r="AF253" i="4"/>
  <c r="T253" i="4"/>
  <c r="L253" i="4"/>
  <c r="D253" i="4"/>
  <c r="P253" i="4"/>
  <c r="AB253" i="4"/>
  <c r="X248" i="2"/>
  <c r="D242" i="1"/>
  <c r="L242" i="1"/>
  <c r="P242" i="1"/>
  <c r="I244" i="1"/>
  <c r="S243" i="1"/>
  <c r="H243" i="1" s="1"/>
  <c r="E248" i="1"/>
  <c r="M260" i="9" l="1"/>
  <c r="I260" i="9"/>
  <c r="Q261" i="9"/>
  <c r="E260" i="9"/>
  <c r="S260" i="9" s="1"/>
  <c r="S259" i="9"/>
  <c r="H254" i="8"/>
  <c r="P254" i="8"/>
  <c r="Q258" i="8"/>
  <c r="M258" i="8"/>
  <c r="E256" i="8"/>
  <c r="S255" i="8"/>
  <c r="P255" i="8" s="1"/>
  <c r="T254" i="8"/>
  <c r="L254" i="8"/>
  <c r="I256" i="8"/>
  <c r="E255" i="7"/>
  <c r="M257" i="7"/>
  <c r="T253" i="7"/>
  <c r="P253" i="7"/>
  <c r="L253" i="7"/>
  <c r="I255" i="7"/>
  <c r="S254" i="7"/>
  <c r="H253" i="7"/>
  <c r="Q258" i="7"/>
  <c r="Q257" i="5"/>
  <c r="T253" i="5"/>
  <c r="P253" i="5"/>
  <c r="L253" i="5"/>
  <c r="H253" i="5"/>
  <c r="T252" i="5"/>
  <c r="P252" i="5"/>
  <c r="L252" i="5"/>
  <c r="H252" i="5"/>
  <c r="D252" i="5"/>
  <c r="M256" i="5"/>
  <c r="D253" i="5"/>
  <c r="E255" i="5"/>
  <c r="W255" i="5" s="1"/>
  <c r="X255" i="5" s="1"/>
  <c r="I256" i="5"/>
  <c r="AE255" i="4"/>
  <c r="AF255" i="4"/>
  <c r="T255" i="4"/>
  <c r="L255" i="4"/>
  <c r="D255" i="4"/>
  <c r="AB255" i="4"/>
  <c r="P255" i="4"/>
  <c r="U258" i="4"/>
  <c r="Y256" i="4"/>
  <c r="X255" i="4"/>
  <c r="Q257" i="4"/>
  <c r="E257" i="4"/>
  <c r="AC257" i="4"/>
  <c r="H255" i="4"/>
  <c r="I256" i="4"/>
  <c r="AF254" i="4"/>
  <c r="T254" i="4"/>
  <c r="AB254" i="4"/>
  <c r="P254" i="4"/>
  <c r="L254" i="4"/>
  <c r="D254" i="4"/>
  <c r="X254" i="4"/>
  <c r="M257" i="4"/>
  <c r="X249" i="2"/>
  <c r="P243" i="1"/>
  <c r="L243" i="1"/>
  <c r="D243" i="1"/>
  <c r="I245" i="1"/>
  <c r="S244" i="1"/>
  <c r="H244" i="1" s="1"/>
  <c r="E249" i="1"/>
  <c r="T260" i="9" l="1"/>
  <c r="P260" i="9"/>
  <c r="T259" i="9"/>
  <c r="P259" i="9"/>
  <c r="Q262" i="9"/>
  <c r="I261" i="9"/>
  <c r="H260" i="9"/>
  <c r="H259" i="9"/>
  <c r="D259" i="9"/>
  <c r="L260" i="9"/>
  <c r="M261" i="9"/>
  <c r="E261" i="9"/>
  <c r="D260" i="9"/>
  <c r="L259" i="9"/>
  <c r="H255" i="8"/>
  <c r="Q259" i="8"/>
  <c r="I257" i="8"/>
  <c r="S256" i="8"/>
  <c r="P256" i="8" s="1"/>
  <c r="T255" i="8"/>
  <c r="L255" i="8"/>
  <c r="E257" i="8"/>
  <c r="D255" i="8"/>
  <c r="M259" i="8"/>
  <c r="I256" i="7"/>
  <c r="S255" i="7"/>
  <c r="T254" i="7"/>
  <c r="P254" i="7"/>
  <c r="L254" i="7"/>
  <c r="H254" i="7"/>
  <c r="M258" i="7"/>
  <c r="Q259" i="7"/>
  <c r="D254" i="7"/>
  <c r="E256" i="7"/>
  <c r="D255" i="7"/>
  <c r="M257" i="5"/>
  <c r="T254" i="5"/>
  <c r="P254" i="5"/>
  <c r="H254" i="5"/>
  <c r="L254" i="5"/>
  <c r="I257" i="5"/>
  <c r="D254" i="5"/>
  <c r="E256" i="5"/>
  <c r="W256" i="5" s="1"/>
  <c r="X256" i="5" s="1"/>
  <c r="Q258" i="5"/>
  <c r="I257" i="4"/>
  <c r="Y257" i="4"/>
  <c r="Q258" i="4"/>
  <c r="U259" i="4"/>
  <c r="AC258" i="4"/>
  <c r="M258" i="4"/>
  <c r="E258" i="4"/>
  <c r="AE256" i="4"/>
  <c r="X250" i="2"/>
  <c r="D244" i="1"/>
  <c r="P244" i="1"/>
  <c r="L244" i="1"/>
  <c r="I246" i="1"/>
  <c r="S245" i="1"/>
  <c r="H245" i="1" s="1"/>
  <c r="E250" i="1"/>
  <c r="S261" i="9" l="1"/>
  <c r="T261" i="9" s="1"/>
  <c r="Q263" i="9"/>
  <c r="H261" i="9"/>
  <c r="I262" i="9"/>
  <c r="E262" i="9"/>
  <c r="D261" i="9"/>
  <c r="L261" i="9"/>
  <c r="M262" i="9"/>
  <c r="D256" i="8"/>
  <c r="Q260" i="8"/>
  <c r="M260" i="8"/>
  <c r="S257" i="8"/>
  <c r="E258" i="8"/>
  <c r="T256" i="8"/>
  <c r="L256" i="8"/>
  <c r="I258" i="8"/>
  <c r="H256" i="8"/>
  <c r="Q260" i="7"/>
  <c r="M259" i="7"/>
  <c r="T255" i="7"/>
  <c r="P255" i="7"/>
  <c r="L255" i="7"/>
  <c r="E257" i="7"/>
  <c r="I257" i="7"/>
  <c r="S256" i="7"/>
  <c r="H256" i="7" s="1"/>
  <c r="H255" i="7"/>
  <c r="Q259" i="5"/>
  <c r="I258" i="5"/>
  <c r="E257" i="5"/>
  <c r="W257" i="5" s="1"/>
  <c r="X257" i="5" s="1"/>
  <c r="D256" i="5"/>
  <c r="M258" i="5"/>
  <c r="AE257" i="4"/>
  <c r="L257" i="4" s="1"/>
  <c r="U260" i="4"/>
  <c r="AC259" i="4"/>
  <c r="Q259" i="4"/>
  <c r="AF256" i="4"/>
  <c r="T256" i="4"/>
  <c r="D256" i="4"/>
  <c r="L256" i="4"/>
  <c r="AB256" i="4"/>
  <c r="P256" i="4"/>
  <c r="X256" i="4"/>
  <c r="Y258" i="4"/>
  <c r="E259" i="4"/>
  <c r="H256" i="4"/>
  <c r="M259" i="4"/>
  <c r="I258" i="4"/>
  <c r="X251" i="2"/>
  <c r="D245" i="1"/>
  <c r="P245" i="1"/>
  <c r="L245" i="1"/>
  <c r="I247" i="1"/>
  <c r="S246" i="1"/>
  <c r="H246" i="1" s="1"/>
  <c r="E251" i="1"/>
  <c r="P261" i="9" l="1"/>
  <c r="I263" i="9"/>
  <c r="M263" i="9"/>
  <c r="E263" i="9"/>
  <c r="S262" i="9"/>
  <c r="L262" i="9" s="1"/>
  <c r="S263" i="9"/>
  <c r="T263" i="9" s="1"/>
  <c r="P263" i="9"/>
  <c r="Q264" i="9"/>
  <c r="D257" i="8"/>
  <c r="P257" i="8"/>
  <c r="Q261" i="8"/>
  <c r="H257" i="8"/>
  <c r="I259" i="8"/>
  <c r="S258" i="8"/>
  <c r="E259" i="8"/>
  <c r="M261" i="8"/>
  <c r="T257" i="8"/>
  <c r="L257" i="8"/>
  <c r="D256" i="7"/>
  <c r="I258" i="7"/>
  <c r="S257" i="7"/>
  <c r="D257" i="7" s="1"/>
  <c r="E258" i="7"/>
  <c r="M260" i="7"/>
  <c r="T256" i="7"/>
  <c r="P256" i="7"/>
  <c r="L256" i="7"/>
  <c r="Q261" i="7"/>
  <c r="M259" i="5"/>
  <c r="T256" i="5"/>
  <c r="P256" i="5"/>
  <c r="H256" i="5"/>
  <c r="L256" i="5"/>
  <c r="E258" i="5"/>
  <c r="W258" i="5" s="1"/>
  <c r="X258" i="5" s="1"/>
  <c r="T255" i="5"/>
  <c r="P255" i="5"/>
  <c r="H255" i="5"/>
  <c r="L255" i="5"/>
  <c r="D255" i="5"/>
  <c r="I259" i="5"/>
  <c r="Q260" i="5"/>
  <c r="P257" i="4"/>
  <c r="H257" i="4"/>
  <c r="X257" i="4"/>
  <c r="T257" i="4"/>
  <c r="AF257" i="4"/>
  <c r="D257" i="4"/>
  <c r="AB257" i="4"/>
  <c r="AE258" i="4"/>
  <c r="D258" i="4" s="1"/>
  <c r="M260" i="4"/>
  <c r="Q260" i="4"/>
  <c r="AC260" i="4"/>
  <c r="E260" i="4"/>
  <c r="Y259" i="4"/>
  <c r="I259" i="4"/>
  <c r="U261" i="4"/>
  <c r="X252" i="2"/>
  <c r="D246" i="1"/>
  <c r="P246" i="1"/>
  <c r="L246" i="1"/>
  <c r="I248" i="1"/>
  <c r="S247" i="1"/>
  <c r="H247" i="1"/>
  <c r="E252" i="1"/>
  <c r="Q265" i="9" l="1"/>
  <c r="D263" i="9"/>
  <c r="E264" i="9"/>
  <c r="D262" i="9"/>
  <c r="M264" i="9"/>
  <c r="L263" i="9"/>
  <c r="T262" i="9"/>
  <c r="P262" i="9"/>
  <c r="H263" i="9"/>
  <c r="I264" i="9"/>
  <c r="H262" i="9"/>
  <c r="D258" i="8"/>
  <c r="P258" i="8"/>
  <c r="Q262" i="8"/>
  <c r="T258" i="8"/>
  <c r="L258" i="8"/>
  <c r="S259" i="8"/>
  <c r="P259" i="8" s="1"/>
  <c r="H258" i="8"/>
  <c r="M262" i="8"/>
  <c r="I260" i="8"/>
  <c r="E260" i="8"/>
  <c r="Q262" i="7"/>
  <c r="M261" i="7"/>
  <c r="E259" i="7"/>
  <c r="T257" i="7"/>
  <c r="P257" i="7"/>
  <c r="L257" i="7"/>
  <c r="I259" i="7"/>
  <c r="S258" i="7"/>
  <c r="D258" i="7" s="1"/>
  <c r="H257" i="7"/>
  <c r="T257" i="5"/>
  <c r="P257" i="5"/>
  <c r="H257" i="5"/>
  <c r="L257" i="5"/>
  <c r="D257" i="5"/>
  <c r="Q261" i="5"/>
  <c r="I260" i="5"/>
  <c r="E259" i="5"/>
  <c r="W259" i="5" s="1"/>
  <c r="X259" i="5" s="1"/>
  <c r="M260" i="5"/>
  <c r="L258" i="4"/>
  <c r="H258" i="4"/>
  <c r="X258" i="4"/>
  <c r="P258" i="4"/>
  <c r="T258" i="4"/>
  <c r="AF258" i="4"/>
  <c r="AB258" i="4"/>
  <c r="U262" i="4"/>
  <c r="E261" i="4"/>
  <c r="AC261" i="4"/>
  <c r="I260" i="4"/>
  <c r="AE259" i="4"/>
  <c r="H259" i="4" s="1"/>
  <c r="Q261" i="4"/>
  <c r="M261" i="4"/>
  <c r="Y260" i="4"/>
  <c r="X253" i="2"/>
  <c r="D247" i="1"/>
  <c r="P247" i="1"/>
  <c r="L247" i="1"/>
  <c r="I249" i="1"/>
  <c r="S248" i="1"/>
  <c r="H248" i="1" s="1"/>
  <c r="E253" i="1"/>
  <c r="E265" i="9" l="1"/>
  <c r="I265" i="9"/>
  <c r="S264" i="9"/>
  <c r="L264" i="9"/>
  <c r="M265" i="9"/>
  <c r="Q266" i="9"/>
  <c r="S265" i="9"/>
  <c r="T265" i="9" s="1"/>
  <c r="D259" i="8"/>
  <c r="H259" i="8"/>
  <c r="Q263" i="8"/>
  <c r="S260" i="8"/>
  <c r="D260" i="8" s="1"/>
  <c r="I261" i="8"/>
  <c r="T259" i="8"/>
  <c r="L259" i="8"/>
  <c r="M263" i="8"/>
  <c r="E261" i="8"/>
  <c r="H258" i="7"/>
  <c r="I260" i="7"/>
  <c r="S259" i="7"/>
  <c r="D259" i="7" s="1"/>
  <c r="E260" i="7"/>
  <c r="M262" i="7"/>
  <c r="T258" i="7"/>
  <c r="P258" i="7"/>
  <c r="L258" i="7"/>
  <c r="Q263" i="7"/>
  <c r="M261" i="5"/>
  <c r="I261" i="5"/>
  <c r="E260" i="5"/>
  <c r="W260" i="5" s="1"/>
  <c r="X260" i="5" s="1"/>
  <c r="Q262" i="5"/>
  <c r="AE260" i="4"/>
  <c r="AB260" i="4" s="1"/>
  <c r="Q262" i="4"/>
  <c r="AF259" i="4"/>
  <c r="T259" i="4"/>
  <c r="L259" i="4"/>
  <c r="P259" i="4"/>
  <c r="AB259" i="4"/>
  <c r="D259" i="4"/>
  <c r="I261" i="4"/>
  <c r="AC262" i="4"/>
  <c r="Y261" i="4"/>
  <c r="E262" i="4"/>
  <c r="X259" i="4"/>
  <c r="M262" i="4"/>
  <c r="U263" i="4"/>
  <c r="X254" i="2"/>
  <c r="D248" i="1"/>
  <c r="L248" i="1"/>
  <c r="P248" i="1"/>
  <c r="I250" i="1"/>
  <c r="S249" i="1"/>
  <c r="H249" i="1" s="1"/>
  <c r="E254" i="1"/>
  <c r="M266" i="9" l="1"/>
  <c r="L265" i="9"/>
  <c r="P265" i="9"/>
  <c r="T264" i="9"/>
  <c r="P264" i="9"/>
  <c r="Q267" i="9"/>
  <c r="H264" i="9"/>
  <c r="I266" i="9"/>
  <c r="H265" i="9"/>
  <c r="D265" i="9"/>
  <c r="E266" i="9"/>
  <c r="D264" i="9"/>
  <c r="H260" i="8"/>
  <c r="P260" i="8"/>
  <c r="Q264" i="8"/>
  <c r="E262" i="8"/>
  <c r="I262" i="8"/>
  <c r="M264" i="8"/>
  <c r="S261" i="8"/>
  <c r="T260" i="8"/>
  <c r="L260" i="8"/>
  <c r="Q264" i="7"/>
  <c r="M263" i="7"/>
  <c r="E261" i="7"/>
  <c r="T259" i="7"/>
  <c r="P259" i="7"/>
  <c r="L259" i="7"/>
  <c r="I261" i="7"/>
  <c r="S260" i="7"/>
  <c r="D260" i="7" s="1"/>
  <c r="H259" i="7"/>
  <c r="T259" i="5"/>
  <c r="P259" i="5"/>
  <c r="L259" i="5"/>
  <c r="H259" i="5"/>
  <c r="D259" i="5"/>
  <c r="M262" i="5"/>
  <c r="Q263" i="5"/>
  <c r="E261" i="5"/>
  <c r="W261" i="5" s="1"/>
  <c r="X261" i="5" s="1"/>
  <c r="I262" i="5"/>
  <c r="T258" i="5"/>
  <c r="P258" i="5"/>
  <c r="H258" i="5"/>
  <c r="L258" i="5"/>
  <c r="D258" i="5"/>
  <c r="H260" i="4"/>
  <c r="L260" i="4"/>
  <c r="D260" i="4"/>
  <c r="X260" i="4"/>
  <c r="P260" i="4"/>
  <c r="T260" i="4"/>
  <c r="AF260" i="4"/>
  <c r="E263" i="4"/>
  <c r="Y262" i="4"/>
  <c r="AC263" i="4"/>
  <c r="U264" i="4"/>
  <c r="Q263" i="4"/>
  <c r="AE261" i="4"/>
  <c r="M263" i="4"/>
  <c r="I262" i="4"/>
  <c r="X255" i="2"/>
  <c r="D249" i="1"/>
  <c r="L249" i="1"/>
  <c r="P249" i="1"/>
  <c r="I251" i="1"/>
  <c r="S250" i="1"/>
  <c r="H250" i="1" s="1"/>
  <c r="E255" i="1"/>
  <c r="S266" i="9" l="1"/>
  <c r="T266" i="9"/>
  <c r="P266" i="9"/>
  <c r="Q268" i="9"/>
  <c r="H266" i="9"/>
  <c r="I267" i="9"/>
  <c r="D266" i="9"/>
  <c r="E267" i="9"/>
  <c r="M267" i="9"/>
  <c r="L266" i="9"/>
  <c r="H261" i="8"/>
  <c r="P261" i="8"/>
  <c r="Q265" i="8"/>
  <c r="M265" i="8"/>
  <c r="T261" i="8"/>
  <c r="L261" i="8"/>
  <c r="I263" i="8"/>
  <c r="D261" i="8"/>
  <c r="S262" i="8"/>
  <c r="E263" i="8"/>
  <c r="H260" i="7"/>
  <c r="I262" i="7"/>
  <c r="S261" i="7"/>
  <c r="D261" i="7" s="1"/>
  <c r="E262" i="7"/>
  <c r="M264" i="7"/>
  <c r="Q265" i="7"/>
  <c r="T260" i="7"/>
  <c r="P260" i="7"/>
  <c r="L260" i="7"/>
  <c r="M263" i="5"/>
  <c r="E262" i="5"/>
  <c r="W262" i="5" s="1"/>
  <c r="X262" i="5" s="1"/>
  <c r="Q264" i="5"/>
  <c r="I263" i="5"/>
  <c r="AE262" i="4"/>
  <c r="AF262" i="4" s="1"/>
  <c r="Q264" i="4"/>
  <c r="U265" i="4"/>
  <c r="AF261" i="4"/>
  <c r="T261" i="4"/>
  <c r="P261" i="4"/>
  <c r="L261" i="4"/>
  <c r="AB261" i="4"/>
  <c r="D261" i="4"/>
  <c r="AC264" i="4"/>
  <c r="H261" i="4"/>
  <c r="X261" i="4"/>
  <c r="I263" i="4"/>
  <c r="Y263" i="4"/>
  <c r="M264" i="4"/>
  <c r="E264" i="4"/>
  <c r="X256" i="2"/>
  <c r="D250" i="1"/>
  <c r="L250" i="1"/>
  <c r="P250" i="1"/>
  <c r="I252" i="1"/>
  <c r="S251" i="1"/>
  <c r="H251" i="1" s="1"/>
  <c r="E256" i="1"/>
  <c r="S267" i="9" l="1"/>
  <c r="T267" i="9" s="1"/>
  <c r="I268" i="9"/>
  <c r="H267" i="9"/>
  <c r="Q269" i="9"/>
  <c r="M268" i="9"/>
  <c r="L267" i="9"/>
  <c r="D267" i="9"/>
  <c r="E268" i="9"/>
  <c r="S268" i="9" s="1"/>
  <c r="H262" i="8"/>
  <c r="P262" i="8"/>
  <c r="Q266" i="8"/>
  <c r="E264" i="8"/>
  <c r="I264" i="8"/>
  <c r="T262" i="8"/>
  <c r="L262" i="8"/>
  <c r="M266" i="8"/>
  <c r="S263" i="8"/>
  <c r="P263" i="8" s="1"/>
  <c r="D262" i="8"/>
  <c r="Q266" i="7"/>
  <c r="M265" i="7"/>
  <c r="E263" i="7"/>
  <c r="T261" i="7"/>
  <c r="P261" i="7"/>
  <c r="L261" i="7"/>
  <c r="H261" i="7"/>
  <c r="I263" i="7"/>
  <c r="S262" i="7"/>
  <c r="D262" i="7" s="1"/>
  <c r="I264" i="5"/>
  <c r="T260" i="5"/>
  <c r="P260" i="5"/>
  <c r="H260" i="5"/>
  <c r="L260" i="5"/>
  <c r="D260" i="5"/>
  <c r="Q265" i="5"/>
  <c r="E263" i="5"/>
  <c r="W263" i="5" s="1"/>
  <c r="X263" i="5" s="1"/>
  <c r="D262" i="5"/>
  <c r="M264" i="5"/>
  <c r="T261" i="5"/>
  <c r="P261" i="5"/>
  <c r="L261" i="5"/>
  <c r="H261" i="5"/>
  <c r="D261" i="5"/>
  <c r="AB262" i="4"/>
  <c r="P262" i="4"/>
  <c r="D262" i="4"/>
  <c r="L262" i="4"/>
  <c r="X262" i="4"/>
  <c r="H262" i="4"/>
  <c r="T262" i="4"/>
  <c r="Y264" i="4"/>
  <c r="U266" i="4"/>
  <c r="E265" i="4"/>
  <c r="Q265" i="4"/>
  <c r="I264" i="4"/>
  <c r="AC265" i="4"/>
  <c r="AE263" i="4"/>
  <c r="H263" i="4" s="1"/>
  <c r="M265" i="4"/>
  <c r="X257" i="2"/>
  <c r="P251" i="1"/>
  <c r="L251" i="1"/>
  <c r="D251" i="1"/>
  <c r="I253" i="1"/>
  <c r="S252" i="1"/>
  <c r="H252" i="1" s="1"/>
  <c r="E257" i="1"/>
  <c r="P267" i="9" l="1"/>
  <c r="T268" i="9"/>
  <c r="P268" i="9"/>
  <c r="Q270" i="9"/>
  <c r="D268" i="9"/>
  <c r="E269" i="9"/>
  <c r="L268" i="9"/>
  <c r="M269" i="9"/>
  <c r="I269" i="9"/>
  <c r="H268" i="9"/>
  <c r="Q267" i="8"/>
  <c r="T263" i="8"/>
  <c r="L263" i="8"/>
  <c r="S264" i="8"/>
  <c r="D264" i="8" s="1"/>
  <c r="I265" i="8"/>
  <c r="H263" i="8"/>
  <c r="D263" i="8"/>
  <c r="M267" i="8"/>
  <c r="E265" i="8"/>
  <c r="I264" i="7"/>
  <c r="S263" i="7"/>
  <c r="D263" i="7" s="1"/>
  <c r="E264" i="7"/>
  <c r="M266" i="7"/>
  <c r="T262" i="7"/>
  <c r="P262" i="7"/>
  <c r="L262" i="7"/>
  <c r="H262" i="7"/>
  <c r="Q267" i="7"/>
  <c r="T262" i="5"/>
  <c r="P262" i="5"/>
  <c r="L262" i="5"/>
  <c r="H262" i="5"/>
  <c r="E264" i="5"/>
  <c r="W264" i="5" s="1"/>
  <c r="X264" i="5" s="1"/>
  <c r="M265" i="5"/>
  <c r="Q266" i="5"/>
  <c r="I265" i="5"/>
  <c r="AC266" i="4"/>
  <c r="I265" i="4"/>
  <c r="Q266" i="4"/>
  <c r="E266" i="4"/>
  <c r="AE264" i="4"/>
  <c r="M266" i="4"/>
  <c r="U267" i="4"/>
  <c r="AF263" i="4"/>
  <c r="T263" i="4"/>
  <c r="L263" i="4"/>
  <c r="P263" i="4"/>
  <c r="D263" i="4"/>
  <c r="AB263" i="4"/>
  <c r="X263" i="4"/>
  <c r="Y265" i="4"/>
  <c r="X258" i="2"/>
  <c r="L252" i="1"/>
  <c r="P252" i="1"/>
  <c r="D252" i="1"/>
  <c r="I254" i="1"/>
  <c r="S253" i="1"/>
  <c r="H253" i="1" s="1"/>
  <c r="E258" i="1"/>
  <c r="E270" i="9" l="1"/>
  <c r="S269" i="9"/>
  <c r="L269" i="9" s="1"/>
  <c r="M270" i="9"/>
  <c r="Q271" i="9"/>
  <c r="H269" i="9"/>
  <c r="I270" i="9"/>
  <c r="S270" i="9" s="1"/>
  <c r="H264" i="8"/>
  <c r="P264" i="8"/>
  <c r="Q268" i="8"/>
  <c r="M268" i="8"/>
  <c r="T264" i="8"/>
  <c r="L264" i="8"/>
  <c r="I266" i="8"/>
  <c r="S265" i="8"/>
  <c r="D265" i="8" s="1"/>
  <c r="E266" i="8"/>
  <c r="M267" i="7"/>
  <c r="E265" i="7"/>
  <c r="T263" i="7"/>
  <c r="P263" i="7"/>
  <c r="L263" i="7"/>
  <c r="Q268" i="7"/>
  <c r="I265" i="7"/>
  <c r="S264" i="7"/>
  <c r="D264" i="7" s="1"/>
  <c r="H263" i="7"/>
  <c r="M266" i="5"/>
  <c r="E265" i="5"/>
  <c r="W265" i="5" s="1"/>
  <c r="X265" i="5" s="1"/>
  <c r="I266" i="5"/>
  <c r="Q267" i="5"/>
  <c r="AF264" i="4"/>
  <c r="T264" i="4"/>
  <c r="AB264" i="4"/>
  <c r="L264" i="4"/>
  <c r="D264" i="4"/>
  <c r="P264" i="4"/>
  <c r="Y266" i="4"/>
  <c r="E267" i="4"/>
  <c r="X264" i="4"/>
  <c r="M267" i="4"/>
  <c r="AE265" i="4"/>
  <c r="H265" i="4" s="1"/>
  <c r="Q267" i="4"/>
  <c r="I266" i="4"/>
  <c r="H264" i="4"/>
  <c r="AC267" i="4"/>
  <c r="U268" i="4"/>
  <c r="X259" i="2"/>
  <c r="D253" i="1"/>
  <c r="P253" i="1"/>
  <c r="L253" i="1"/>
  <c r="I255" i="1"/>
  <c r="S254" i="1"/>
  <c r="H254" i="1" s="1"/>
  <c r="E259" i="1"/>
  <c r="T270" i="9" l="1"/>
  <c r="P270" i="9"/>
  <c r="Q272" i="9"/>
  <c r="L270" i="9"/>
  <c r="M271" i="9"/>
  <c r="H270" i="9"/>
  <c r="I271" i="9"/>
  <c r="T269" i="9"/>
  <c r="P269" i="9"/>
  <c r="D269" i="9"/>
  <c r="D270" i="9"/>
  <c r="E271" i="9"/>
  <c r="H265" i="8"/>
  <c r="P265" i="8"/>
  <c r="Q269" i="8"/>
  <c r="I267" i="8"/>
  <c r="T265" i="8"/>
  <c r="L265" i="8"/>
  <c r="E267" i="8"/>
  <c r="S266" i="8"/>
  <c r="P266" i="8" s="1"/>
  <c r="M269" i="8"/>
  <c r="H264" i="7"/>
  <c r="I266" i="7"/>
  <c r="S265" i="7"/>
  <c r="D265" i="7" s="1"/>
  <c r="Q269" i="7"/>
  <c r="E266" i="7"/>
  <c r="M268" i="7"/>
  <c r="T264" i="7"/>
  <c r="P264" i="7"/>
  <c r="L264" i="7"/>
  <c r="I267" i="5"/>
  <c r="T264" i="5"/>
  <c r="P264" i="5"/>
  <c r="H264" i="5"/>
  <c r="L264" i="5"/>
  <c r="T263" i="5"/>
  <c r="P263" i="5"/>
  <c r="L263" i="5"/>
  <c r="H263" i="5"/>
  <c r="D263" i="5"/>
  <c r="E266" i="5"/>
  <c r="W266" i="5" s="1"/>
  <c r="X266" i="5" s="1"/>
  <c r="D265" i="5"/>
  <c r="Q268" i="5"/>
  <c r="D264" i="5"/>
  <c r="M267" i="5"/>
  <c r="X265" i="4"/>
  <c r="U269" i="4"/>
  <c r="E268" i="4"/>
  <c r="AC268" i="4"/>
  <c r="Y267" i="4"/>
  <c r="I267" i="4"/>
  <c r="AE266" i="4"/>
  <c r="X266" i="4" s="1"/>
  <c r="Q268" i="4"/>
  <c r="AF265" i="4"/>
  <c r="T265" i="4"/>
  <c r="AB265" i="4"/>
  <c r="P265" i="4"/>
  <c r="D265" i="4"/>
  <c r="L265" i="4"/>
  <c r="M268" i="4"/>
  <c r="X260" i="2"/>
  <c r="D254" i="1"/>
  <c r="P254" i="1"/>
  <c r="L254" i="1"/>
  <c r="I256" i="1"/>
  <c r="S255" i="1"/>
  <c r="H255" i="1" s="1"/>
  <c r="E260" i="1"/>
  <c r="M272" i="9" l="1"/>
  <c r="I272" i="9"/>
  <c r="S271" i="9"/>
  <c r="Q273" i="9"/>
  <c r="E272" i="9"/>
  <c r="S272" i="9" s="1"/>
  <c r="D271" i="9"/>
  <c r="Q270" i="8"/>
  <c r="T266" i="8"/>
  <c r="L266" i="8"/>
  <c r="S267" i="8"/>
  <c r="P267" i="8" s="1"/>
  <c r="E268" i="8"/>
  <c r="D266" i="8"/>
  <c r="M270" i="8"/>
  <c r="H266" i="8"/>
  <c r="I268" i="8"/>
  <c r="M269" i="7"/>
  <c r="E267" i="7"/>
  <c r="Q270" i="7"/>
  <c r="T265" i="7"/>
  <c r="P265" i="7"/>
  <c r="L265" i="7"/>
  <c r="I267" i="7"/>
  <c r="S266" i="7"/>
  <c r="D266" i="7" s="1"/>
  <c r="H265" i="7"/>
  <c r="T265" i="5"/>
  <c r="P265" i="5"/>
  <c r="L265" i="5"/>
  <c r="H265" i="5"/>
  <c r="E267" i="5"/>
  <c r="W267" i="5" s="1"/>
  <c r="X267" i="5" s="1"/>
  <c r="M268" i="5"/>
  <c r="Q269" i="5"/>
  <c r="I268" i="5"/>
  <c r="AE267" i="4"/>
  <c r="AF267" i="4" s="1"/>
  <c r="H266" i="4"/>
  <c r="M269" i="4"/>
  <c r="AF266" i="4"/>
  <c r="T266" i="4"/>
  <c r="P266" i="4"/>
  <c r="D266" i="4"/>
  <c r="AB266" i="4"/>
  <c r="L266" i="4"/>
  <c r="I268" i="4"/>
  <c r="Y268" i="4"/>
  <c r="AC269" i="4"/>
  <c r="E269" i="4"/>
  <c r="Q269" i="4"/>
  <c r="U270" i="4"/>
  <c r="X261" i="2"/>
  <c r="D255" i="1"/>
  <c r="P255" i="1"/>
  <c r="L255" i="1"/>
  <c r="I257" i="1"/>
  <c r="S256" i="1"/>
  <c r="H256" i="1" s="1"/>
  <c r="E261" i="1"/>
  <c r="T272" i="9" l="1"/>
  <c r="P272" i="9"/>
  <c r="T271" i="9"/>
  <c r="P271" i="9"/>
  <c r="E273" i="9"/>
  <c r="D272" i="9"/>
  <c r="H271" i="9"/>
  <c r="H272" i="9"/>
  <c r="I273" i="9"/>
  <c r="L271" i="9"/>
  <c r="S273" i="9"/>
  <c r="T273" i="9" s="1"/>
  <c r="Q274" i="9"/>
  <c r="M273" i="9"/>
  <c r="L272" i="9"/>
  <c r="D267" i="8"/>
  <c r="Q271" i="8"/>
  <c r="E269" i="8"/>
  <c r="S268" i="8"/>
  <c r="P268" i="8" s="1"/>
  <c r="T267" i="8"/>
  <c r="L267" i="8"/>
  <c r="I269" i="8"/>
  <c r="M271" i="8"/>
  <c r="H267" i="8"/>
  <c r="H266" i="7"/>
  <c r="I268" i="7"/>
  <c r="S267" i="7"/>
  <c r="D267" i="7" s="1"/>
  <c r="Q271" i="7"/>
  <c r="E268" i="7"/>
  <c r="T266" i="7"/>
  <c r="P266" i="7"/>
  <c r="L266" i="7"/>
  <c r="M270" i="7"/>
  <c r="T266" i="5"/>
  <c r="P266" i="5"/>
  <c r="H266" i="5"/>
  <c r="L266" i="5"/>
  <c r="I269" i="5"/>
  <c r="M269" i="5"/>
  <c r="D266" i="5"/>
  <c r="Q270" i="5"/>
  <c r="E268" i="5"/>
  <c r="W268" i="5" s="1"/>
  <c r="X268" i="5" s="1"/>
  <c r="H267" i="4"/>
  <c r="P267" i="4"/>
  <c r="D267" i="4"/>
  <c r="L267" i="4"/>
  <c r="AB267" i="4"/>
  <c r="X267" i="4"/>
  <c r="T267" i="4"/>
  <c r="AC270" i="4"/>
  <c r="Q270" i="4"/>
  <c r="E270" i="4"/>
  <c r="M270" i="4"/>
  <c r="U271" i="4"/>
  <c r="Y269" i="4"/>
  <c r="AE268" i="4"/>
  <c r="H268" i="4" s="1"/>
  <c r="I269" i="4"/>
  <c r="X262" i="2"/>
  <c r="D256" i="1"/>
  <c r="P256" i="1"/>
  <c r="L256" i="1"/>
  <c r="I258" i="1"/>
  <c r="S257" i="1"/>
  <c r="H257" i="1" s="1"/>
  <c r="E262" i="1"/>
  <c r="D273" i="9" l="1"/>
  <c r="E274" i="9"/>
  <c r="M274" i="9"/>
  <c r="L273" i="9"/>
  <c r="Q275" i="9"/>
  <c r="H273" i="9"/>
  <c r="I274" i="9"/>
  <c r="P273" i="9"/>
  <c r="H268" i="8"/>
  <c r="Q272" i="8"/>
  <c r="S269" i="8"/>
  <c r="P269" i="8" s="1"/>
  <c r="I270" i="8"/>
  <c r="M272" i="8"/>
  <c r="T268" i="8"/>
  <c r="L268" i="8"/>
  <c r="D268" i="8"/>
  <c r="E270" i="8"/>
  <c r="M271" i="7"/>
  <c r="E269" i="7"/>
  <c r="Q272" i="7"/>
  <c r="T267" i="7"/>
  <c r="P267" i="7"/>
  <c r="L267" i="7"/>
  <c r="I269" i="7"/>
  <c r="S268" i="7"/>
  <c r="D268" i="7" s="1"/>
  <c r="H267" i="7"/>
  <c r="E269" i="5"/>
  <c r="W269" i="5" s="1"/>
  <c r="X269" i="5" s="1"/>
  <c r="Q271" i="5"/>
  <c r="M270" i="5"/>
  <c r="I270" i="5"/>
  <c r="AE269" i="4"/>
  <c r="AB269" i="4" s="1"/>
  <c r="X268" i="4"/>
  <c r="M271" i="4"/>
  <c r="E271" i="4"/>
  <c r="U272" i="4"/>
  <c r="Q271" i="4"/>
  <c r="I270" i="4"/>
  <c r="AF268" i="4"/>
  <c r="T268" i="4"/>
  <c r="P268" i="4"/>
  <c r="L268" i="4"/>
  <c r="D268" i="4"/>
  <c r="AB268" i="4"/>
  <c r="AC271" i="4"/>
  <c r="Y270" i="4"/>
  <c r="X263" i="2"/>
  <c r="D257" i="1"/>
  <c r="P257" i="1"/>
  <c r="L257" i="1"/>
  <c r="I259" i="1"/>
  <c r="S258" i="1"/>
  <c r="H258" i="1" s="1"/>
  <c r="E263" i="1"/>
  <c r="S274" i="9" l="1"/>
  <c r="T274" i="9"/>
  <c r="P274" i="9"/>
  <c r="H274" i="9"/>
  <c r="I275" i="9"/>
  <c r="Q276" i="9"/>
  <c r="M275" i="9"/>
  <c r="L274" i="9"/>
  <c r="D274" i="9"/>
  <c r="E275" i="9"/>
  <c r="D269" i="8"/>
  <c r="H269" i="8"/>
  <c r="Q273" i="8"/>
  <c r="M273" i="8"/>
  <c r="I271" i="8"/>
  <c r="T269" i="8"/>
  <c r="L269" i="8"/>
  <c r="S270" i="8"/>
  <c r="E271" i="8"/>
  <c r="H268" i="7"/>
  <c r="I270" i="7"/>
  <c r="S269" i="7"/>
  <c r="D269" i="7" s="1"/>
  <c r="Q273" i="7"/>
  <c r="E270" i="7"/>
  <c r="T268" i="7"/>
  <c r="P268" i="7"/>
  <c r="L268" i="7"/>
  <c r="M272" i="7"/>
  <c r="I271" i="5"/>
  <c r="M271" i="5"/>
  <c r="T267" i="5"/>
  <c r="P267" i="5"/>
  <c r="H267" i="5"/>
  <c r="L267" i="5"/>
  <c r="D267" i="5"/>
  <c r="Q272" i="5"/>
  <c r="E270" i="5"/>
  <c r="W270" i="5" s="1"/>
  <c r="X270" i="5" s="1"/>
  <c r="P269" i="4"/>
  <c r="D269" i="4"/>
  <c r="L269" i="4"/>
  <c r="H269" i="4"/>
  <c r="X269" i="4"/>
  <c r="T269" i="4"/>
  <c r="AF269" i="4"/>
  <c r="AC272" i="4"/>
  <c r="I271" i="4"/>
  <c r="Q272" i="4"/>
  <c r="AE270" i="4"/>
  <c r="X270" i="4" s="1"/>
  <c r="Y271" i="4"/>
  <c r="U273" i="4"/>
  <c r="E272" i="4"/>
  <c r="M272" i="4"/>
  <c r="X264" i="2"/>
  <c r="D258" i="1"/>
  <c r="P258" i="1"/>
  <c r="L258" i="1"/>
  <c r="I260" i="1"/>
  <c r="S259" i="1"/>
  <c r="H259" i="1" s="1"/>
  <c r="E264" i="1"/>
  <c r="E276" i="9" l="1"/>
  <c r="Q277" i="9"/>
  <c r="S275" i="9"/>
  <c r="H275" i="9" s="1"/>
  <c r="I276" i="9"/>
  <c r="L275" i="9"/>
  <c r="M276" i="9"/>
  <c r="H270" i="8"/>
  <c r="P270" i="8"/>
  <c r="Q274" i="8"/>
  <c r="S271" i="8"/>
  <c r="P271" i="8" s="1"/>
  <c r="I272" i="8"/>
  <c r="D270" i="8"/>
  <c r="E272" i="8"/>
  <c r="T270" i="8"/>
  <c r="L270" i="8"/>
  <c r="M274" i="8"/>
  <c r="M273" i="7"/>
  <c r="E271" i="7"/>
  <c r="Q274" i="7"/>
  <c r="T269" i="7"/>
  <c r="P269" i="7"/>
  <c r="L269" i="7"/>
  <c r="H269" i="7"/>
  <c r="I271" i="7"/>
  <c r="S270" i="7"/>
  <c r="D270" i="7" s="1"/>
  <c r="T269" i="5"/>
  <c r="P269" i="5"/>
  <c r="H269" i="5"/>
  <c r="L269" i="5"/>
  <c r="D270" i="5"/>
  <c r="I272" i="5"/>
  <c r="M272" i="5"/>
  <c r="D269" i="5"/>
  <c r="E271" i="5"/>
  <c r="W271" i="5" s="1"/>
  <c r="X271" i="5" s="1"/>
  <c r="T268" i="5"/>
  <c r="P268" i="5"/>
  <c r="H268" i="5"/>
  <c r="L268" i="5"/>
  <c r="D268" i="5"/>
  <c r="Q273" i="5"/>
  <c r="Y272" i="4"/>
  <c r="U274" i="4"/>
  <c r="AF270" i="4"/>
  <c r="T270" i="4"/>
  <c r="L270" i="4"/>
  <c r="D270" i="4"/>
  <c r="AB270" i="4"/>
  <c r="P270" i="4"/>
  <c r="AE271" i="4"/>
  <c r="Q273" i="4"/>
  <c r="M273" i="4"/>
  <c r="H270" i="4"/>
  <c r="I272" i="4"/>
  <c r="E273" i="4"/>
  <c r="AC273" i="4"/>
  <c r="X265" i="2"/>
  <c r="D259" i="1"/>
  <c r="P259" i="1"/>
  <c r="L259" i="1"/>
  <c r="I261" i="1"/>
  <c r="S260" i="1"/>
  <c r="H260" i="1" s="1"/>
  <c r="E265" i="1"/>
  <c r="I277" i="9" l="1"/>
  <c r="T275" i="9"/>
  <c r="P275" i="9"/>
  <c r="M277" i="9"/>
  <c r="Q278" i="9"/>
  <c r="S276" i="9"/>
  <c r="L276" i="9" s="1"/>
  <c r="D275" i="9"/>
  <c r="E277" i="9"/>
  <c r="S277" i="9" s="1"/>
  <c r="H271" i="8"/>
  <c r="D271" i="8"/>
  <c r="Q275" i="8"/>
  <c r="E273" i="8"/>
  <c r="M275" i="8"/>
  <c r="I273" i="8"/>
  <c r="T271" i="8"/>
  <c r="L271" i="8"/>
  <c r="S272" i="8"/>
  <c r="I272" i="7"/>
  <c r="S271" i="7"/>
  <c r="D271" i="7" s="1"/>
  <c r="Q275" i="7"/>
  <c r="E272" i="7"/>
  <c r="T270" i="7"/>
  <c r="P270" i="7"/>
  <c r="L270" i="7"/>
  <c r="M274" i="7"/>
  <c r="H270" i="7"/>
  <c r="M273" i="5"/>
  <c r="Q274" i="5"/>
  <c r="I273" i="5"/>
  <c r="E272" i="5"/>
  <c r="W272" i="5" s="1"/>
  <c r="X272" i="5" s="1"/>
  <c r="T270" i="5"/>
  <c r="P270" i="5"/>
  <c r="H270" i="5"/>
  <c r="L270" i="5"/>
  <c r="AC274" i="4"/>
  <c r="Q274" i="4"/>
  <c r="I273" i="4"/>
  <c r="AF271" i="4"/>
  <c r="T271" i="4"/>
  <c r="AB271" i="4"/>
  <c r="D271" i="4"/>
  <c r="L271" i="4"/>
  <c r="P271" i="4"/>
  <c r="E274" i="4"/>
  <c r="H271" i="4"/>
  <c r="M274" i="4"/>
  <c r="U275" i="4"/>
  <c r="AE272" i="4"/>
  <c r="X272" i="4" s="1"/>
  <c r="Y273" i="4"/>
  <c r="X271" i="4"/>
  <c r="X266" i="2"/>
  <c r="D260" i="1"/>
  <c r="P260" i="1"/>
  <c r="L260" i="1"/>
  <c r="I262" i="1"/>
  <c r="S261" i="1"/>
  <c r="H261" i="1" s="1"/>
  <c r="T277" i="9" l="1"/>
  <c r="P277" i="9"/>
  <c r="L277" i="9"/>
  <c r="M278" i="9"/>
  <c r="T276" i="9"/>
  <c r="P276" i="9"/>
  <c r="E278" i="9"/>
  <c r="D277" i="9"/>
  <c r="H276" i="9"/>
  <c r="D276" i="9"/>
  <c r="I278" i="9"/>
  <c r="H277" i="9"/>
  <c r="H272" i="8"/>
  <c r="P272" i="8"/>
  <c r="Q276" i="8"/>
  <c r="I274" i="8"/>
  <c r="T272" i="8"/>
  <c r="L272" i="8"/>
  <c r="M276" i="8"/>
  <c r="E274" i="8"/>
  <c r="S273" i="8"/>
  <c r="D272" i="8"/>
  <c r="M275" i="7"/>
  <c r="E273" i="7"/>
  <c r="T271" i="7"/>
  <c r="P271" i="7"/>
  <c r="L271" i="7"/>
  <c r="I273" i="7"/>
  <c r="S272" i="7"/>
  <c r="H271" i="7"/>
  <c r="E273" i="5"/>
  <c r="W273" i="5" s="1"/>
  <c r="X273" i="5" s="1"/>
  <c r="I274" i="5"/>
  <c r="Q275" i="5"/>
  <c r="M274" i="5"/>
  <c r="Y274" i="4"/>
  <c r="AF272" i="4"/>
  <c r="T272" i="4"/>
  <c r="P272" i="4"/>
  <c r="L272" i="4"/>
  <c r="D272" i="4"/>
  <c r="AB272" i="4"/>
  <c r="I274" i="4"/>
  <c r="U276" i="4"/>
  <c r="H272" i="4"/>
  <c r="M275" i="4"/>
  <c r="AE273" i="4"/>
  <c r="H273" i="4" s="1"/>
  <c r="Q275" i="4"/>
  <c r="E275" i="4"/>
  <c r="AC275" i="4"/>
  <c r="X267" i="2"/>
  <c r="D261" i="1"/>
  <c r="P261" i="1"/>
  <c r="L261" i="1"/>
  <c r="I263" i="1"/>
  <c r="S262" i="1"/>
  <c r="H262" i="1" s="1"/>
  <c r="S278" i="9" l="1"/>
  <c r="P278" i="9" s="1"/>
  <c r="H278" i="9"/>
  <c r="D273" i="8"/>
  <c r="P273" i="8"/>
  <c r="T273" i="8"/>
  <c r="L273" i="8"/>
  <c r="I275" i="8"/>
  <c r="S274" i="8"/>
  <c r="E275" i="8"/>
  <c r="H273" i="8"/>
  <c r="T272" i="7"/>
  <c r="P272" i="7"/>
  <c r="L272" i="7"/>
  <c r="I274" i="7"/>
  <c r="S273" i="7"/>
  <c r="D273" i="7" s="1"/>
  <c r="H272" i="7"/>
  <c r="E274" i="7"/>
  <c r="D272" i="7"/>
  <c r="T271" i="5"/>
  <c r="P271" i="5"/>
  <c r="L271" i="5"/>
  <c r="H271" i="5"/>
  <c r="D271" i="5"/>
  <c r="T272" i="5"/>
  <c r="P272" i="5"/>
  <c r="H272" i="5"/>
  <c r="L272" i="5"/>
  <c r="D272" i="5"/>
  <c r="M275" i="5"/>
  <c r="I275" i="5"/>
  <c r="E274" i="5"/>
  <c r="W274" i="5" s="1"/>
  <c r="X274" i="5" s="1"/>
  <c r="AE274" i="4"/>
  <c r="AF274" i="4" s="1"/>
  <c r="U277" i="4"/>
  <c r="AC276" i="4"/>
  <c r="E276" i="4"/>
  <c r="I275" i="4"/>
  <c r="Q276" i="4"/>
  <c r="AF273" i="4"/>
  <c r="T273" i="4"/>
  <c r="AB273" i="4"/>
  <c r="D273" i="4"/>
  <c r="P273" i="4"/>
  <c r="L273" i="4"/>
  <c r="M276" i="4"/>
  <c r="X273" i="4"/>
  <c r="Y275" i="4"/>
  <c r="X268" i="2"/>
  <c r="L262" i="1"/>
  <c r="P262" i="1"/>
  <c r="D262" i="1"/>
  <c r="I264" i="1"/>
  <c r="S263" i="1"/>
  <c r="H263" i="1" s="1"/>
  <c r="D278" i="9" l="1"/>
  <c r="L278" i="9"/>
  <c r="T278" i="9"/>
  <c r="D274" i="8"/>
  <c r="P274" i="8"/>
  <c r="S275" i="8"/>
  <c r="P275" i="8" s="1"/>
  <c r="I276" i="8"/>
  <c r="H274" i="8"/>
  <c r="E276" i="8"/>
  <c r="T274" i="8"/>
  <c r="L274" i="8"/>
  <c r="E275" i="7"/>
  <c r="T273" i="7"/>
  <c r="P273" i="7"/>
  <c r="L273" i="7"/>
  <c r="H273" i="7"/>
  <c r="I275" i="7"/>
  <c r="S274" i="7"/>
  <c r="E275" i="5"/>
  <c r="W275" i="5" s="1"/>
  <c r="X275" i="5" s="1"/>
  <c r="D274" i="5"/>
  <c r="H274" i="4"/>
  <c r="X274" i="4"/>
  <c r="P274" i="4"/>
  <c r="AB274" i="4"/>
  <c r="D274" i="4"/>
  <c r="L274" i="4"/>
  <c r="T274" i="4"/>
  <c r="AE275" i="4"/>
  <c r="T275" i="4" s="1"/>
  <c r="E277" i="4"/>
  <c r="AC277" i="4"/>
  <c r="Y276" i="4"/>
  <c r="Q277" i="4"/>
  <c r="M277" i="4"/>
  <c r="I276" i="4"/>
  <c r="X269" i="2"/>
  <c r="L263" i="1"/>
  <c r="P263" i="1"/>
  <c r="D263" i="1"/>
  <c r="I265" i="1"/>
  <c r="S264" i="1"/>
  <c r="H264" i="1" s="1"/>
  <c r="D275" i="8" l="1"/>
  <c r="H275" i="8"/>
  <c r="T275" i="8"/>
  <c r="L275" i="8"/>
  <c r="S276" i="8"/>
  <c r="P276" i="8" s="1"/>
  <c r="T274" i="7"/>
  <c r="P274" i="7"/>
  <c r="L274" i="7"/>
  <c r="H274" i="7"/>
  <c r="S275" i="7"/>
  <c r="D275" i="7" s="1"/>
  <c r="D274" i="7"/>
  <c r="T274" i="5"/>
  <c r="P274" i="5"/>
  <c r="L274" i="5"/>
  <c r="H274" i="5"/>
  <c r="T273" i="5"/>
  <c r="P273" i="5"/>
  <c r="H273" i="5"/>
  <c r="L273" i="5"/>
  <c r="D273" i="5"/>
  <c r="L275" i="4"/>
  <c r="AB275" i="4"/>
  <c r="X275" i="4"/>
  <c r="D275" i="4"/>
  <c r="P275" i="4"/>
  <c r="H275" i="4"/>
  <c r="AF275" i="4"/>
  <c r="Y277" i="4"/>
  <c r="I277" i="4"/>
  <c r="AE276" i="4"/>
  <c r="X270" i="2"/>
  <c r="P264" i="1"/>
  <c r="L264" i="1"/>
  <c r="D264" i="1"/>
  <c r="S265" i="1"/>
  <c r="H265" i="1" s="1"/>
  <c r="T276" i="8" l="1"/>
  <c r="L276" i="8"/>
  <c r="H276" i="8"/>
  <c r="D276" i="8"/>
  <c r="T275" i="7"/>
  <c r="P275" i="7"/>
  <c r="L275" i="7"/>
  <c r="H275" i="7"/>
  <c r="T275" i="5"/>
  <c r="P275" i="5"/>
  <c r="L275" i="5"/>
  <c r="H275" i="5"/>
  <c r="D275" i="5"/>
  <c r="AE277" i="4"/>
  <c r="AB277" i="4" s="1"/>
  <c r="AF276" i="4"/>
  <c r="T276" i="4"/>
  <c r="P276" i="4"/>
  <c r="L276" i="4"/>
  <c r="D276" i="4"/>
  <c r="AB276" i="4"/>
  <c r="H276" i="4"/>
  <c r="X276" i="4"/>
  <c r="X271" i="2"/>
  <c r="P265" i="1"/>
  <c r="L265" i="1"/>
  <c r="D265" i="1"/>
  <c r="L277" i="4" l="1"/>
  <c r="AF277" i="4"/>
  <c r="X277" i="4"/>
  <c r="H277" i="4"/>
  <c r="P277" i="4"/>
  <c r="T277" i="4"/>
  <c r="D277" i="4"/>
  <c r="X272" i="2"/>
  <c r="X27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<sst xmlns="http://schemas.openxmlformats.org/spreadsheetml/2006/main" count="2668" uniqueCount="419">
  <si>
    <t xml:space="preserve">  PASSIVA  </t>
  </si>
  <si>
    <t>Tese: Harry Browne (1981) — 4 regimes econômicos, 1 portfólio para todos</t>
  </si>
  <si>
    <t>COMPOSIÇÃO ALVO</t>
  </si>
  <si>
    <t>ATIVO</t>
  </si>
  <si>
    <t>PESO ALVO</t>
  </si>
  <si>
    <t>MÍN</t>
  </si>
  <si>
    <t>MÁX</t>
  </si>
  <si>
    <t>TICKER / ETF REF.</t>
  </si>
  <si>
    <t>S&amp;P 500 (Ações)</t>
  </si>
  <si>
    <t>IVVB11 / ^GSPC</t>
  </si>
  <si>
    <t>Ouro (Inflação)</t>
  </si>
  <si>
    <t>GOLD11 / GLD</t>
  </si>
  <si>
    <t>T-Bond 30a (Deflação)</t>
  </si>
  <si>
    <t>TLT / Simular via juros EUA</t>
  </si>
  <si>
    <t>Caixa / RF curta</t>
  </si>
  <si>
    <t>Tesouro Selic / BIL</t>
  </si>
  <si>
    <t>REGRAS DE REBALANCEAMENTO</t>
  </si>
  <si>
    <t>GATILHO ÚNICO: rebalancear apenas quando algum ativo ultrapassar 35% ou cair abaixo de 15% da carteira.</t>
  </si>
  <si>
    <t>FREQUÊNCIA: verificar apenas 1x por ano (dezembro). Na maioria dos anos não haverá rebalanceamento.</t>
  </si>
  <si>
    <t>APORTE: direcionar 100% do novo aporte ao ativo mais distante do peso alvo.</t>
  </si>
  <si>
    <t>CÂMBIO: usar retornos em BRL (S&amp;P via IVVB11, TLT via cotação USD convertida). Ouro em BRL.</t>
  </si>
  <si>
    <t>T-BOND: para backtest manual, usar retorno do TLT (ETF iShares) em USD + variação USD/BRL.</t>
  </si>
  <si>
    <t>NUNCA fazer market timing. A beleza da estratégia é a indiferença ao cenário macroeconômico.</t>
  </si>
  <si>
    <t>ADAPTAÇÃO BRASIL: substituir 'Caixa' por Tesouro Selic para manter o espírito da estratégia.</t>
  </si>
  <si>
    <t>MÊS</t>
  </si>
  <si>
    <t>Jan/2006</t>
  </si>
  <si>
    <t>Feb/2006</t>
  </si>
  <si>
    <t>Mar/2006</t>
  </si>
  <si>
    <t>Apr/2006</t>
  </si>
  <si>
    <t>May/2006</t>
  </si>
  <si>
    <t>Jun/2006</t>
  </si>
  <si>
    <t>Jul/2006</t>
  </si>
  <si>
    <t>Aug/2006</t>
  </si>
  <si>
    <t>Sep/2006</t>
  </si>
  <si>
    <t>Oct/2006</t>
  </si>
  <si>
    <t>Nov/2006</t>
  </si>
  <si>
    <t>Dec/2006</t>
  </si>
  <si>
    <t>Jan/2007</t>
  </si>
  <si>
    <t>Feb/2007</t>
  </si>
  <si>
    <t>Mar/2007</t>
  </si>
  <si>
    <t>Apr/2007</t>
  </si>
  <si>
    <t>May/2007</t>
  </si>
  <si>
    <t>Jun/2007</t>
  </si>
  <si>
    <t>Jul/2007</t>
  </si>
  <si>
    <t>Aug/2007</t>
  </si>
  <si>
    <t>Sep/2007</t>
  </si>
  <si>
    <t>Oct/2007</t>
  </si>
  <si>
    <t>Nov/2007</t>
  </si>
  <si>
    <t>Dec/2007</t>
  </si>
  <si>
    <t>Jan/2008</t>
  </si>
  <si>
    <t>Feb/2008</t>
  </si>
  <si>
    <t>Mar/2008</t>
  </si>
  <si>
    <t>Apr/2008</t>
  </si>
  <si>
    <t>May/2008</t>
  </si>
  <si>
    <t>Jun/2008</t>
  </si>
  <si>
    <t>Jul/2008</t>
  </si>
  <si>
    <t>Aug/2008</t>
  </si>
  <si>
    <t>Sep/2008</t>
  </si>
  <si>
    <t>Oct/2008</t>
  </si>
  <si>
    <t>Nov/2008</t>
  </si>
  <si>
    <t>Dec/2008</t>
  </si>
  <si>
    <t>Jan/2009</t>
  </si>
  <si>
    <t>Feb/2009</t>
  </si>
  <si>
    <t>Mar/2009</t>
  </si>
  <si>
    <t>Apr/2009</t>
  </si>
  <si>
    <t>May/2009</t>
  </si>
  <si>
    <t>Jun/2009</t>
  </si>
  <si>
    <t>Jul/2009</t>
  </si>
  <si>
    <t>Aug/2009</t>
  </si>
  <si>
    <t>Sep/2009</t>
  </si>
  <si>
    <t>Oct/2009</t>
  </si>
  <si>
    <t>Nov/2009</t>
  </si>
  <si>
    <t>Dec/2009</t>
  </si>
  <si>
    <t>Jan/2010</t>
  </si>
  <si>
    <t>Feb/2010</t>
  </si>
  <si>
    <t>Mar/2010</t>
  </si>
  <si>
    <t>Apr/2010</t>
  </si>
  <si>
    <t>May/2010</t>
  </si>
  <si>
    <t>Jun/2010</t>
  </si>
  <si>
    <t>Jul/2010</t>
  </si>
  <si>
    <t>Aug/2010</t>
  </si>
  <si>
    <t>Sep/2010</t>
  </si>
  <si>
    <t>Oct/2010</t>
  </si>
  <si>
    <t>Nov/2010</t>
  </si>
  <si>
    <t>Dec/2010</t>
  </si>
  <si>
    <t>Jan/2011</t>
  </si>
  <si>
    <t>Feb/2011</t>
  </si>
  <si>
    <t>Mar/2011</t>
  </si>
  <si>
    <t>Apr/2011</t>
  </si>
  <si>
    <t>May/2011</t>
  </si>
  <si>
    <t>Jun/2011</t>
  </si>
  <si>
    <t>Jul/2011</t>
  </si>
  <si>
    <t>Aug/2011</t>
  </si>
  <si>
    <t>Sep/2011</t>
  </si>
  <si>
    <t>Oct/2011</t>
  </si>
  <si>
    <t>Nov/2011</t>
  </si>
  <si>
    <t>Dec/2011</t>
  </si>
  <si>
    <t>Jan/2012</t>
  </si>
  <si>
    <t>Feb/2012</t>
  </si>
  <si>
    <t>Mar/2012</t>
  </si>
  <si>
    <t>Apr/2012</t>
  </si>
  <si>
    <t>May/2012</t>
  </si>
  <si>
    <t>Jun/2012</t>
  </si>
  <si>
    <t>Jul/2012</t>
  </si>
  <si>
    <t>Aug/2012</t>
  </si>
  <si>
    <t>Sep/2012</t>
  </si>
  <si>
    <t>Oct/2012</t>
  </si>
  <si>
    <t>Nov/2012</t>
  </si>
  <si>
    <t>Dec/2012</t>
  </si>
  <si>
    <t>Jan/2013</t>
  </si>
  <si>
    <t>Feb/2013</t>
  </si>
  <si>
    <t>Mar/2013</t>
  </si>
  <si>
    <t>Apr/2013</t>
  </si>
  <si>
    <t>May/2013</t>
  </si>
  <si>
    <t>Jun/2013</t>
  </si>
  <si>
    <t>Jul/2013</t>
  </si>
  <si>
    <t>Aug/2013</t>
  </si>
  <si>
    <t>Sep/2013</t>
  </si>
  <si>
    <t>Oct/2013</t>
  </si>
  <si>
    <t>Nov/2013</t>
  </si>
  <si>
    <t>Dec/2013</t>
  </si>
  <si>
    <t>Jan/2014</t>
  </si>
  <si>
    <t>Feb/2014</t>
  </si>
  <si>
    <t>Mar/2014</t>
  </si>
  <si>
    <t>Apr/2014</t>
  </si>
  <si>
    <t>May/2014</t>
  </si>
  <si>
    <t>Jun/2014</t>
  </si>
  <si>
    <t>Jul/2014</t>
  </si>
  <si>
    <t>Aug/2014</t>
  </si>
  <si>
    <t>Sep/2014</t>
  </si>
  <si>
    <t>Oct/2014</t>
  </si>
  <si>
    <t>Nov/2014</t>
  </si>
  <si>
    <t>Dec/2014</t>
  </si>
  <si>
    <t>Jan/2015</t>
  </si>
  <si>
    <t>Feb/2015</t>
  </si>
  <si>
    <t>Mar/2015</t>
  </si>
  <si>
    <t>Apr/2015</t>
  </si>
  <si>
    <t>May/2015</t>
  </si>
  <si>
    <t>Jun/2015</t>
  </si>
  <si>
    <t>Jul/2015</t>
  </si>
  <si>
    <t>Aug/2015</t>
  </si>
  <si>
    <t>Sep/2015</t>
  </si>
  <si>
    <t>Oct/2015</t>
  </si>
  <si>
    <t>Nov/2015</t>
  </si>
  <si>
    <t>Dec/2015</t>
  </si>
  <si>
    <t>Jan/2016</t>
  </si>
  <si>
    <t>Feb/2016</t>
  </si>
  <si>
    <t>Mar/2016</t>
  </si>
  <si>
    <t>Apr/2016</t>
  </si>
  <si>
    <t>May/2016</t>
  </si>
  <si>
    <t>Jun/2016</t>
  </si>
  <si>
    <t>Jul/2016</t>
  </si>
  <si>
    <t>Aug/2016</t>
  </si>
  <si>
    <t>Sep/2016</t>
  </si>
  <si>
    <t>Oct/2016</t>
  </si>
  <si>
    <t>Nov/2016</t>
  </si>
  <si>
    <t>Dec/2016</t>
  </si>
  <si>
    <t>Jan/2017</t>
  </si>
  <si>
    <t>Feb/2017</t>
  </si>
  <si>
    <t>Mar/2017</t>
  </si>
  <si>
    <t>Apr/2017</t>
  </si>
  <si>
    <t>May/2017</t>
  </si>
  <si>
    <t>Jun/2017</t>
  </si>
  <si>
    <t>Jul/2017</t>
  </si>
  <si>
    <t>Aug/2017</t>
  </si>
  <si>
    <t>Sep/2017</t>
  </si>
  <si>
    <t>Oct/2017</t>
  </si>
  <si>
    <t>Nov/2017</t>
  </si>
  <si>
    <t>Dec/2017</t>
  </si>
  <si>
    <t>Jan/2018</t>
  </si>
  <si>
    <t>Feb/2018</t>
  </si>
  <si>
    <t>Mar/2018</t>
  </si>
  <si>
    <t>Apr/2018</t>
  </si>
  <si>
    <t>May/2018</t>
  </si>
  <si>
    <t>Jun/2018</t>
  </si>
  <si>
    <t>Jul/2018</t>
  </si>
  <si>
    <t>Aug/2018</t>
  </si>
  <si>
    <t>Sep/2018</t>
  </si>
  <si>
    <t>Oct/2018</t>
  </si>
  <si>
    <t>Nov/2018</t>
  </si>
  <si>
    <t>Dec/2018</t>
  </si>
  <si>
    <t>Jan/2019</t>
  </si>
  <si>
    <t>Feb/2019</t>
  </si>
  <si>
    <t>Mar/2019</t>
  </si>
  <si>
    <t>Apr/2019</t>
  </si>
  <si>
    <t>May/2019</t>
  </si>
  <si>
    <t>Jun/2019</t>
  </si>
  <si>
    <t>Jul/2019</t>
  </si>
  <si>
    <t>Aug/2019</t>
  </si>
  <si>
    <t>Sep/2019</t>
  </si>
  <si>
    <t>Oct/2019</t>
  </si>
  <si>
    <t>Nov/2019</t>
  </si>
  <si>
    <t>Dec/2019</t>
  </si>
  <si>
    <t>Jan/2020</t>
  </si>
  <si>
    <t>Feb/2020</t>
  </si>
  <si>
    <t>Mar/2020</t>
  </si>
  <si>
    <t>Apr/2020</t>
  </si>
  <si>
    <t>May/2020</t>
  </si>
  <si>
    <t>Jun/2020</t>
  </si>
  <si>
    <t>Jul/2020</t>
  </si>
  <si>
    <t>Aug/2020</t>
  </si>
  <si>
    <t>Sep/2020</t>
  </si>
  <si>
    <t>Oct/2020</t>
  </si>
  <si>
    <t>Nov/2020</t>
  </si>
  <si>
    <t>Dec/2020</t>
  </si>
  <si>
    <t>Jan/2021</t>
  </si>
  <si>
    <t>Feb/2021</t>
  </si>
  <si>
    <t>Mar/2021</t>
  </si>
  <si>
    <t>Apr/2021</t>
  </si>
  <si>
    <t>May/2021</t>
  </si>
  <si>
    <t>Jun/2021</t>
  </si>
  <si>
    <t>Jul/2021</t>
  </si>
  <si>
    <t>Aug/2021</t>
  </si>
  <si>
    <t>Sep/2021</t>
  </si>
  <si>
    <t>Oct/2021</t>
  </si>
  <si>
    <t>Nov/2021</t>
  </si>
  <si>
    <t>Dec/2021</t>
  </si>
  <si>
    <t>Jan/2022</t>
  </si>
  <si>
    <t>Feb/2022</t>
  </si>
  <si>
    <t>Mar/2022</t>
  </si>
  <si>
    <t>Apr/2022</t>
  </si>
  <si>
    <t>May/2022</t>
  </si>
  <si>
    <t>Jun/2022</t>
  </si>
  <si>
    <t>Jul/2022</t>
  </si>
  <si>
    <t>Aug/2022</t>
  </si>
  <si>
    <t>Sep/2022</t>
  </si>
  <si>
    <t>Oct/2022</t>
  </si>
  <si>
    <t>Nov/2022</t>
  </si>
  <si>
    <t>Dec/2022</t>
  </si>
  <si>
    <t>Jan/2023</t>
  </si>
  <si>
    <t>Feb/2023</t>
  </si>
  <si>
    <t>Mar/2023</t>
  </si>
  <si>
    <t>Apr/2023</t>
  </si>
  <si>
    <t>May/2023</t>
  </si>
  <si>
    <t>Jun/2023</t>
  </si>
  <si>
    <t>Jul/2023</t>
  </si>
  <si>
    <t>Aug/2023</t>
  </si>
  <si>
    <t>Sep/2023</t>
  </si>
  <si>
    <t>Oct/2023</t>
  </si>
  <si>
    <t>Nov/2023</t>
  </si>
  <si>
    <t>Dec/2023</t>
  </si>
  <si>
    <t>Jan/2024</t>
  </si>
  <si>
    <t>Feb/2024</t>
  </si>
  <si>
    <t>Mar/2024</t>
  </si>
  <si>
    <t>Apr/2024</t>
  </si>
  <si>
    <t>May/2024</t>
  </si>
  <si>
    <t>Jun/2024</t>
  </si>
  <si>
    <t>Jul/2024</t>
  </si>
  <si>
    <t>Aug/2024</t>
  </si>
  <si>
    <t>Sep/2024</t>
  </si>
  <si>
    <t>Oct/2024</t>
  </si>
  <si>
    <t>Nov/2024</t>
  </si>
  <si>
    <t>Dec/2024</t>
  </si>
  <si>
    <t>Jan/2025</t>
  </si>
  <si>
    <t>Feb/2025</t>
  </si>
  <si>
    <t>Mar/2025</t>
  </si>
  <si>
    <t>Apr/2025</t>
  </si>
  <si>
    <t>May/2025</t>
  </si>
  <si>
    <t>Jun/2025</t>
  </si>
  <si>
    <t>Jul/2025</t>
  </si>
  <si>
    <t>Aug/2025</t>
  </si>
  <si>
    <t>Sep/2025</t>
  </si>
  <si>
    <t>Oct/2025</t>
  </si>
  <si>
    <t>Nov/2025</t>
  </si>
  <si>
    <t>Dec/2025</t>
  </si>
  <si>
    <t>Jan/2026</t>
  </si>
  <si>
    <t>Feb/2026</t>
  </si>
  <si>
    <t>Mar/2026</t>
  </si>
  <si>
    <t>Apr/2026</t>
  </si>
  <si>
    <t>May/2026</t>
  </si>
  <si>
    <t>S&amp;P 500</t>
  </si>
  <si>
    <t>OURO</t>
  </si>
  <si>
    <t>TOTAL</t>
  </si>
  <si>
    <t>RENDIMENTO</t>
  </si>
  <si>
    <t>% ALOC</t>
  </si>
  <si>
    <t>SALDO</t>
  </si>
  <si>
    <t xml:space="preserve">MOV. </t>
  </si>
  <si>
    <t>-</t>
  </si>
  <si>
    <t>GOLD</t>
  </si>
  <si>
    <t>T-BOND 20 + a</t>
  </si>
  <si>
    <t>INICIO</t>
  </si>
  <si>
    <t>BIL</t>
  </si>
  <si>
    <t>Tese: Ray Dalio / Bridgewater — Risk Parity entre 4 quadrantes econômicos</t>
  </si>
  <si>
    <t>Dalio observou que retornos de ativos dependem de 2 variáveis: crescimento (acima/abaixo do esperado) e inflação (acima/abaixo do esperado). Criou 4 quadrantes e alocou ativos que performam em cada um. A grande diferença para a Permanente: pesos não são iguais — são calibrados por risco (volatilidade), não por capital. Ações têm peso menor porque têm volatilidade muito maior. Resultado: carteira menos volátil que 100% ações com retorno competitivo.</t>
  </si>
  <si>
    <t>S&amp;P 500 (Ações EUA)</t>
  </si>
  <si>
    <t>IVVB11 / IVV</t>
  </si>
  <si>
    <t>T-Bond 30a (Bonds longos)</t>
  </si>
  <si>
    <t>TLT</t>
  </si>
  <si>
    <t>T-Note 10a (Bonds médios)</t>
  </si>
  <si>
    <t>IEF</t>
  </si>
  <si>
    <t>Ouro (Commodities)</t>
  </si>
  <si>
    <t>Commodities diversif.</t>
  </si>
  <si>
    <t>GSG / DJP</t>
  </si>
  <si>
    <t>PRINCÍPIO: cada quadrante econômico deve ter ~25% do RISCO (não do capital) da carteira.</t>
  </si>
  <si>
    <t>GATILHO: rebalancear quando qualquer ativo desviar &gt;5pp do peso alvo.</t>
  </si>
  <si>
    <t>FREQUÊNCIA REVISÃO: trimestral. Rebalanceamento apenas se gatilho ativado.</t>
  </si>
  <si>
    <t>APORTE: direcionar para o ativo com maior desvio negativo.</t>
  </si>
  <si>
    <t>BONDS: T-Bond e T-Note têm correlação negativa com ações — é isso que reduz o drawdown.</t>
  </si>
  <si>
    <t>COMMODITIES: usar GSG (iShares S&amp;P GSCI) ou similar. Para backtest: retorno do índice CRB.</t>
  </si>
  <si>
    <t>ADAPTAÇÃO: em ambiente de juros altos (Brasil 2022-24), considerar reduzir T-Bond e aumentar Ouro.</t>
  </si>
  <si>
    <t>AVISO: All Weather foi criada para USD. Adaptação para BRL perde parte da correlação negativa bonds/ações.</t>
  </si>
  <si>
    <t>T-BOND 20 + a (TLT)</t>
  </si>
  <si>
    <t>T-BOND 7-10 a. (IEF)</t>
  </si>
  <si>
    <t>COMMODITIES (GSG)</t>
  </si>
  <si>
    <t>C3 · MOMENTUM GLOBAL ROTATIVO</t>
  </si>
  <si>
    <t xml:space="preserve">  ATIVA  </t>
  </si>
  <si>
    <t>Tese: Mebane Faber (2007) + AQR — ativos em tendência de alta superam o mercado</t>
  </si>
  <si>
    <t>Faber mostrou em 2007 que uma regra simples — comprar quando o ativo está acima da média móvel de 10 meses, vender quando está abaixo — bate o buy-and-hold com menor drawdown. AQR expandiu com momentum cross-sectional: alocar mais nos ativos com melhor retorno relativo nos últimos 12 meses. Esta carteira combina as duas abordagens: usa 6 ativos, rankeia por retorno dos últimos 6 meses e aloca conforme o ranking.</t>
  </si>
  <si>
    <t>IVVB11</t>
  </si>
  <si>
    <t>Emergentes (EM)</t>
  </si>
  <si>
    <t>EEM / XINA11</t>
  </si>
  <si>
    <t>Small Caps EUA</t>
  </si>
  <si>
    <t>IWM / SMAL11</t>
  </si>
  <si>
    <t>Ouro</t>
  </si>
  <si>
    <t>REITs EUA</t>
  </si>
  <si>
    <t>VNQ</t>
  </si>
  <si>
    <t>T-Bond 30a</t>
  </si>
  <si>
    <t>REGRA CENTRAL: no início de cada trimestre, calcule o retorno acumulado de cada ativo nos últimos 6 meses.</t>
  </si>
  <si>
    <t>RANKING → PESO: 1º=35%, 2º=25%, 3º=18%, 4º=12%, 5º=7%, 6º=3%.</t>
  </si>
  <si>
    <t>EXCEÇÃO OURO: mínimo de 5% independentemente do ranking (seguro anti-caos).</t>
  </si>
  <si>
    <t>FILTRO DE TENDÊNCIA: se ativo está abaixo da média dos últimos 10 meses → máximo 10% nele.</t>
  </si>
  <si>
    <t>EXECUÇÃO: primeiro dia útil de janeiro, abril, julho, outubro.</t>
  </si>
  <si>
    <t>CUSTO: evitar troca se a diferença de peso for &lt;3pp (economiza IR e corretagem).</t>
  </si>
  <si>
    <t>REGISTRO: anotar o retorno 6M e o ranking de cada trimestre para auditoria futura.</t>
  </si>
  <si>
    <t>ATENÇÃO: esta carteira pode ter 0% em um ativo por vários trimestres. É intencional.</t>
  </si>
  <si>
    <t>LÓGICA DE ROTAÇÃO / TROCA DE ATIVOS:</t>
  </si>
  <si>
    <t>TRIMESTRAL: (1) Calcule retorno acumulado 6M de cada ativo no último dia do trimestre. (2) Ordene do maior para o menor. (3) Aplique pesos: 35/25/18/12/7/3%. (4) Verifique filtro de tendência (MM10M). (5) Execute trocas no 1º dia útil do trimestre seguinte. Exemplo: se em março o S&amp;P subiu 18% e EM subiu 22% nos últimos 6 meses → EM fica em 1º (35%), S&amp;P em 2º (25%), etc.</t>
  </si>
  <si>
    <t>EMERGENTES (EEM)</t>
  </si>
  <si>
    <t>SMALL CAPS EUA (IWM)</t>
  </si>
  <si>
    <t>REITS (VNQ)</t>
  </si>
  <si>
    <t>RANKING PARA REBALANCEAMENTO</t>
  </si>
  <si>
    <t>DATA</t>
  </si>
  <si>
    <t>Retorno 6 Meses</t>
  </si>
  <si>
    <t>MM 10M</t>
  </si>
  <si>
    <t>Peso na carteira</t>
  </si>
  <si>
    <t>Emergentes (EEM)</t>
  </si>
  <si>
    <t>SMALL CAPS (IWM)</t>
  </si>
  <si>
    <t>TBOND 20+ (TLT)</t>
  </si>
  <si>
    <t>UP</t>
  </si>
  <si>
    <t>DOWN</t>
  </si>
  <si>
    <t>C4 · BARBELL (NASSIM TALEB)</t>
  </si>
  <si>
    <t xml:space="preserve">  SEMI-ATIVA  </t>
  </si>
  <si>
    <t>Tese: exposição assimétrica — proteção máxima + upside ilimitado, sem meio-termo</t>
  </si>
  <si>
    <t>Taleb argumenta que o 'meio' do espectro de risco é onde as pessoas perdem dinheiro: risco médio com retorno médio. O Barbell concentra nas pontas: 70-80% em algo ultra-seguro (ouro/RF) e 20-30% em algo com potencial de retorno extremo (ações de crescimento agressivo, small caps). O resultado é que nas crises você perde pouco (a ponta segura protege) e nos bull markets você captura upside relevante (a ponta agressiva explode). Baixo downside, upside assimétrico.</t>
  </si>
  <si>
    <t>Ouro (âncora segura)</t>
  </si>
  <si>
    <t>S&amp;P 500 (ponta agressiva)</t>
  </si>
  <si>
    <t>Small Caps EUA (agressivo)</t>
  </si>
  <si>
    <t>IWM</t>
  </si>
  <si>
    <t>Emergentes (agressivo)</t>
  </si>
  <si>
    <t>EEM</t>
  </si>
  <si>
    <t>Caixa / Tesouro curto</t>
  </si>
  <si>
    <t>BIL / Tesouro Selic</t>
  </si>
  <si>
    <t>PRINCÍPIO: nunca ficar no 'meio'. A carteira tem duas pontas — Ouro (âncora) e 
S&amp;P+Small+EM (agressiva) — e BIL como reserva secundária. Toda decisão segue 
gatilhos numéricos, nunca sensação de mercado.</t>
  </si>
  <si>
    <t>OURO É SAGRADO: banda absoluta [28%, 45%]. Nunca sai desse range por nenhum motivo,
exceto para absorver os Gatilhos 1 e 2 abaixo, sempre respeitando o teto/piso.</t>
  </si>
  <si>
    <t>GATILHO 1 — AUMENTAR AGRESSIVO: ponta agressiva (S&amp;P+Small+EM somados) subiu 
≥20% em 6 meses → transferir 5pp do Ouro para a ponta agressiva (dividido 
proporcionalmente entre os 3 ativos). Não executar se Ouro cair abaixo de 28%.</t>
  </si>
  <si>
    <t>GATILHO 2 — REDUZIR AGRESSIVO: ponta agressiva caiu ≥20% em 6 meses → 
transferir 5pp da ponta agressiva para o Ouro (retirado proporcionalmente). 
Não executar se Ouro passar de 45%.</t>
  </si>
  <si>
    <t>GATILHO 3 — BANDA INDIVIDUAL: qualquer ativo (S&amp;P/Small/EM) sai da própria 
banda min/máx → corrige só aquele ativo de volta ao peso-base, mantendo os 
outros inalterados. Executa ANTES dos Gatilhos 1/2/4/5/6 se ocorrerem no 
mesmo mês.</t>
  </si>
  <si>
    <t>GATILHO 4 — CRISE PROFUNDA (caixa entra): Ouro já está no teto de 45% e a 
ponta agressiva continua caindo → o excedente que não cabe no Ouro vai para 
BIL, até o teto de 12%.</t>
  </si>
  <si>
    <t>GATILHO 5 — RECOMPRA NA BAIXA (caixa sai): depois do Gatilho 4 ter formado 
caixa, a ponta agressiva cai mais 15% adicionais a partir desse ponto → BIL 
volta ao mínimo de 3%, e o valor liberado vai 100% para a ponta agressiva.</t>
  </si>
  <si>
    <t>FREQUÊNCIA: revisão mensal rápida (5 min): checa banda individual (G3) e 
retorno acumulado 6M da ponta agressiva (G1/G2/G4/G5/G6). Maioria dos meses 
não dispara nada.</t>
  </si>
  <si>
    <t>CÂMBIO: tudo dolarizado exceto eventual parcela em Tesouro Selic. Não 
adicionar IBOV — Brasil é risco não-barbell.</t>
  </si>
  <si>
    <t>AVISO DE COMPORTAMENTO: a ponta agressiva vai ter meses de -15% ou mais. 
O Ouro e o BIL vão segurar. Não entrar em pânico e não pular gatilho.</t>
  </si>
  <si>
    <t>C5 · CRESCIMENTO AGRESSIVO</t>
  </si>
  <si>
    <t>Tese: concentração em tech americana + crescimento emergente. Alta vol, alto upside esperado.</t>
  </si>
  <si>
    <t>Carteira para investidor que acredita que: (1) tecnologia americana continuará dominando por décadas, (2) mercados emergentes — especialmente Ásia — têm ciclo de crescimento secular, (3) o dólar continuará se valorizando contra o real no longo prazo. É a carteira com maior volatilidade esperada e maior potencial de retorno — e de drawdown. Sem bonds, sem hedges conservadores. Pura exposição a crescimento.</t>
  </si>
  <si>
    <t>S&amp;P 500 (base tech)</t>
  </si>
  <si>
    <t>IVVB11 / QQQ</t>
  </si>
  <si>
    <t>Small Caps EUA (crescim.)</t>
  </si>
  <si>
    <t>Emergentes Ásia</t>
  </si>
  <si>
    <t>EEM / XINA11 / MCHI</t>
  </si>
  <si>
    <t>Ouro (único hedge)</t>
  </si>
  <si>
    <t>GATILHO: qualquer ativo fora da banda [peso_alvo – 8pp, peso_alvo + 8pp] → rebalancear.</t>
  </si>
  <si>
    <t>DRAWDOWN STOP: se carteira acumular -35% do pico → revisar composição. NÃO necessariamente vender.</t>
  </si>
  <si>
    <t>REVISÃO DE TESE: se S&amp;P ficar abaixo da MM de 24 meses por 6 meses consecutivos → reduzir 10pp S&amp;P, aumentar Ouro.</t>
  </si>
  <si>
    <t>CÂMBIO: todo retorno já inclui USD/BRL (exceto BDRs). É proteção cambial embutida.</t>
  </si>
  <si>
    <t>REBALANCEAMENTO ANUAL OBRIGATÓRIO: sempre em janeiro, independentemente de gatilhos.</t>
  </si>
  <si>
    <t>APORTE: sempre no ativo com maior desvio negativo do peso alvo.</t>
  </si>
  <si>
    <t>AVISO: esta carteira terá drawdowns de -30% a -50% em crises. É necessário estômago e horizonte longo.</t>
  </si>
  <si>
    <t>SEMI-ANUAL (BDRs): revisar os 5 maiores BDRs por volume médio diário na B3. Substituir BDRs com volume caindo sistematicamente por novos entrantes. Manter sempre tech como foco. Não alterar os outros ativos nesta revisão.</t>
  </si>
  <si>
    <t>BACKTEST MÊS A MÊS — preencha as células AMARELAS com retorno decimal do ativo</t>
  </si>
  <si>
    <t>C6 · BRASIL + DÓLAR + OURO</t>
  </si>
  <si>
    <t>Tese: extrair alfa do IBOV com proteção cambial e ouro contra caos fiscal</t>
  </si>
  <si>
    <t>Carteira para quem acredita no Brasil como fonte de retorno real, mas não confia na estabilidade do real nem nas instituições de longo prazo. IBOV é o motor de alfa — historicamente entrega retornos extraordinários em ciclos de commodities e juros caindo. O ouro e a exposição ao dólar (via S&amp;P/REITs) servem como seguros contra os episódios recorrentes de caos fiscal brasileiro (2015, 2018, 2021, 2022). FIIs como renda em BRL.</t>
  </si>
  <si>
    <t>IBOVESPA</t>
  </si>
  <si>
    <t>^BVSP / BOVA11</t>
  </si>
  <si>
    <t>Ouro (hedge fiscal)</t>
  </si>
  <si>
    <t>GOLD11 / XAUB11</t>
  </si>
  <si>
    <t>S&amp;P 500 (dolarização)</t>
  </si>
  <si>
    <t>IVVB11 / SPXI11</t>
  </si>
  <si>
    <t>FIIs / IFIX (renda)</t>
  </si>
  <si>
    <t>IFIX / XPLG11 / KNRI11</t>
  </si>
  <si>
    <t>GATILHO PRIMÁRIO: IBOV fora da banda [28%, 55%] → rebalancear no início do mês seguinte.</t>
  </si>
  <si>
    <t>GATILHO OURO: se ouro ultrapassar 35% → vender excesso, colocar em IBOV. Ouro é seguro, não motor.</t>
  </si>
  <si>
    <t>CRISE BRASIL (IBOV -20%+ em 3 meses): NÃO vender. Aportar extra em IBOV. É quando o prêmio de risco está máximo.</t>
  </si>
  <si>
    <t>ELEIÇÕES (ano par): aumentar ouro para 30% preventivamente em outubro. Desfazer após resultado.</t>
  </si>
  <si>
    <t>FIIs: revisar a cada 6 meses — manter os 5 maiores por liquidez e dividend yield consistente.</t>
  </si>
  <si>
    <t>CÂMBIO: IBOV e FIIs são em BRL. S&amp;P via IVVB11 = BRL+câmbio. Ouro via GOLD11 = BRL+câmbio.</t>
  </si>
  <si>
    <t>REBALANCEAMENTO ANUAL: obrigatório em janeiro, mesmo sem gatilho ativado.</t>
  </si>
  <si>
    <t>AVISO: esta é a carteira mais exposta ao risco Brasil. Em crises locais, o drawdown pode ser severo.</t>
  </si>
  <si>
    <t>SEMESTRAL (FIIs): revisar composição do bucket FIIs. Manter os 5 maiores FIIs por volume médio diário + dividend yield acima de 6% a.a. Substituir os que caírem abaixo de ambos os critérios. Não alterar IBOV/Ouro/S&amp;P nesta revisão. ANUAL (revisão de tese): se Selic média do ano for &gt;15% → considerar reduzir IBOV 5pp e aumentar S&amp;P 5pp.</t>
  </si>
  <si>
    <t>BRASIL (EWZ)</t>
  </si>
  <si>
    <t>C7 · ROTATIVA POR CICLO ECONÔMICO</t>
  </si>
  <si>
    <t>Tese: Sam Stovall (S&amp;P) — setores e ativos performam diferente em cada fase do ciclo</t>
  </si>
  <si>
    <t>Sam Stovall documentou que o mercado tem 4 fases cíclicas e que certos ativos dominam em cada fase. Esta carteira usa uma versão simplificada: 3 regimes (expansão, desaceleração, recessão/recuperação) e troca o ativo principal a cada fase. É a mais ativa de todas — exige leitura macro trimestral. Alta responsabilidade do gestor. Mas historicamente, carteiras de rotação setorial bem executadas superam buy-and-hold em horizontes longos.</t>
  </si>
  <si>
    <t>S&amp;P 500 (regime base)</t>
  </si>
  <si>
    <t>Ouro (regime base)</t>
  </si>
  <si>
    <t>Emergentes (regime base)</t>
  </si>
  <si>
    <t>Small Caps EUA (regime base)</t>
  </si>
  <si>
    <t>T-Bond / Bonds (regime base)</t>
  </si>
  <si>
    <t>REGIME EXPANSÃO (PIB subindo, juros caindo): aumentar S&amp;P→45%, Small Caps→25%, zerar T-Bond, reduzir Ouro→15%, EM→15%.</t>
  </si>
  <si>
    <t>REGIME DESACELERAÇÃO (PIB crescendo devagar, inflação alta): aumentar Ouro→35%, EM→25%, S&amp;P→25%, Small→10%, T-Bond→5%.</t>
  </si>
  <si>
    <t>REGIME RECESSÃO/RECUPERAÇÃO (PIB caindo ou negativo): aumentar T-Bond→30%, Ouro→30%, S&amp;P→25%, EM→10%, Small→5%.</t>
  </si>
  <si>
    <t>COMO IDENTIFICAR O REGIME: usar ISM Manufacturing (&gt;50=expansão), yield curve (invertida=recessão), CPI (&gt;4%=inflação).</t>
  </si>
  <si>
    <t>FREQUÊNCIA DE AVALIAÇÃO: trimestral. Só muda de regime se 2 dos 3 indicadores confirmarem.</t>
  </si>
  <si>
    <t>TRANSIÇÃO GRADUAL: ao mudar de regime, fazer a troca em 2 meses (metade no mês 1, metade no mês 2).</t>
  </si>
  <si>
    <t>ÂNCORA DE OURO: nunca reduzir ouro abaixo de 15% em nenhum regime.</t>
  </si>
  <si>
    <t>FALLBACK: se incerto sobre o regime → manter pesos base acima. Dúvida = não muda.</t>
  </si>
  <si>
    <t>AVISO: esta estratégia exige disciplina e conhecimento macro. É a mais complexa do arquivo.</t>
  </si>
  <si>
    <t>TRIMESTRAL + REGIME: (1) No final de cada trimestre, avaliar ISM, yield curve e CPI/IPCA. (2) Determinar regime atual. (3) Se regime mudou em relação ao trimestre anterior → iniciar transição de pesos. (4) Executar metade da mudança no 1º mês do novo trimestre, metade no 2º mês. (5) Registrar o regime identificado e os indicadores usados. Fontes: ISM = ismworld.org | Yield curve = fred.stlouisfed.org | CPI = bls.gov | IPCA = ibge.gov.br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</si>
</sst>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10B981"/>
      <name val="Arial"/>
    </font>
    <font>
      <b/>
      <sz val="11"/>
      <color rgb="FF6366F1"/>
      <name val="Arial"/>
    </font>
    <font>
      <b/>
      <sz val="9"/>
      <color rgb="FF6366F1"/>
      <name val="Arial"/>
    </font>
    <font>
      <b/>
      <sz val="9"/>
      <color rgb="FFF8FAFC"/>
      <name val="Arial"/>
    </font>
    <font>
      <b/>
      <sz val="10"/>
      <color rgb="FF0000FF"/>
      <name val="Arial"/>
    </font>
    <font>
      <sz val="9"/>
      <color rgb="FF64748B"/>
      <name val="Arial"/>
    </font>
    <font>
      <i/>
      <sz val="8"/>
      <color rgb="FF94A3B8"/>
      <name val="Arial"/>
    </font>
    <font>
      <sz val="9"/>
      <color rgb="FF94A3B8"/>
      <name val="Arial"/>
    </font>
    <font>
      <b/>
      <sz val="8"/>
      <color rgb="FF6366F1"/>
      <name val="Arial"/>
    </font>
    <font>
      <b/>
      <sz val="9"/>
      <color rgb="FF94A3B8"/>
      <name val="Arial"/>
    </font>
    <font>
      <sz val="11"/>
      <color rgb="FF6366F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theme="9"/>
      <name val="Aptos Narrow"/>
      <family val="2"/>
      <scheme val="minor"/>
    </font>
    <font>
      <sz val="11"/>
      <color theme="9"/>
      <name val="Aptos Narrow"/>
      <family val="2"/>
      <charset val="1"/>
    </font>
    <font>
      <sz val="11"/>
      <color theme="9"/>
      <name val="Aptos Narrow"/>
      <family val="2"/>
    </font>
    <font>
      <sz val="11"/>
      <color rgb="FF6366F1"/>
      <name val="Aptos Narrow"/>
      <family val="2"/>
      <scheme val="minor"/>
    </font>
    <font>
      <b/>
      <sz val="8"/>
      <color rgb="FF6366F1"/>
      <name val="Arial"/>
      <family val="2"/>
    </font>
    <font>
      <sz val="11"/>
      <color theme="0"/>
      <name val="Aptos Narrow"/>
      <family val="2"/>
    </font>
    <font>
      <b/>
      <sz val="11"/>
      <color rgb="FF10B981"/>
      <name val="Arial"/>
    </font>
    <font>
      <b/>
      <sz val="16"/>
      <color rgb="FFF8FAFC"/>
      <name val="Arial"/>
      <family val="2"/>
    </font>
    <font>
      <b/>
      <sz val="9"/>
      <color rgb="FFEF4444"/>
      <name val="Arial"/>
      <family val="2"/>
    </font>
    <font>
      <b/>
      <sz val="11"/>
      <color rgb="FFF59E0B"/>
      <name val="Arial"/>
      <family val="2"/>
    </font>
    <font>
      <sz val="9"/>
      <color rgb="FF64748B"/>
      <name val="Arial"/>
      <family val="2"/>
    </font>
    <font>
      <b/>
      <sz val="9"/>
      <color rgb="FFF59E0B"/>
      <name val="Arial"/>
      <family val="2"/>
    </font>
    <font>
      <b/>
      <sz val="9"/>
      <color rgb="FFF8FAFC"/>
      <name val="Arial"/>
      <family val="2"/>
    </font>
    <font>
      <b/>
      <sz val="10"/>
      <color rgb="FF0000FF"/>
      <name val="Arial"/>
      <family val="2"/>
    </font>
    <font>
      <i/>
      <sz val="8"/>
      <color rgb="FF94A3B8"/>
      <name val="Arial"/>
      <family val="2"/>
    </font>
    <font>
      <sz val="9"/>
      <color rgb="FF94A3B8"/>
      <name val="Arial"/>
      <family val="2"/>
    </font>
    <font>
      <sz val="11"/>
      <color rgb="FF6366F1"/>
      <name val="Aptos Narrow"/>
      <scheme val="minor"/>
    </font>
    <font>
      <sz val="11"/>
      <color theme="1"/>
      <name val="Aptos Narrow"/>
      <scheme val="minor"/>
    </font>
    <font>
      <sz val="11"/>
      <color theme="0"/>
      <name val="Aptos Narrow"/>
      <scheme val="minor"/>
    </font>
    <font>
      <sz val="11"/>
      <color rgb="FFFF0000"/>
      <name val="Aptos Narrow"/>
      <scheme val="minor"/>
    </font>
    <font>
      <sz val="11"/>
      <color theme="9"/>
      <name val="Aptos Narrow"/>
      <scheme val="minor"/>
    </font>
    <font>
      <sz val="11"/>
      <color rgb="FF94A3B8"/>
      <name val="Aptos Narrow"/>
      <scheme val="minor"/>
    </font>
    <font>
      <sz val="11"/>
      <color rgb="FF008000"/>
      <name val="Aptos Narrow"/>
      <scheme val="minor"/>
    </font>
    <font>
      <b/>
      <sz val="11"/>
      <color rgb="FFEF4444"/>
      <name val="Arial"/>
      <family val="2"/>
    </font>
    <font>
      <sz val="11"/>
      <color rgb="FFFFC000"/>
      <name val="Aptos Narrow"/>
      <family val="2"/>
      <scheme val="minor"/>
    </font>
    <font>
      <b/>
      <sz val="16"/>
      <color rgb="FFF8FAFC"/>
      <name val="Arial"/>
    </font>
    <font>
      <b/>
      <sz val="9"/>
      <color rgb="FFF59E0B"/>
      <name val="Arial"/>
    </font>
    <font>
      <b/>
      <sz val="11"/>
      <color rgb="FF3B82F6"/>
      <name val="Arial"/>
    </font>
    <font>
      <b/>
      <sz val="9"/>
      <color rgb="FF3B82F6"/>
      <name val="Arial"/>
    </font>
    <font>
      <b/>
      <sz val="11"/>
      <color rgb="FFEC4899"/>
      <name val="Arial"/>
      <family val="2"/>
    </font>
    <font>
      <b/>
      <sz val="9"/>
      <color rgb="FFEC4899"/>
      <name val="Arial"/>
      <family val="2"/>
    </font>
    <font>
      <sz val="9"/>
      <color rgb="FF1A1A2E"/>
      <name val="Arial"/>
      <family val="2"/>
    </font>
    <font>
      <b/>
      <sz val="11"/>
      <color rgb="FF8B5CF6"/>
      <name val="Arial"/>
      <family val="2"/>
    </font>
    <font>
      <b/>
      <sz val="9"/>
      <color rgb="FF8B5CF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D0D17"/>
      </patternFill>
    </fill>
    <fill>
      <patternFill patternType="solid">
        <fgColor rgb="FF1A1A2E"/>
      </patternFill>
    </fill>
    <fill>
      <patternFill patternType="solid">
        <fgColor rgb="FF13131F"/>
      </patternFill>
    </fill>
    <fill>
      <patternFill patternType="solid">
        <fgColor theme="1"/>
        <bgColor indexed="64"/>
      </patternFill>
    </fill>
    <fill>
      <patternFill patternType="solid">
        <fgColor rgb="FF1A1A2E"/>
        <bgColor rgb="FF009922"/>
      </patternFill>
    </fill>
    <fill>
      <patternFill patternType="solid">
        <fgColor theme="1"/>
        <bgColor rgb="FFE8F5E9"/>
      </patternFill>
    </fill>
    <fill>
      <patternFill patternType="solid">
        <fgColor theme="1"/>
        <bgColor rgb="FFF2F2F2"/>
      </patternFill>
    </fill>
    <fill>
      <patternFill patternType="solid">
        <fgColor theme="1"/>
        <bgColor rgb="FF009922"/>
      </patternFill>
    </fill>
    <fill>
      <patternFill patternType="solid">
        <fgColor rgb="FF1A1A2E"/>
        <bgColor indexed="64"/>
      </patternFill>
    </fill>
    <fill>
      <patternFill patternType="solid">
        <fgColor rgb="FF1A1A2E"/>
        <bgColor rgb="FF0D0D17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6366F1"/>
        <bgColor indexed="64"/>
      </patternFill>
    </fill>
    <fill>
      <patternFill patternType="solid">
        <fgColor theme="1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1A1A2E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0" fillId="5" borderId="0" xfId="0" applyFill="1"/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9" fontId="8" fillId="5" borderId="0" xfId="0" applyNumberFormat="1" applyFont="1" applyFill="1" applyAlignment="1">
      <alignment horizontal="center" vertical="center"/>
    </xf>
    <xf numFmtId="9" fontId="9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4" fillId="6" borderId="0" xfId="2" applyFont="1" applyFill="1" applyAlignment="1">
      <alignment horizontal="center"/>
    </xf>
    <xf numFmtId="0" fontId="14" fillId="6" borderId="2" xfId="2" applyFont="1" applyFill="1" applyBorder="1" applyAlignment="1">
      <alignment horizontal="center"/>
    </xf>
    <xf numFmtId="10" fontId="2" fillId="10" borderId="0" xfId="3" applyNumberFormat="1" applyFont="1" applyFill="1" applyBorder="1" applyAlignment="1">
      <alignment horizontal="center"/>
    </xf>
    <xf numFmtId="10" fontId="15" fillId="10" borderId="0" xfId="3" applyNumberFormat="1" applyFont="1" applyFill="1" applyBorder="1" applyAlignment="1">
      <alignment horizontal="center"/>
    </xf>
    <xf numFmtId="10" fontId="15" fillId="10" borderId="0" xfId="2" applyNumberFormat="1" applyFont="1" applyFill="1" applyAlignment="1">
      <alignment horizontal="center"/>
    </xf>
    <xf numFmtId="10" fontId="16" fillId="10" borderId="0" xfId="2" applyNumberFormat="1" applyFont="1" applyFill="1" applyAlignment="1">
      <alignment horizontal="center"/>
    </xf>
    <xf numFmtId="10" fontId="17" fillId="10" borderId="0" xfId="2" applyNumberFormat="1" applyFont="1" applyFill="1" applyAlignment="1">
      <alignment horizontal="center"/>
    </xf>
    <xf numFmtId="10" fontId="16" fillId="10" borderId="0" xfId="3" applyNumberFormat="1" applyFont="1" applyFill="1" applyBorder="1" applyAlignment="1">
      <alignment horizontal="center"/>
    </xf>
    <xf numFmtId="10" fontId="2" fillId="10" borderId="0" xfId="2" applyNumberFormat="1" applyFont="1" applyFill="1" applyAlignment="1">
      <alignment horizontal="center"/>
    </xf>
    <xf numFmtId="10" fontId="18" fillId="10" borderId="0" xfId="2" applyNumberFormat="1" applyFont="1" applyFill="1" applyAlignment="1">
      <alignment horizontal="center"/>
    </xf>
    <xf numFmtId="10" fontId="0" fillId="5" borderId="0" xfId="1" applyNumberFormat="1" applyFont="1" applyFill="1"/>
    <xf numFmtId="10" fontId="2" fillId="10" borderId="0" xfId="1" applyNumberFormat="1" applyFont="1" applyFill="1" applyAlignment="1">
      <alignment horizontal="center"/>
    </xf>
    <xf numFmtId="10" fontId="16" fillId="10" borderId="0" xfId="1" applyNumberFormat="1" applyFont="1" applyFill="1" applyAlignment="1">
      <alignment horizontal="center"/>
    </xf>
    <xf numFmtId="10" fontId="16" fillId="10" borderId="0" xfId="1" applyNumberFormat="1" applyFont="1" applyFill="1" applyBorder="1" applyAlignment="1">
      <alignment horizontal="center"/>
    </xf>
    <xf numFmtId="10" fontId="2" fillId="10" borderId="0" xfId="1" applyNumberFormat="1" applyFont="1" applyFill="1" applyBorder="1" applyAlignment="1">
      <alignment horizontal="center"/>
    </xf>
    <xf numFmtId="0" fontId="20" fillId="10" borderId="0" xfId="0" applyFont="1" applyFill="1" applyAlignment="1">
      <alignment horizontal="center" vertical="center" wrapText="1"/>
    </xf>
    <xf numFmtId="44" fontId="0" fillId="5" borderId="0" xfId="0" applyNumberFormat="1" applyFill="1"/>
    <xf numFmtId="44" fontId="14" fillId="6" borderId="0" xfId="2" applyNumberFormat="1" applyFont="1" applyFill="1" applyAlignment="1">
      <alignment horizontal="center"/>
    </xf>
    <xf numFmtId="44" fontId="3" fillId="5" borderId="0" xfId="0" applyNumberFormat="1" applyFont="1" applyFill="1"/>
    <xf numFmtId="44" fontId="3" fillId="8" borderId="0" xfId="3" applyNumberFormat="1" applyFont="1" applyFill="1" applyBorder="1" applyAlignment="1">
      <alignment horizontal="center"/>
    </xf>
    <xf numFmtId="44" fontId="6" fillId="5" borderId="0" xfId="0" applyNumberFormat="1" applyFont="1" applyFill="1" applyAlignment="1">
      <alignment horizontal="center" vertical="center"/>
    </xf>
    <xf numFmtId="44" fontId="9" fillId="5" borderId="0" xfId="0" applyNumberFormat="1" applyFont="1" applyFill="1" applyAlignment="1">
      <alignment horizontal="center" vertical="center"/>
    </xf>
    <xf numFmtId="0" fontId="21" fillId="6" borderId="0" xfId="2" applyFont="1" applyFill="1" applyAlignment="1">
      <alignment horizontal="center"/>
    </xf>
    <xf numFmtId="44" fontId="21" fillId="9" borderId="0" xfId="2" applyNumberFormat="1" applyFont="1" applyFill="1" applyAlignment="1">
      <alignment horizontal="center"/>
    </xf>
    <xf numFmtId="44" fontId="3" fillId="5" borderId="0" xfId="0" applyNumberFormat="1" applyFont="1" applyFill="1" applyAlignment="1">
      <alignment horizontal="center" vertical="center"/>
    </xf>
    <xf numFmtId="10" fontId="21" fillId="9" borderId="0" xfId="1" applyNumberFormat="1" applyFont="1" applyFill="1" applyBorder="1" applyAlignment="1">
      <alignment horizontal="center"/>
    </xf>
    <xf numFmtId="10" fontId="14" fillId="6" borderId="0" xfId="1" applyNumberFormat="1" applyFont="1" applyFill="1" applyBorder="1" applyAlignment="1">
      <alignment horizontal="center"/>
    </xf>
    <xf numFmtId="10" fontId="3" fillId="5" borderId="0" xfId="1" applyNumberFormat="1" applyFont="1" applyFill="1"/>
    <xf numFmtId="10" fontId="0" fillId="5" borderId="0" xfId="0" applyNumberFormat="1" applyFill="1"/>
    <xf numFmtId="10" fontId="14" fillId="6" borderId="0" xfId="2" applyNumberFormat="1" applyFont="1" applyFill="1" applyAlignment="1">
      <alignment horizontal="center"/>
    </xf>
    <xf numFmtId="10" fontId="6" fillId="5" borderId="0" xfId="1" applyNumberFormat="1" applyFont="1" applyFill="1" applyAlignment="1">
      <alignment horizontal="center" vertical="center"/>
    </xf>
    <xf numFmtId="10" fontId="9" fillId="5" borderId="0" xfId="1" applyNumberFormat="1" applyFont="1" applyFill="1" applyAlignment="1">
      <alignment horizontal="center" vertical="center"/>
    </xf>
    <xf numFmtId="44" fontId="10" fillId="5" borderId="0" xfId="0" applyNumberFormat="1" applyFont="1" applyFill="1" applyAlignment="1">
      <alignment horizontal="center" vertical="center"/>
    </xf>
    <xf numFmtId="44" fontId="14" fillId="6" borderId="3" xfId="2" applyNumberFormat="1" applyFont="1" applyFill="1" applyBorder="1" applyAlignment="1">
      <alignment horizontal="center"/>
    </xf>
    <xf numFmtId="44" fontId="3" fillId="7" borderId="0" xfId="3" applyNumberFormat="1" applyFont="1" applyFill="1" applyBorder="1" applyAlignment="1">
      <alignment horizontal="center"/>
    </xf>
    <xf numFmtId="44" fontId="2" fillId="7" borderId="0" xfId="3" applyNumberFormat="1" applyFont="1" applyFill="1" applyBorder="1" applyAlignment="1">
      <alignment horizontal="center"/>
    </xf>
    <xf numFmtId="44" fontId="16" fillId="7" borderId="0" xfId="3" applyNumberFormat="1" applyFont="1" applyFill="1" applyBorder="1" applyAlignment="1">
      <alignment horizontal="center"/>
    </xf>
    <xf numFmtId="0" fontId="4" fillId="5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left" vertical="center"/>
    </xf>
    <xf numFmtId="9" fontId="29" fillId="5" borderId="0" xfId="0" applyNumberFormat="1" applyFont="1" applyFill="1" applyAlignment="1">
      <alignment horizontal="center" vertical="center"/>
    </xf>
    <xf numFmtId="9" fontId="26" fillId="5" borderId="0" xfId="0" applyNumberFormat="1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14" fontId="19" fillId="10" borderId="0" xfId="0" applyNumberFormat="1" applyFont="1" applyFill="1" applyAlignment="1">
      <alignment horizontal="center"/>
    </xf>
    <xf numFmtId="10" fontId="2" fillId="11" borderId="0" xfId="1" applyNumberFormat="1" applyFont="1" applyFill="1" applyBorder="1" applyAlignment="1">
      <alignment horizontal="center" vertical="center" wrapText="1"/>
    </xf>
    <xf numFmtId="10" fontId="16" fillId="11" borderId="0" xfId="1" applyNumberFormat="1" applyFont="1" applyFill="1" applyBorder="1" applyAlignment="1">
      <alignment horizontal="center" vertical="center" wrapText="1"/>
    </xf>
    <xf numFmtId="10" fontId="16" fillId="10" borderId="5" xfId="1" applyNumberFormat="1" applyFont="1" applyFill="1" applyBorder="1" applyAlignment="1">
      <alignment horizontal="center"/>
    </xf>
    <xf numFmtId="10" fontId="2" fillId="10" borderId="5" xfId="1" applyNumberFormat="1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9" fontId="19" fillId="5" borderId="5" xfId="1" applyFont="1" applyFill="1" applyBorder="1" applyAlignment="1">
      <alignment horizontal="center"/>
    </xf>
    <xf numFmtId="9" fontId="19" fillId="5" borderId="0" xfId="1" applyFont="1" applyFill="1" applyBorder="1" applyAlignment="1">
      <alignment horizontal="center"/>
    </xf>
    <xf numFmtId="9" fontId="19" fillId="5" borderId="0" xfId="1" applyFont="1" applyFill="1" applyAlignment="1">
      <alignment horizontal="center"/>
    </xf>
    <xf numFmtId="0" fontId="19" fillId="5" borderId="0" xfId="0" applyFont="1" applyFill="1"/>
    <xf numFmtId="0" fontId="2" fillId="5" borderId="0" xfId="0" applyFont="1" applyFill="1" applyAlignment="1">
      <alignment horizontal="center"/>
    </xf>
    <xf numFmtId="9" fontId="19" fillId="5" borderId="0" xfId="1" applyFont="1" applyFill="1" applyAlignment="1">
      <alignment horizontal="center" vertical="center"/>
    </xf>
    <xf numFmtId="10" fontId="2" fillId="11" borderId="0" xfId="0" applyNumberFormat="1" applyFont="1" applyFill="1" applyAlignment="1">
      <alignment horizontal="center" vertical="center" wrapText="1"/>
    </xf>
    <xf numFmtId="10" fontId="16" fillId="10" borderId="0" xfId="0" applyNumberFormat="1" applyFont="1" applyFill="1" applyAlignment="1">
      <alignment horizontal="center" vertical="center" wrapText="1"/>
    </xf>
    <xf numFmtId="10" fontId="2" fillId="10" borderId="0" xfId="0" applyNumberFormat="1" applyFont="1" applyFill="1" applyAlignment="1">
      <alignment horizontal="center" vertical="center" wrapText="1"/>
    </xf>
    <xf numFmtId="10" fontId="16" fillId="11" borderId="0" xfId="0" applyNumberFormat="1" applyFont="1" applyFill="1" applyAlignment="1">
      <alignment horizontal="center" vertical="center" wrapText="1"/>
    </xf>
    <xf numFmtId="9" fontId="19" fillId="5" borderId="0" xfId="0" applyNumberFormat="1" applyFont="1" applyFill="1" applyAlignment="1">
      <alignment horizontal="center"/>
    </xf>
    <xf numFmtId="0" fontId="0" fillId="12" borderId="0" xfId="0" applyFill="1"/>
    <xf numFmtId="0" fontId="32" fillId="6" borderId="0" xfId="2" applyFont="1" applyFill="1" applyAlignment="1">
      <alignment horizontal="center"/>
    </xf>
    <xf numFmtId="10" fontId="32" fillId="6" borderId="0" xfId="1" applyNumberFormat="1" applyFont="1" applyFill="1" applyAlignment="1">
      <alignment horizontal="center"/>
    </xf>
    <xf numFmtId="44" fontId="32" fillId="6" borderId="0" xfId="2" applyNumberFormat="1" applyFont="1" applyFill="1" applyAlignment="1">
      <alignment horizontal="center"/>
    </xf>
    <xf numFmtId="44" fontId="32" fillId="6" borderId="3" xfId="2" applyNumberFormat="1" applyFont="1" applyFill="1" applyBorder="1" applyAlignment="1">
      <alignment horizontal="center"/>
    </xf>
    <xf numFmtId="0" fontId="32" fillId="6" borderId="2" xfId="2" applyFont="1" applyFill="1" applyBorder="1" applyAlignment="1">
      <alignment horizontal="center"/>
    </xf>
    <xf numFmtId="10" fontId="32" fillId="6" borderId="0" xfId="2" applyNumberFormat="1" applyFont="1" applyFill="1" applyAlignment="1">
      <alignment horizontal="center"/>
    </xf>
    <xf numFmtId="0" fontId="34" fillId="6" borderId="0" xfId="2" applyFont="1" applyFill="1" applyAlignment="1">
      <alignment horizontal="center"/>
    </xf>
    <xf numFmtId="10" fontId="34" fillId="9" borderId="0" xfId="1" applyNumberFormat="1" applyFont="1" applyFill="1" applyAlignment="1">
      <alignment horizontal="center"/>
    </xf>
    <xf numFmtId="44" fontId="34" fillId="9" borderId="0" xfId="2" applyNumberFormat="1" applyFont="1" applyFill="1" applyAlignment="1">
      <alignment horizontal="center"/>
    </xf>
    <xf numFmtId="44" fontId="34" fillId="5" borderId="0" xfId="0" applyNumberFormat="1" applyFont="1" applyFill="1" applyAlignment="1">
      <alignment horizontal="center" vertical="center"/>
    </xf>
    <xf numFmtId="10" fontId="34" fillId="5" borderId="0" xfId="1" applyNumberFormat="1" applyFont="1" applyFill="1"/>
    <xf numFmtId="10" fontId="35" fillId="10" borderId="0" xfId="3" applyNumberFormat="1" applyFont="1" applyFill="1" applyAlignment="1">
      <alignment horizontal="center"/>
    </xf>
    <xf numFmtId="44" fontId="34" fillId="8" borderId="0" xfId="3" applyNumberFormat="1" applyFont="1" applyFill="1" applyAlignment="1">
      <alignment horizontal="center"/>
    </xf>
    <xf numFmtId="44" fontId="34" fillId="7" borderId="0" xfId="3" applyNumberFormat="1" applyFont="1" applyFill="1" applyAlignment="1">
      <alignment horizontal="center"/>
    </xf>
    <xf numFmtId="10" fontId="35" fillId="10" borderId="0" xfId="2" applyNumberFormat="1" applyFont="1" applyFill="1" applyAlignment="1">
      <alignment horizontal="center"/>
    </xf>
    <xf numFmtId="10" fontId="36" fillId="10" borderId="0" xfId="3" applyNumberFormat="1" applyFont="1" applyFill="1" applyAlignment="1">
      <alignment horizontal="center"/>
    </xf>
    <xf numFmtId="44" fontId="34" fillId="5" borderId="0" xfId="0" applyNumberFormat="1" applyFont="1" applyFill="1"/>
    <xf numFmtId="10" fontId="35" fillId="10" borderId="0" xfId="1" applyNumberFormat="1" applyFont="1" applyFill="1" applyAlignment="1">
      <alignment horizontal="center"/>
    </xf>
    <xf numFmtId="10" fontId="36" fillId="10" borderId="0" xfId="1" applyNumberFormat="1" applyFont="1" applyFill="1" applyAlignment="1">
      <alignment horizontal="center"/>
    </xf>
    <xf numFmtId="10" fontId="36" fillId="10" borderId="0" xfId="2" applyNumberFormat="1" applyFont="1" applyFill="1" applyAlignment="1">
      <alignment horizontal="center"/>
    </xf>
    <xf numFmtId="0" fontId="37" fillId="2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2" fillId="10" borderId="0" xfId="0" applyFont="1" applyFill="1" applyAlignment="1">
      <alignment horizontal="center" vertical="center" wrapText="1"/>
    </xf>
    <xf numFmtId="44" fontId="38" fillId="7" borderId="0" xfId="3" applyNumberFormat="1" applyFont="1" applyFill="1" applyAlignment="1">
      <alignment horizontal="center"/>
    </xf>
    <xf numFmtId="44" fontId="35" fillId="7" borderId="0" xfId="3" applyNumberFormat="1" applyFont="1" applyFill="1" applyAlignment="1">
      <alignment horizontal="center"/>
    </xf>
    <xf numFmtId="0" fontId="0" fillId="2" borderId="0" xfId="0" applyFill="1"/>
    <xf numFmtId="0" fontId="0" fillId="10" borderId="0" xfId="0" applyFill="1"/>
    <xf numFmtId="0" fontId="24" fillId="5" borderId="0" xfId="0" applyFont="1" applyFill="1" applyAlignment="1">
      <alignment horizontal="left" vertical="center"/>
    </xf>
    <xf numFmtId="0" fontId="31" fillId="5" borderId="0" xfId="0" applyFont="1" applyFill="1" applyAlignment="1">
      <alignment vertical="center"/>
    </xf>
    <xf numFmtId="10" fontId="19" fillId="5" borderId="0" xfId="0" applyNumberFormat="1" applyFont="1" applyFill="1"/>
    <xf numFmtId="10" fontId="40" fillId="5" borderId="0" xfId="0" applyNumberFormat="1" applyFont="1" applyFill="1"/>
    <xf numFmtId="0" fontId="42" fillId="5" borderId="0" xfId="0" applyFont="1" applyFill="1" applyAlignment="1">
      <alignment horizontal="center" vertical="center"/>
    </xf>
    <xf numFmtId="0" fontId="44" fillId="5" borderId="0" xfId="0" applyFont="1" applyFill="1" applyAlignment="1">
      <alignment horizontal="left" vertical="center"/>
    </xf>
    <xf numFmtId="0" fontId="44" fillId="5" borderId="0" xfId="0" applyFont="1" applyFill="1" applyAlignment="1">
      <alignment horizontal="center" vertical="center"/>
    </xf>
    <xf numFmtId="0" fontId="46" fillId="5" borderId="0" xfId="0" applyFont="1" applyFill="1" applyAlignment="1">
      <alignment horizontal="left" vertical="center"/>
    </xf>
    <xf numFmtId="0" fontId="46" fillId="5" borderId="0" xfId="0" applyFont="1" applyFill="1" applyAlignment="1">
      <alignment horizontal="center" vertical="center"/>
    </xf>
    <xf numFmtId="0" fontId="47" fillId="13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left" vertical="center" wrapText="1"/>
    </xf>
    <xf numFmtId="0" fontId="0" fillId="5" borderId="0" xfId="0" applyFill="1"/>
    <xf numFmtId="0" fontId="23" fillId="5" borderId="0" xfId="0" applyFont="1" applyFill="1" applyAlignment="1">
      <alignment horizontal="left" vertical="center"/>
    </xf>
    <xf numFmtId="0" fontId="45" fillId="5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left" vertical="center" wrapText="1"/>
    </xf>
    <xf numFmtId="0" fontId="46" fillId="5" borderId="0" xfId="0" applyFont="1" applyFill="1" applyAlignment="1">
      <alignment horizontal="left" vertical="center"/>
    </xf>
    <xf numFmtId="0" fontId="14" fillId="6" borderId="1" xfId="2" applyFont="1" applyFill="1" applyBorder="1" applyAlignment="1">
      <alignment horizontal="center"/>
    </xf>
    <xf numFmtId="44" fontId="19" fillId="10" borderId="2" xfId="0" applyNumberFormat="1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  <xf numFmtId="0" fontId="22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32" fillId="6" borderId="1" xfId="2" applyFont="1" applyFill="1" applyBorder="1" applyAlignment="1">
      <alignment horizontal="center"/>
    </xf>
    <xf numFmtId="0" fontId="33" fillId="0" borderId="6" xfId="0" applyFont="1" applyBorder="1"/>
    <xf numFmtId="0" fontId="33" fillId="0" borderId="7" xfId="0" applyFont="1" applyBorder="1"/>
    <xf numFmtId="44" fontId="32" fillId="10" borderId="2" xfId="0" applyNumberFormat="1" applyFont="1" applyFill="1" applyBorder="1" applyAlignment="1">
      <alignment horizontal="center" vertical="center"/>
    </xf>
    <xf numFmtId="0" fontId="32" fillId="10" borderId="2" xfId="0" applyFont="1" applyFill="1" applyBorder="1"/>
    <xf numFmtId="0" fontId="32" fillId="10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3" fillId="0" borderId="0" xfId="0" applyFont="1"/>
    <xf numFmtId="0" fontId="19" fillId="10" borderId="0" xfId="0" applyFont="1" applyFill="1" applyAlignment="1">
      <alignment horizontal="center"/>
    </xf>
    <xf numFmtId="0" fontId="14" fillId="6" borderId="4" xfId="2" applyFont="1" applyFill="1" applyBorder="1" applyAlignment="1">
      <alignment horizontal="center"/>
    </xf>
    <xf numFmtId="0" fontId="14" fillId="6" borderId="6" xfId="2" applyFont="1" applyFill="1" applyBorder="1" applyAlignment="1">
      <alignment horizontal="center"/>
    </xf>
    <xf numFmtId="0" fontId="14" fillId="6" borderId="0" xfId="2" applyFont="1" applyFill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left" vertical="center"/>
    </xf>
    <xf numFmtId="0" fontId="39" fillId="5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left" vertical="center"/>
    </xf>
    <xf numFmtId="0" fontId="41" fillId="5" borderId="0" xfId="0" applyFont="1" applyFill="1" applyAlignment="1">
      <alignment horizontal="left" vertical="center"/>
    </xf>
    <xf numFmtId="0" fontId="43" fillId="5" borderId="0" xfId="0" applyFont="1" applyFill="1" applyAlignment="1">
      <alignment horizontal="left" vertical="center"/>
    </xf>
    <xf numFmtId="0" fontId="44" fillId="5" borderId="0" xfId="0" applyFont="1" applyFill="1" applyAlignment="1">
      <alignment horizontal="left" vertical="center"/>
    </xf>
    <xf numFmtId="0" fontId="42" fillId="5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49" fillId="5" borderId="0" xfId="0" applyFont="1" applyFill="1" applyAlignment="1">
      <alignment horizontal="left" vertical="center"/>
    </xf>
    <xf numFmtId="0" fontId="49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left" vertical="center"/>
    </xf>
  </cellXfs>
  <cellStyles count="4">
    <cellStyle name="Normal" xfId="0" builtinId="0"/>
    <cellStyle name="Normal 2" xfId="2" xr:uid="{4BC27034-55DA-4833-9895-40C84E4E89B9}"/>
    <cellStyle name="Porcentagem" xfId="1" builtinId="5"/>
    <cellStyle name="Porcentagem 2" xfId="3" xr:uid="{3473B5D3-C32F-4337-8B6F-3E25484FBBBE}"/>
  </cellStyles>
  <dxfs count="0"/>
  <tableStyles count="0" defaultTableStyle="TableStyleMedium2" defaultPivotStyle="PivotStyleLight16"/>
  <colors>
    <mruColors>
      <color rgb="FF1A1A2E"/>
      <color rgb="FF636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2622-9F7F-4F38-A8B8-3698FD49420F}">
  <dimension ref="A2:AA265"/>
  <sheetViews>
    <sheetView topLeftCell="F244" zoomScale="80" zoomScaleNormal="80" workbookViewId="0">
      <selection activeCell="M268" sqref="M268"/>
    </sheetView>
  </sheetViews>
  <sheetFormatPr defaultRowHeight="14.5" x14ac:dyDescent="0.35"/>
  <cols>
    <col min="1" max="1" width="8.7265625" style="1"/>
    <col min="2" max="2" width="18.36328125" style="1" bestFit="1" customWidth="1"/>
    <col min="3" max="3" width="16.453125" style="1" customWidth="1"/>
    <col min="4" max="4" width="11" style="23" customWidth="1"/>
    <col min="5" max="5" width="14.26953125" style="29" bestFit="1" customWidth="1"/>
    <col min="6" max="6" width="19.7265625" style="29" bestFit="1" customWidth="1"/>
    <col min="7" max="7" width="11.90625" style="1" bestFit="1" customWidth="1"/>
    <col min="8" max="8" width="8.81640625" style="23" bestFit="1" customWidth="1"/>
    <col min="9" max="9" width="14.26953125" style="29" bestFit="1" customWidth="1"/>
    <col min="10" max="10" width="13.1796875" style="29" bestFit="1" customWidth="1"/>
    <col min="11" max="11" width="11.90625" style="12" bestFit="1" customWidth="1"/>
    <col min="12" max="12" width="8.81640625" style="41" bestFit="1" customWidth="1"/>
    <col min="13" max="13" width="14.26953125" style="29" bestFit="1" customWidth="1"/>
    <col min="14" max="14" width="13.1796875" style="29" bestFit="1" customWidth="1"/>
    <col min="15" max="15" width="11.90625" style="1" bestFit="1" customWidth="1"/>
    <col min="16" max="16" width="8.7265625" style="23"/>
    <col min="17" max="17" width="14.26953125" style="29" bestFit="1" customWidth="1"/>
    <col min="18" max="18" width="13.1796875" style="29" bestFit="1" customWidth="1"/>
    <col min="19" max="19" width="14.26953125" style="29" bestFit="1" customWidth="1"/>
    <col min="20" max="20" width="11.90625" style="1" bestFit="1" customWidth="1"/>
    <col min="21" max="27" width="8.7265625" style="1"/>
  </cols>
  <sheetData>
    <row r="2" spans="2:11" x14ac:dyDescent="0.35">
      <c r="B2" s="2" t="s">
        <v>0</v>
      </c>
      <c r="C2" s="125" t="s">
        <v>1</v>
      </c>
      <c r="D2" s="114"/>
      <c r="E2" s="114"/>
      <c r="F2" s="114"/>
      <c r="G2" s="114"/>
      <c r="H2" s="114"/>
      <c r="I2" s="114"/>
      <c r="J2" s="114"/>
      <c r="K2" s="114"/>
    </row>
    <row r="3" spans="2:11" x14ac:dyDescent="0.35">
      <c r="B3" s="3" t="s">
        <v>2</v>
      </c>
    </row>
    <row r="4" spans="2:11" x14ac:dyDescent="0.35">
      <c r="B4" s="4" t="s">
        <v>3</v>
      </c>
      <c r="C4" s="4" t="s">
        <v>4</v>
      </c>
      <c r="D4" s="43" t="s">
        <v>5</v>
      </c>
      <c r="E4" s="33" t="s">
        <v>6</v>
      </c>
      <c r="F4" s="33" t="s">
        <v>7</v>
      </c>
    </row>
    <row r="5" spans="2:11" x14ac:dyDescent="0.35">
      <c r="B5" s="5" t="s">
        <v>8</v>
      </c>
      <c r="C5" s="6">
        <v>0.25</v>
      </c>
      <c r="D5" s="44">
        <v>0.2</v>
      </c>
      <c r="E5" s="34">
        <v>0.3</v>
      </c>
      <c r="F5" s="45" t="s">
        <v>9</v>
      </c>
    </row>
    <row r="6" spans="2:11" x14ac:dyDescent="0.35">
      <c r="B6" s="5" t="s">
        <v>10</v>
      </c>
      <c r="C6" s="6">
        <v>0.25</v>
      </c>
      <c r="D6" s="44">
        <v>0.2</v>
      </c>
      <c r="E6" s="34">
        <v>0.3</v>
      </c>
      <c r="F6" s="45" t="s">
        <v>11</v>
      </c>
    </row>
    <row r="7" spans="2:11" x14ac:dyDescent="0.35">
      <c r="B7" s="5" t="s">
        <v>12</v>
      </c>
      <c r="C7" s="6">
        <v>0.25</v>
      </c>
      <c r="D7" s="44">
        <v>0.2</v>
      </c>
      <c r="E7" s="34">
        <v>0.3</v>
      </c>
      <c r="F7" s="45" t="s">
        <v>13</v>
      </c>
    </row>
    <row r="8" spans="2:11" x14ac:dyDescent="0.35">
      <c r="B8" s="5" t="s">
        <v>14</v>
      </c>
      <c r="C8" s="6">
        <v>0.25</v>
      </c>
      <c r="D8" s="44">
        <v>0.2</v>
      </c>
      <c r="E8" s="34">
        <v>0.3</v>
      </c>
      <c r="F8" s="45" t="s">
        <v>15</v>
      </c>
    </row>
    <row r="9" spans="2:11" x14ac:dyDescent="0.35">
      <c r="B9" s="124" t="s">
        <v>16</v>
      </c>
      <c r="C9" s="114"/>
      <c r="D9" s="114"/>
      <c r="E9" s="114"/>
      <c r="F9" s="114"/>
      <c r="G9" s="114"/>
      <c r="H9" s="114"/>
      <c r="I9" s="114"/>
      <c r="J9" s="114"/>
      <c r="K9" s="114"/>
    </row>
    <row r="10" spans="2:11" x14ac:dyDescent="0.35">
      <c r="B10" s="126" t="s">
        <v>17</v>
      </c>
      <c r="C10" s="114"/>
      <c r="D10" s="114"/>
      <c r="E10" s="114"/>
      <c r="F10" s="114"/>
      <c r="G10" s="114"/>
      <c r="H10" s="114"/>
      <c r="I10" s="114"/>
      <c r="J10" s="114"/>
      <c r="K10" s="114"/>
    </row>
    <row r="11" spans="2:11" x14ac:dyDescent="0.35">
      <c r="B11" s="126" t="s">
        <v>18</v>
      </c>
      <c r="C11" s="114"/>
      <c r="D11" s="114"/>
      <c r="E11" s="114"/>
      <c r="F11" s="114"/>
      <c r="G11" s="114"/>
      <c r="H11" s="114"/>
      <c r="I11" s="114"/>
      <c r="J11" s="114"/>
      <c r="K11" s="114"/>
    </row>
    <row r="12" spans="2:11" x14ac:dyDescent="0.35">
      <c r="B12" s="126" t="s">
        <v>19</v>
      </c>
      <c r="C12" s="114"/>
      <c r="D12" s="114"/>
      <c r="E12" s="114"/>
      <c r="F12" s="114"/>
      <c r="G12" s="114"/>
      <c r="H12" s="114"/>
      <c r="I12" s="114"/>
      <c r="J12" s="114"/>
      <c r="K12" s="114"/>
    </row>
    <row r="13" spans="2:11" x14ac:dyDescent="0.35">
      <c r="B13" s="126" t="s">
        <v>20</v>
      </c>
      <c r="C13" s="114"/>
      <c r="D13" s="114"/>
      <c r="E13" s="114"/>
      <c r="F13" s="114"/>
      <c r="G13" s="114"/>
      <c r="H13" s="114"/>
      <c r="I13" s="114"/>
      <c r="J13" s="114"/>
      <c r="K13" s="114"/>
    </row>
    <row r="14" spans="2:11" x14ac:dyDescent="0.35">
      <c r="B14" s="126" t="s">
        <v>21</v>
      </c>
      <c r="C14" s="114"/>
      <c r="D14" s="114"/>
      <c r="E14" s="114"/>
      <c r="F14" s="114"/>
      <c r="G14" s="114"/>
      <c r="H14" s="114"/>
      <c r="I14" s="114"/>
      <c r="J14" s="114"/>
      <c r="K14" s="114"/>
    </row>
    <row r="15" spans="2:11" x14ac:dyDescent="0.35">
      <c r="B15" s="126" t="s">
        <v>22</v>
      </c>
      <c r="C15" s="114"/>
      <c r="D15" s="114"/>
      <c r="E15" s="114"/>
      <c r="F15" s="114"/>
      <c r="G15" s="114"/>
      <c r="H15" s="114"/>
      <c r="I15" s="114"/>
      <c r="J15" s="114"/>
      <c r="K15" s="114"/>
    </row>
    <row r="16" spans="2:11" x14ac:dyDescent="0.35">
      <c r="B16" s="126" t="s">
        <v>23</v>
      </c>
      <c r="C16" s="114"/>
      <c r="D16" s="114"/>
      <c r="E16" s="114"/>
      <c r="F16" s="114"/>
      <c r="G16" s="114"/>
      <c r="H16" s="114"/>
      <c r="I16" s="114"/>
      <c r="J16" s="114"/>
      <c r="K16" s="114"/>
    </row>
    <row r="18" spans="2:20" x14ac:dyDescent="0.35">
      <c r="B18" s="123" t="s">
        <v>24</v>
      </c>
      <c r="C18" s="119" t="s">
        <v>270</v>
      </c>
      <c r="D18" s="119"/>
      <c r="E18" s="119"/>
      <c r="F18" s="119"/>
      <c r="G18" s="119" t="s">
        <v>278</v>
      </c>
      <c r="H18" s="119"/>
      <c r="I18" s="119"/>
      <c r="J18" s="119"/>
      <c r="K18" s="119" t="s">
        <v>279</v>
      </c>
      <c r="L18" s="119"/>
      <c r="M18" s="119"/>
      <c r="N18" s="119"/>
      <c r="O18" s="119" t="s">
        <v>281</v>
      </c>
      <c r="P18" s="119"/>
      <c r="Q18" s="119"/>
      <c r="R18" s="119"/>
      <c r="S18" s="120" t="s">
        <v>272</v>
      </c>
      <c r="T18" s="121" t="s">
        <v>273</v>
      </c>
    </row>
    <row r="19" spans="2:20" x14ac:dyDescent="0.35">
      <c r="B19" s="123"/>
      <c r="C19" s="13" t="s">
        <v>273</v>
      </c>
      <c r="D19" s="39" t="s">
        <v>274</v>
      </c>
      <c r="E19" s="30" t="s">
        <v>275</v>
      </c>
      <c r="F19" s="46" t="s">
        <v>276</v>
      </c>
      <c r="G19" s="14" t="s">
        <v>273</v>
      </c>
      <c r="H19" s="39" t="s">
        <v>274</v>
      </c>
      <c r="I19" s="30" t="s">
        <v>275</v>
      </c>
      <c r="J19" s="46" t="s">
        <v>276</v>
      </c>
      <c r="K19" s="14" t="s">
        <v>273</v>
      </c>
      <c r="L19" s="42" t="s">
        <v>274</v>
      </c>
      <c r="M19" s="30" t="s">
        <v>275</v>
      </c>
      <c r="N19" s="46" t="s">
        <v>276</v>
      </c>
      <c r="O19" s="14" t="s">
        <v>273</v>
      </c>
      <c r="P19" s="39" t="s">
        <v>274</v>
      </c>
      <c r="Q19" s="30" t="s">
        <v>275</v>
      </c>
      <c r="R19" s="46" t="s">
        <v>276</v>
      </c>
      <c r="S19" s="120"/>
      <c r="T19" s="121"/>
    </row>
    <row r="20" spans="2:20" x14ac:dyDescent="0.35">
      <c r="B20" s="28" t="s">
        <v>280</v>
      </c>
      <c r="C20" s="35" t="s">
        <v>277</v>
      </c>
      <c r="D20" s="38">
        <f>E20/S20</f>
        <v>0.25</v>
      </c>
      <c r="E20" s="36">
        <v>25000</v>
      </c>
      <c r="F20" s="36">
        <v>0</v>
      </c>
      <c r="G20" s="35" t="s">
        <v>277</v>
      </c>
      <c r="H20" s="38">
        <f>I20/S20</f>
        <v>0.25</v>
      </c>
      <c r="I20" s="36">
        <v>25000</v>
      </c>
      <c r="J20" s="36">
        <v>0</v>
      </c>
      <c r="K20" s="35" t="s">
        <v>277</v>
      </c>
      <c r="L20" s="38">
        <f>M20/S20</f>
        <v>0.25</v>
      </c>
      <c r="M20" s="36">
        <v>25000</v>
      </c>
      <c r="N20" s="36">
        <v>0</v>
      </c>
      <c r="O20" s="35" t="s">
        <v>277</v>
      </c>
      <c r="P20" s="38">
        <f>Q20/S20</f>
        <v>0.25</v>
      </c>
      <c r="Q20" s="36">
        <v>25000</v>
      </c>
      <c r="R20" s="36">
        <v>0</v>
      </c>
      <c r="S20" s="37">
        <f>Q20+M20+I20+E20</f>
        <v>100000</v>
      </c>
      <c r="T20" s="40">
        <v>0</v>
      </c>
    </row>
    <row r="21" spans="2:20" x14ac:dyDescent="0.35">
      <c r="B21" s="9" t="s">
        <v>25</v>
      </c>
      <c r="C21" s="15">
        <v>-2.2499999999999999E-2</v>
      </c>
      <c r="D21" s="38">
        <f t="shared" ref="D21:D84" si="0">E21/S21</f>
        <v>0.24929864830400408</v>
      </c>
      <c r="E21" s="32">
        <f>((E20+F21)*C21)+E20+F21</f>
        <v>24437.5</v>
      </c>
      <c r="F21" s="47">
        <v>0</v>
      </c>
      <c r="G21" s="20">
        <v>5.2699999999999997E-2</v>
      </c>
      <c r="H21" s="38">
        <f t="shared" ref="H21:H84" si="1">I21/S21</f>
        <v>0.26847742922723794</v>
      </c>
      <c r="I21" s="32">
        <f>((I20+J21)*G21)+I20+J21</f>
        <v>26317.5</v>
      </c>
      <c r="J21" s="47">
        <v>0</v>
      </c>
      <c r="K21" s="21">
        <v>-5.9499999999999997E-2</v>
      </c>
      <c r="L21" s="38">
        <f t="shared" ref="L21:L84" si="2">M21/S21</f>
        <v>0.23986228003060445</v>
      </c>
      <c r="M21" s="32">
        <f>((M20+N21)*K21)+M20+N21</f>
        <v>23512.5</v>
      </c>
      <c r="N21" s="47">
        <v>0</v>
      </c>
      <c r="O21" s="21">
        <v>-4.9700000000000001E-2</v>
      </c>
      <c r="P21" s="38">
        <f t="shared" ref="P21:P84" si="3">Q21/S21</f>
        <v>0.24236164243815353</v>
      </c>
      <c r="Q21" s="31">
        <f>((Q20+R21)*O21)+Q20+R21</f>
        <v>23757.5</v>
      </c>
      <c r="R21" s="47">
        <v>0</v>
      </c>
      <c r="S21" s="37">
        <f t="shared" ref="S21:S84" si="4">Q21+M21+I21+E21</f>
        <v>98025</v>
      </c>
      <c r="T21" s="40">
        <f>S21/S20-1</f>
        <v>-1.9750000000000045E-2</v>
      </c>
    </row>
    <row r="22" spans="2:20" x14ac:dyDescent="0.35">
      <c r="B22" s="10" t="s">
        <v>26</v>
      </c>
      <c r="C22" s="15">
        <v>-3.5099999999999999E-2</v>
      </c>
      <c r="D22" s="38">
        <f t="shared" si="0"/>
        <v>0.24956028941243413</v>
      </c>
      <c r="E22" s="32">
        <f>((E21+F22)*C22)+E21+F22</f>
        <v>23579.743750000001</v>
      </c>
      <c r="F22" s="47">
        <v>0</v>
      </c>
      <c r="G22" s="15">
        <v>-4.7199999999999999E-2</v>
      </c>
      <c r="H22" s="38">
        <f t="shared" si="1"/>
        <v>0.26538891538834725</v>
      </c>
      <c r="I22" s="32">
        <f t="shared" ref="I22:I85" si="5">((I21+J22)*G22)+I21+J22</f>
        <v>25075.313999999998</v>
      </c>
      <c r="J22" s="47">
        <v>0</v>
      </c>
      <c r="K22" s="15">
        <v>-2.8299999999999999E-2</v>
      </c>
      <c r="L22" s="38">
        <f t="shared" si="2"/>
        <v>0.24180618809242732</v>
      </c>
      <c r="M22" s="32">
        <f t="shared" ref="M22:M85" si="6">((M21+N22)*K22)+M21+N22</f>
        <v>22847.096249999999</v>
      </c>
      <c r="N22" s="47">
        <v>0</v>
      </c>
      <c r="O22" s="15">
        <v>-3.2599999999999997E-2</v>
      </c>
      <c r="P22" s="38">
        <f t="shared" si="3"/>
        <v>0.24324460710679116</v>
      </c>
      <c r="Q22" s="31">
        <f t="shared" ref="Q22:Q85" si="7">((Q21+R22)*O22)+Q21+R22</f>
        <v>22983.005499999999</v>
      </c>
      <c r="R22" s="47">
        <v>0</v>
      </c>
      <c r="S22" s="37">
        <f t="shared" si="4"/>
        <v>94485.159500000009</v>
      </c>
      <c r="T22" s="40">
        <f t="shared" ref="T22:T85" si="8">S22/S21-1</f>
        <v>-3.6111609283346002E-2</v>
      </c>
    </row>
    <row r="23" spans="2:20" x14ac:dyDescent="0.35">
      <c r="B23" s="11" t="s">
        <v>27</v>
      </c>
      <c r="C23" s="20">
        <v>3.4500000000000003E-2</v>
      </c>
      <c r="D23" s="38">
        <f t="shared" si="0"/>
        <v>0.2521618907519142</v>
      </c>
      <c r="E23" s="32">
        <f t="shared" ref="E23:E86" si="9">((E22+F23)*C23)+E22+F23</f>
        <v>24393.244909375</v>
      </c>
      <c r="F23" s="47">
        <v>0</v>
      </c>
      <c r="G23" s="20">
        <v>6.2600000000000003E-2</v>
      </c>
      <c r="H23" s="38">
        <f t="shared" si="1"/>
        <v>0.27543940259274463</v>
      </c>
      <c r="I23" s="32">
        <f t="shared" si="5"/>
        <v>26645.028656399998</v>
      </c>
      <c r="J23" s="47">
        <v>0</v>
      </c>
      <c r="K23" s="24">
        <v>-2.7E-2</v>
      </c>
      <c r="L23" s="38">
        <f t="shared" si="2"/>
        <v>0.22980195954760485</v>
      </c>
      <c r="M23" s="32">
        <f t="shared" si="6"/>
        <v>22230.224651249999</v>
      </c>
      <c r="N23" s="47">
        <v>0</v>
      </c>
      <c r="O23" s="26">
        <v>2.1100000000000001E-2</v>
      </c>
      <c r="P23" s="38">
        <f t="shared" si="3"/>
        <v>0.24259674710773624</v>
      </c>
      <c r="Q23" s="31">
        <f t="shared" si="7"/>
        <v>23467.946916049998</v>
      </c>
      <c r="R23" s="47">
        <v>0</v>
      </c>
      <c r="S23" s="37">
        <f t="shared" si="4"/>
        <v>96736.445133075002</v>
      </c>
      <c r="T23" s="40">
        <f t="shared" si="8"/>
        <v>2.3826870219497254E-2</v>
      </c>
    </row>
    <row r="24" spans="2:20" x14ac:dyDescent="0.35">
      <c r="B24" s="10" t="s">
        <v>28</v>
      </c>
      <c r="C24" s="15">
        <v>-2.5399999999999999E-2</v>
      </c>
      <c r="D24" s="38">
        <f t="shared" si="0"/>
        <v>0.24777223917099292</v>
      </c>
      <c r="E24" s="32">
        <f t="shared" si="9"/>
        <v>23773.656488676876</v>
      </c>
      <c r="F24" s="47">
        <v>0</v>
      </c>
      <c r="G24" s="20">
        <v>0.08</v>
      </c>
      <c r="H24" s="38">
        <f t="shared" si="1"/>
        <v>0.29991391056757227</v>
      </c>
      <c r="I24" s="32">
        <f t="shared" si="5"/>
        <v>28776.630948911999</v>
      </c>
      <c r="J24" s="47">
        <v>0</v>
      </c>
      <c r="K24" s="24">
        <v>-6.7199999999999996E-2</v>
      </c>
      <c r="L24" s="38">
        <f t="shared" si="2"/>
        <v>0.21611706028195743</v>
      </c>
      <c r="M24" s="32">
        <f t="shared" si="6"/>
        <v>20736.353554686</v>
      </c>
      <c r="N24" s="47">
        <v>0</v>
      </c>
      <c r="O24" s="27">
        <v>-3.4299999999999997E-2</v>
      </c>
      <c r="P24" s="38">
        <f t="shared" si="3"/>
        <v>0.23619678997947735</v>
      </c>
      <c r="Q24" s="31">
        <f t="shared" si="7"/>
        <v>22662.996336829481</v>
      </c>
      <c r="R24" s="47">
        <v>0</v>
      </c>
      <c r="S24" s="37">
        <f t="shared" si="4"/>
        <v>95949.637329104356</v>
      </c>
      <c r="T24" s="40">
        <f t="shared" si="8"/>
        <v>-8.1335199250734957E-3</v>
      </c>
    </row>
    <row r="25" spans="2:20" x14ac:dyDescent="0.35">
      <c r="B25" s="11" t="s">
        <v>29</v>
      </c>
      <c r="C25" s="20">
        <v>6.2700000000000006E-2</v>
      </c>
      <c r="D25" s="38">
        <f t="shared" si="0"/>
        <v>0.24310766552094024</v>
      </c>
      <c r="E25" s="32">
        <f t="shared" si="9"/>
        <v>25264.264750516915</v>
      </c>
      <c r="F25" s="47">
        <v>0</v>
      </c>
      <c r="G25" s="20">
        <v>7.7399999999999997E-2</v>
      </c>
      <c r="H25" s="38">
        <f t="shared" si="1"/>
        <v>0.29833822914760288</v>
      </c>
      <c r="I25" s="32">
        <f t="shared" si="5"/>
        <v>31003.942184357787</v>
      </c>
      <c r="J25" s="47">
        <v>0</v>
      </c>
      <c r="K25" s="25">
        <v>9.0200000000000002E-2</v>
      </c>
      <c r="L25" s="38">
        <f t="shared" si="2"/>
        <v>0.21753570812519396</v>
      </c>
      <c r="M25" s="32">
        <f t="shared" si="6"/>
        <v>22606.772645318677</v>
      </c>
      <c r="N25" s="47">
        <v>0</v>
      </c>
      <c r="O25" s="26">
        <v>0.1052</v>
      </c>
      <c r="P25" s="38">
        <f t="shared" si="3"/>
        <v>0.24101839720626284</v>
      </c>
      <c r="Q25" s="31">
        <f t="shared" si="7"/>
        <v>25047.143551463942</v>
      </c>
      <c r="R25" s="47">
        <v>0</v>
      </c>
      <c r="S25" s="37">
        <f t="shared" si="4"/>
        <v>103922.12313165732</v>
      </c>
      <c r="T25" s="40">
        <f t="shared" si="8"/>
        <v>8.309031721722504E-2</v>
      </c>
    </row>
    <row r="26" spans="2:20" x14ac:dyDescent="0.35">
      <c r="B26" s="10" t="s">
        <v>30</v>
      </c>
      <c r="C26" s="15">
        <v>-5.8900000000000001E-2</v>
      </c>
      <c r="D26" s="38">
        <f t="shared" si="0"/>
        <v>0.24573283970914028</v>
      </c>
      <c r="E26" s="32">
        <f t="shared" si="9"/>
        <v>23776.199556711468</v>
      </c>
      <c r="F26" s="47">
        <v>0</v>
      </c>
      <c r="G26" s="15">
        <v>-0.10100000000000001</v>
      </c>
      <c r="H26" s="38">
        <f t="shared" si="1"/>
        <v>0.28806956202290579</v>
      </c>
      <c r="I26" s="32">
        <f t="shared" si="5"/>
        <v>27872.54402373765</v>
      </c>
      <c r="J26" s="47">
        <v>0</v>
      </c>
      <c r="K26" s="24">
        <v>-5.1700000000000003E-2</v>
      </c>
      <c r="L26" s="38">
        <f t="shared" si="2"/>
        <v>0.22156700103992982</v>
      </c>
      <c r="M26" s="32">
        <f t="shared" si="6"/>
        <v>21438.0024995557</v>
      </c>
      <c r="N26" s="47">
        <v>0</v>
      </c>
      <c r="O26" s="27">
        <v>-5.5E-2</v>
      </c>
      <c r="P26" s="38">
        <f t="shared" si="3"/>
        <v>0.24463059722802422</v>
      </c>
      <c r="Q26" s="31">
        <f t="shared" si="7"/>
        <v>23669.550656133426</v>
      </c>
      <c r="R26" s="47">
        <v>0</v>
      </c>
      <c r="S26" s="37">
        <f t="shared" si="4"/>
        <v>96756.296736138233</v>
      </c>
      <c r="T26" s="40">
        <f t="shared" si="8"/>
        <v>-6.8953810599508447E-2</v>
      </c>
    </row>
    <row r="27" spans="2:20" x14ac:dyDescent="0.35">
      <c r="B27" s="11" t="s">
        <v>31</v>
      </c>
      <c r="C27" s="20">
        <v>5.4999999999999997E-3</v>
      </c>
      <c r="D27" s="38">
        <f t="shared" si="0"/>
        <v>0.24267713735132185</v>
      </c>
      <c r="E27" s="32">
        <f t="shared" si="9"/>
        <v>23906.96865427338</v>
      </c>
      <c r="F27" s="47">
        <v>0</v>
      </c>
      <c r="G27" s="20">
        <v>3.61E-2</v>
      </c>
      <c r="H27" s="38">
        <f t="shared" si="1"/>
        <v>0.29314509713232595</v>
      </c>
      <c r="I27" s="32">
        <f t="shared" si="5"/>
        <v>28878.742862994579</v>
      </c>
      <c r="J27" s="47">
        <v>0</v>
      </c>
      <c r="K27" s="25">
        <v>1.7999999999999999E-2</v>
      </c>
      <c r="L27" s="38">
        <f t="shared" si="2"/>
        <v>0.22153198881465791</v>
      </c>
      <c r="M27" s="32">
        <f t="shared" si="6"/>
        <v>21823.886544547702</v>
      </c>
      <c r="N27" s="47">
        <v>0</v>
      </c>
      <c r="O27" s="26">
        <v>9.9000000000000008E-3</v>
      </c>
      <c r="P27" s="38">
        <f t="shared" si="3"/>
        <v>0.24264577670169435</v>
      </c>
      <c r="Q27" s="31">
        <f t="shared" si="7"/>
        <v>23903.879207629147</v>
      </c>
      <c r="R27" s="47">
        <v>0</v>
      </c>
      <c r="S27" s="37">
        <f t="shared" si="4"/>
        <v>98513.477269444804</v>
      </c>
      <c r="T27" s="40">
        <f t="shared" si="8"/>
        <v>1.8160890738703417E-2</v>
      </c>
    </row>
    <row r="28" spans="2:20" x14ac:dyDescent="0.35">
      <c r="B28" s="10" t="s">
        <v>32</v>
      </c>
      <c r="C28" s="20">
        <v>2.7000000000000001E-3</v>
      </c>
      <c r="D28" s="38">
        <f t="shared" si="0"/>
        <v>0.24603628666569494</v>
      </c>
      <c r="E28" s="32">
        <f t="shared" si="9"/>
        <v>23971.517469639919</v>
      </c>
      <c r="F28" s="47">
        <v>0</v>
      </c>
      <c r="G28" s="15">
        <v>-3.5099999999999999E-2</v>
      </c>
      <c r="H28" s="38">
        <f t="shared" si="1"/>
        <v>0.28599881052112586</v>
      </c>
      <c r="I28" s="32">
        <f t="shared" si="5"/>
        <v>27865.098988503469</v>
      </c>
      <c r="J28" s="47">
        <v>0</v>
      </c>
      <c r="K28" s="25">
        <v>7.9000000000000008E-3</v>
      </c>
      <c r="L28" s="38">
        <f t="shared" si="2"/>
        <v>0.22576321295202936</v>
      </c>
      <c r="M28" s="32">
        <f t="shared" si="6"/>
        <v>21996.295248249629</v>
      </c>
      <c r="N28" s="47">
        <v>0</v>
      </c>
      <c r="O28" s="27">
        <v>-1.2800000000000001E-2</v>
      </c>
      <c r="P28" s="38">
        <f t="shared" si="3"/>
        <v>0.2422016898611499</v>
      </c>
      <c r="Q28" s="31">
        <f t="shared" si="7"/>
        <v>23597.909553771493</v>
      </c>
      <c r="R28" s="47">
        <v>0</v>
      </c>
      <c r="S28" s="37">
        <f t="shared" si="4"/>
        <v>97430.821260164506</v>
      </c>
      <c r="T28" s="40">
        <f t="shared" si="8"/>
        <v>-1.0989927868641947E-2</v>
      </c>
    </row>
    <row r="29" spans="2:20" x14ac:dyDescent="0.35">
      <c r="B29" s="11" t="s">
        <v>33</v>
      </c>
      <c r="C29" s="20">
        <v>4.4400000000000002E-2</v>
      </c>
      <c r="D29" s="38">
        <f t="shared" si="0"/>
        <v>0.25274658668956446</v>
      </c>
      <c r="E29" s="32">
        <f t="shared" si="9"/>
        <v>25035.852845291931</v>
      </c>
      <c r="F29" s="47">
        <v>0</v>
      </c>
      <c r="G29" s="15">
        <v>-2.5000000000000001E-2</v>
      </c>
      <c r="H29" s="38">
        <f t="shared" si="1"/>
        <v>0.27427619434880246</v>
      </c>
      <c r="I29" s="32">
        <f t="shared" si="5"/>
        <v>27168.471513790882</v>
      </c>
      <c r="J29" s="47">
        <v>0</v>
      </c>
      <c r="K29" s="25">
        <v>3.4599999999999999E-2</v>
      </c>
      <c r="L29" s="38">
        <f t="shared" si="2"/>
        <v>0.22974439428806961</v>
      </c>
      <c r="M29" s="32">
        <f t="shared" si="6"/>
        <v>22757.367063839065</v>
      </c>
      <c r="N29" s="47">
        <v>0</v>
      </c>
      <c r="O29" s="26">
        <v>2.1000000000000001E-2</v>
      </c>
      <c r="P29" s="38">
        <f t="shared" si="3"/>
        <v>0.2432328246735635</v>
      </c>
      <c r="Q29" s="31">
        <f t="shared" si="7"/>
        <v>24093.465654400694</v>
      </c>
      <c r="R29" s="47">
        <v>0</v>
      </c>
      <c r="S29" s="37">
        <f t="shared" si="4"/>
        <v>99055.157077322569</v>
      </c>
      <c r="T29" s="40">
        <f t="shared" si="8"/>
        <v>1.6671683520153024E-2</v>
      </c>
    </row>
    <row r="30" spans="2:20" x14ac:dyDescent="0.35">
      <c r="B30" s="10" t="s">
        <v>34</v>
      </c>
      <c r="C30" s="20">
        <v>1.5900000000000001E-2</v>
      </c>
      <c r="D30" s="38">
        <f t="shared" si="0"/>
        <v>0.25711867373216757</v>
      </c>
      <c r="E30" s="32">
        <f t="shared" si="9"/>
        <v>25433.922905532072</v>
      </c>
      <c r="F30" s="47">
        <v>0</v>
      </c>
      <c r="G30" s="15">
        <v>-2E-3</v>
      </c>
      <c r="H30" s="38">
        <f t="shared" si="1"/>
        <v>0.27410440560523242</v>
      </c>
      <c r="I30" s="32">
        <f t="shared" si="5"/>
        <v>27114.134570763301</v>
      </c>
      <c r="J30" s="47">
        <v>0</v>
      </c>
      <c r="K30" s="24">
        <v>-1.0500000000000001E-2</v>
      </c>
      <c r="L30" s="38">
        <f t="shared" si="2"/>
        <v>0.22764498210543901</v>
      </c>
      <c r="M30" s="32">
        <f t="shared" si="6"/>
        <v>22518.414709668756</v>
      </c>
      <c r="N30" s="47">
        <v>0</v>
      </c>
      <c r="O30" s="27">
        <v>-0.01</v>
      </c>
      <c r="P30" s="38">
        <f t="shared" si="3"/>
        <v>0.24113193855716092</v>
      </c>
      <c r="Q30" s="31">
        <f t="shared" si="7"/>
        <v>23852.530997856687</v>
      </c>
      <c r="R30" s="47">
        <v>0</v>
      </c>
      <c r="S30" s="37">
        <f t="shared" si="4"/>
        <v>98919.003183820823</v>
      </c>
      <c r="T30" s="40">
        <f t="shared" si="8"/>
        <v>-1.3745260470937604E-3</v>
      </c>
    </row>
    <row r="31" spans="2:20" x14ac:dyDescent="0.35">
      <c r="B31" s="11" t="s">
        <v>35</v>
      </c>
      <c r="C31" s="20">
        <v>2.9399999999999999E-2</v>
      </c>
      <c r="D31" s="38">
        <f t="shared" si="0"/>
        <v>0.25415466870925424</v>
      </c>
      <c r="E31" s="32">
        <f t="shared" si="9"/>
        <v>26181.680238954716</v>
      </c>
      <c r="F31" s="47">
        <v>0</v>
      </c>
      <c r="G31" s="20">
        <v>8.3099999999999993E-2</v>
      </c>
      <c r="H31" s="38">
        <f t="shared" si="1"/>
        <v>0.28507877272350873</v>
      </c>
      <c r="I31" s="32">
        <f t="shared" si="5"/>
        <v>29367.319153593729</v>
      </c>
      <c r="J31" s="47">
        <v>0</v>
      </c>
      <c r="K31" s="25">
        <v>3.2199999999999999E-2</v>
      </c>
      <c r="L31" s="38">
        <f t="shared" si="2"/>
        <v>0.22563280644695477</v>
      </c>
      <c r="M31" s="32">
        <f t="shared" si="6"/>
        <v>23243.507663320088</v>
      </c>
      <c r="N31" s="47">
        <v>0</v>
      </c>
      <c r="O31" s="26">
        <v>1.55E-2</v>
      </c>
      <c r="P31" s="38">
        <f t="shared" si="3"/>
        <v>0.23513375212028206</v>
      </c>
      <c r="Q31" s="31">
        <f t="shared" si="7"/>
        <v>24222.245228323467</v>
      </c>
      <c r="R31" s="47">
        <v>0</v>
      </c>
      <c r="S31" s="37">
        <f t="shared" si="4"/>
        <v>103014.75228419201</v>
      </c>
      <c r="T31" s="40">
        <f t="shared" si="8"/>
        <v>4.1405078584951793E-2</v>
      </c>
    </row>
    <row r="32" spans="2:20" x14ac:dyDescent="0.35">
      <c r="B32" s="10" t="s">
        <v>36</v>
      </c>
      <c r="C32" s="15">
        <v>-3.2000000000000002E-3</v>
      </c>
      <c r="D32" s="38">
        <f t="shared" si="0"/>
        <v>0.25944297342226175</v>
      </c>
      <c r="E32" s="32">
        <f t="shared" si="9"/>
        <v>26097.898862190061</v>
      </c>
      <c r="F32" s="47">
        <v>0</v>
      </c>
      <c r="G32" s="15">
        <v>-3.3599999999999998E-2</v>
      </c>
      <c r="H32" s="38">
        <f t="shared" si="1"/>
        <v>0.28213540802196213</v>
      </c>
      <c r="I32" s="32">
        <f t="shared" si="5"/>
        <v>28380.577230032981</v>
      </c>
      <c r="J32" s="47">
        <v>0</v>
      </c>
      <c r="K32" s="24">
        <v>-4.8899999999999999E-2</v>
      </c>
      <c r="L32" s="38">
        <f t="shared" si="2"/>
        <v>0.21976787998870612</v>
      </c>
      <c r="M32" s="32">
        <f t="shared" si="6"/>
        <v>22106.900138583736</v>
      </c>
      <c r="N32" s="47">
        <v>0</v>
      </c>
      <c r="O32" s="27">
        <v>-8.8999999999999999E-3</v>
      </c>
      <c r="P32" s="38">
        <f t="shared" si="3"/>
        <v>0.23865373856706987</v>
      </c>
      <c r="Q32" s="31">
        <f t="shared" si="7"/>
        <v>24006.667245791388</v>
      </c>
      <c r="R32" s="47">
        <v>0</v>
      </c>
      <c r="S32" s="37">
        <f t="shared" si="4"/>
        <v>100592.04347659818</v>
      </c>
      <c r="T32" s="40">
        <f t="shared" si="8"/>
        <v>-2.3518076332506133E-2</v>
      </c>
    </row>
    <row r="33" spans="2:20" x14ac:dyDescent="0.35">
      <c r="B33" s="9" t="s">
        <v>37</v>
      </c>
      <c r="C33" s="20">
        <v>1.12E-2</v>
      </c>
      <c r="D33" s="38">
        <f t="shared" si="0"/>
        <v>0.26075187549283579</v>
      </c>
      <c r="E33" s="32">
        <f t="shared" si="9"/>
        <v>26390.195329446589</v>
      </c>
      <c r="F33" s="47">
        <v>0</v>
      </c>
      <c r="G33" s="20">
        <v>2.29E-2</v>
      </c>
      <c r="H33" s="38">
        <f t="shared" si="1"/>
        <v>0.28683968640454882</v>
      </c>
      <c r="I33" s="32">
        <f t="shared" si="5"/>
        <v>29030.492448600737</v>
      </c>
      <c r="J33" s="47">
        <v>0</v>
      </c>
      <c r="K33" s="24">
        <v>-1.2800000000000001E-2</v>
      </c>
      <c r="L33" s="38">
        <f t="shared" si="2"/>
        <v>0.21563429451055441</v>
      </c>
      <c r="M33" s="32">
        <f t="shared" si="6"/>
        <v>21823.931816809865</v>
      </c>
      <c r="N33" s="47">
        <v>0</v>
      </c>
      <c r="O33" s="27">
        <v>-1.8E-3</v>
      </c>
      <c r="P33" s="38">
        <f t="shared" si="3"/>
        <v>0.23677414359206098</v>
      </c>
      <c r="Q33" s="31">
        <f t="shared" si="7"/>
        <v>23963.455244748962</v>
      </c>
      <c r="R33" s="47">
        <v>0</v>
      </c>
      <c r="S33" s="37">
        <f t="shared" si="4"/>
        <v>101208.07483960615</v>
      </c>
      <c r="T33" s="40">
        <f t="shared" si="8"/>
        <v>6.124056552756052E-3</v>
      </c>
    </row>
    <row r="34" spans="2:20" x14ac:dyDescent="0.35">
      <c r="B34" s="10" t="s">
        <v>38</v>
      </c>
      <c r="C34" s="15">
        <v>-2.2599999999999999E-2</v>
      </c>
      <c r="D34" s="38">
        <f t="shared" si="0"/>
        <v>0.25286035346747138</v>
      </c>
      <c r="E34" s="32">
        <f t="shared" si="9"/>
        <v>25793.776915001097</v>
      </c>
      <c r="F34" s="47">
        <v>0</v>
      </c>
      <c r="G34" s="20">
        <v>2.53E-2</v>
      </c>
      <c r="H34" s="38">
        <f t="shared" si="1"/>
        <v>0.29179050898251851</v>
      </c>
      <c r="I34" s="32">
        <f t="shared" si="5"/>
        <v>29764.963907550336</v>
      </c>
      <c r="J34" s="47">
        <v>0</v>
      </c>
      <c r="K34" s="25">
        <v>2.8899999999999999E-2</v>
      </c>
      <c r="L34" s="38">
        <f t="shared" si="2"/>
        <v>0.22012631564318461</v>
      </c>
      <c r="M34" s="32">
        <f t="shared" si="6"/>
        <v>22454.643446315669</v>
      </c>
      <c r="N34" s="47">
        <v>0</v>
      </c>
      <c r="O34" s="26">
        <v>1.2999999999999999E-3</v>
      </c>
      <c r="P34" s="38">
        <f t="shared" si="3"/>
        <v>0.2352228219068255</v>
      </c>
      <c r="Q34" s="31">
        <f t="shared" si="7"/>
        <v>23994.607736567137</v>
      </c>
      <c r="R34" s="47">
        <v>0</v>
      </c>
      <c r="S34" s="37">
        <f t="shared" si="4"/>
        <v>102007.99200543424</v>
      </c>
      <c r="T34" s="40">
        <f t="shared" si="8"/>
        <v>7.9036891779216134E-3</v>
      </c>
    </row>
    <row r="35" spans="2:20" x14ac:dyDescent="0.35">
      <c r="B35" s="11" t="s">
        <v>39</v>
      </c>
      <c r="C35" s="15">
        <v>-3.15E-2</v>
      </c>
      <c r="D35" s="38">
        <f t="shared" si="0"/>
        <v>0.25577404899007972</v>
      </c>
      <c r="E35" s="32">
        <f t="shared" si="9"/>
        <v>24981.272942178563</v>
      </c>
      <c r="F35" s="47">
        <v>0</v>
      </c>
      <c r="G35" s="15">
        <v>-5.0200000000000002E-2</v>
      </c>
      <c r="H35" s="38">
        <f t="shared" si="1"/>
        <v>0.28945392276499093</v>
      </c>
      <c r="I35" s="32">
        <f t="shared" si="5"/>
        <v>28270.76271939131</v>
      </c>
      <c r="J35" s="47">
        <v>0</v>
      </c>
      <c r="K35" s="24">
        <v>-6.0999999999999999E-2</v>
      </c>
      <c r="L35" s="38">
        <f t="shared" si="2"/>
        <v>0.21588062649684783</v>
      </c>
      <c r="M35" s="32">
        <f t="shared" si="6"/>
        <v>21084.910196090415</v>
      </c>
      <c r="N35" s="47">
        <v>0</v>
      </c>
      <c r="O35" s="27">
        <v>-2.76E-2</v>
      </c>
      <c r="P35" s="38">
        <f t="shared" si="3"/>
        <v>0.2388914017480816</v>
      </c>
      <c r="Q35" s="31">
        <f t="shared" si="7"/>
        <v>23332.356563037883</v>
      </c>
      <c r="R35" s="47">
        <v>0</v>
      </c>
      <c r="S35" s="37">
        <f t="shared" si="4"/>
        <v>97669.302420698164</v>
      </c>
      <c r="T35" s="40">
        <f t="shared" si="8"/>
        <v>-4.253283982401046E-2</v>
      </c>
    </row>
    <row r="36" spans="2:20" x14ac:dyDescent="0.35">
      <c r="B36" s="10" t="s">
        <v>40</v>
      </c>
      <c r="C36" s="20">
        <v>4.1000000000000002E-2</v>
      </c>
      <c r="D36" s="38">
        <f t="shared" si="0"/>
        <v>0.2620308404930663</v>
      </c>
      <c r="E36" s="32">
        <f t="shared" si="9"/>
        <v>26005.505132807884</v>
      </c>
      <c r="F36" s="47">
        <v>0</v>
      </c>
      <c r="G36" s="20">
        <v>2.0199999999999999E-2</v>
      </c>
      <c r="H36" s="38">
        <f t="shared" si="1"/>
        <v>0.2906096026524036</v>
      </c>
      <c r="I36" s="32">
        <f t="shared" si="5"/>
        <v>28841.832126323014</v>
      </c>
      <c r="J36" s="47">
        <v>0</v>
      </c>
      <c r="K36" s="25">
        <v>3.0999999999999999E-3</v>
      </c>
      <c r="L36" s="38">
        <f t="shared" si="2"/>
        <v>0.2131096432080439</v>
      </c>
      <c r="M36" s="32">
        <f t="shared" si="6"/>
        <v>21150.273417698296</v>
      </c>
      <c r="N36" s="47">
        <v>0</v>
      </c>
      <c r="O36" s="27">
        <v>-3.5999999999999999E-3</v>
      </c>
      <c r="P36" s="38">
        <f t="shared" si="3"/>
        <v>0.2342499136464862</v>
      </c>
      <c r="Q36" s="31">
        <f t="shared" si="7"/>
        <v>23248.360079410948</v>
      </c>
      <c r="R36" s="47">
        <v>0</v>
      </c>
      <c r="S36" s="37">
        <f t="shared" si="4"/>
        <v>99245.970756240145</v>
      </c>
      <c r="T36" s="40">
        <f t="shared" si="8"/>
        <v>1.6142926144293357E-2</v>
      </c>
    </row>
    <row r="37" spans="2:20" x14ac:dyDescent="0.35">
      <c r="B37" s="11" t="s">
        <v>41</v>
      </c>
      <c r="C37" s="15">
        <v>-1.37E-2</v>
      </c>
      <c r="D37" s="38">
        <f t="shared" si="0"/>
        <v>0.2690549684180859</v>
      </c>
      <c r="E37" s="32">
        <f t="shared" si="9"/>
        <v>25649.229712488417</v>
      </c>
      <c r="F37" s="47">
        <v>0</v>
      </c>
      <c r="G37" s="15">
        <v>-6.9099999999999995E-2</v>
      </c>
      <c r="H37" s="38">
        <f t="shared" si="1"/>
        <v>0.28163885118656412</v>
      </c>
      <c r="I37" s="32">
        <f t="shared" si="5"/>
        <v>26848.861526394092</v>
      </c>
      <c r="J37" s="47">
        <v>0</v>
      </c>
      <c r="K37" s="24">
        <v>-7.0300000000000001E-2</v>
      </c>
      <c r="L37" s="38">
        <f t="shared" si="2"/>
        <v>0.2062649833793081</v>
      </c>
      <c r="M37" s="32">
        <f t="shared" si="6"/>
        <v>19663.409196434106</v>
      </c>
      <c r="N37" s="47">
        <v>0</v>
      </c>
      <c r="O37" s="27">
        <v>-3.3999999999999998E-3</v>
      </c>
      <c r="P37" s="38">
        <f t="shared" si="3"/>
        <v>0.24304119701604188</v>
      </c>
      <c r="Q37" s="31">
        <f t="shared" si="7"/>
        <v>23169.315655140952</v>
      </c>
      <c r="R37" s="47">
        <v>0</v>
      </c>
      <c r="S37" s="37">
        <f t="shared" si="4"/>
        <v>95330.816090457563</v>
      </c>
      <c r="T37" s="40">
        <f t="shared" si="8"/>
        <v>-3.9449003681959693E-2</v>
      </c>
    </row>
    <row r="38" spans="2:20" x14ac:dyDescent="0.35">
      <c r="B38" s="10" t="s">
        <v>42</v>
      </c>
      <c r="C38" s="15">
        <v>-2.7900000000000001E-2</v>
      </c>
      <c r="D38" s="38">
        <f t="shared" si="0"/>
        <v>0.26739644072013835</v>
      </c>
      <c r="E38" s="32">
        <f t="shared" si="9"/>
        <v>24933.616203509991</v>
      </c>
      <c r="F38" s="47">
        <v>0</v>
      </c>
      <c r="G38" s="15">
        <v>-2.81E-2</v>
      </c>
      <c r="H38" s="38">
        <f t="shared" si="1"/>
        <v>0.27984516579248364</v>
      </c>
      <c r="I38" s="32">
        <f t="shared" si="5"/>
        <v>26094.408517502419</v>
      </c>
      <c r="J38" s="47">
        <v>0</v>
      </c>
      <c r="K38" s="24">
        <v>-2.4199999999999999E-2</v>
      </c>
      <c r="L38" s="38">
        <f t="shared" si="2"/>
        <v>0.20577375497359018</v>
      </c>
      <c r="M38" s="32">
        <f t="shared" si="6"/>
        <v>19187.5546938804</v>
      </c>
      <c r="N38" s="47">
        <v>0</v>
      </c>
      <c r="O38" s="27">
        <v>-6.0000000000000001E-3</v>
      </c>
      <c r="P38" s="38">
        <f t="shared" si="3"/>
        <v>0.24698463851378771</v>
      </c>
      <c r="Q38" s="31">
        <f t="shared" si="7"/>
        <v>23030.299761210106</v>
      </c>
      <c r="R38" s="47">
        <v>0</v>
      </c>
      <c r="S38" s="37">
        <f t="shared" si="4"/>
        <v>93245.879176102928</v>
      </c>
      <c r="T38" s="40">
        <f t="shared" si="8"/>
        <v>-2.1870545117082418E-2</v>
      </c>
    </row>
    <row r="39" spans="2:20" x14ac:dyDescent="0.35">
      <c r="B39" s="11" t="s">
        <v>43</v>
      </c>
      <c r="C39" s="15">
        <v>-5.4399999999999997E-2</v>
      </c>
      <c r="D39" s="38">
        <f t="shared" si="0"/>
        <v>0.25795651216814541</v>
      </c>
      <c r="E39" s="32">
        <f t="shared" si="9"/>
        <v>23577.227482039048</v>
      </c>
      <c r="F39" s="47">
        <v>0</v>
      </c>
      <c r="G39" s="15">
        <v>-1.9E-3</v>
      </c>
      <c r="H39" s="38">
        <f t="shared" si="1"/>
        <v>0.28495433953920224</v>
      </c>
      <c r="I39" s="32">
        <f t="shared" si="5"/>
        <v>26044.829141319166</v>
      </c>
      <c r="J39" s="47">
        <v>0</v>
      </c>
      <c r="K39" s="25">
        <v>5.4000000000000003E-3</v>
      </c>
      <c r="L39" s="38">
        <f t="shared" si="2"/>
        <v>0.21106308131282614</v>
      </c>
      <c r="M39" s="32">
        <f t="shared" si="6"/>
        <v>19291.167489227355</v>
      </c>
      <c r="N39" s="47">
        <v>0</v>
      </c>
      <c r="O39" s="27">
        <v>-2.3599999999999999E-2</v>
      </c>
      <c r="P39" s="38">
        <f t="shared" si="3"/>
        <v>0.24602606697982626</v>
      </c>
      <c r="Q39" s="31">
        <f t="shared" si="7"/>
        <v>22486.784686845549</v>
      </c>
      <c r="R39" s="47">
        <v>0</v>
      </c>
      <c r="S39" s="37">
        <f t="shared" si="4"/>
        <v>91400.008799431118</v>
      </c>
      <c r="T39" s="40">
        <f t="shared" si="8"/>
        <v>-1.9795731382249326E-2</v>
      </c>
    </row>
    <row r="40" spans="2:20" x14ac:dyDescent="0.35">
      <c r="B40" s="10" t="s">
        <v>44</v>
      </c>
      <c r="C40" s="20">
        <v>6.7400000000000002E-2</v>
      </c>
      <c r="D40" s="38">
        <f t="shared" si="0"/>
        <v>0.25857559041750067</v>
      </c>
      <c r="E40" s="32">
        <f t="shared" si="9"/>
        <v>25166.332614328479</v>
      </c>
      <c r="F40" s="47">
        <v>0</v>
      </c>
      <c r="G40" s="20">
        <v>6.9099999999999995E-2</v>
      </c>
      <c r="H40" s="38">
        <f t="shared" si="1"/>
        <v>0.28609313389399982</v>
      </c>
      <c r="I40" s="32">
        <f t="shared" si="5"/>
        <v>27844.526834984321</v>
      </c>
      <c r="J40" s="47">
        <v>0</v>
      </c>
      <c r="K40" s="25">
        <v>6.8500000000000005E-2</v>
      </c>
      <c r="L40" s="38">
        <f t="shared" si="2"/>
        <v>0.21178764976014411</v>
      </c>
      <c r="M40" s="32">
        <f t="shared" si="6"/>
        <v>20612.612462239427</v>
      </c>
      <c r="N40" s="47">
        <v>0</v>
      </c>
      <c r="O40" s="26">
        <v>5.4100000000000002E-2</v>
      </c>
      <c r="P40" s="38">
        <f t="shared" si="3"/>
        <v>0.24354362592835535</v>
      </c>
      <c r="Q40" s="31">
        <f t="shared" si="7"/>
        <v>23703.319738403894</v>
      </c>
      <c r="R40" s="47">
        <v>0</v>
      </c>
      <c r="S40" s="37">
        <f t="shared" si="4"/>
        <v>97326.791649956125</v>
      </c>
      <c r="T40" s="40">
        <f t="shared" si="8"/>
        <v>6.4844445075829205E-2</v>
      </c>
    </row>
    <row r="41" spans="2:20" x14ac:dyDescent="0.35">
      <c r="B41" s="11" t="s">
        <v>45</v>
      </c>
      <c r="C41" s="15">
        <v>-3.5400000000000001E-2</v>
      </c>
      <c r="D41" s="38">
        <f t="shared" si="0"/>
        <v>0.25787564734412072</v>
      </c>
      <c r="E41" s="32">
        <f t="shared" si="9"/>
        <v>24275.444439781251</v>
      </c>
      <c r="F41" s="47">
        <v>0</v>
      </c>
      <c r="G41" s="20">
        <v>2.9700000000000001E-2</v>
      </c>
      <c r="H41" s="38">
        <f t="shared" si="1"/>
        <v>0.30457460973641598</v>
      </c>
      <c r="I41" s="32">
        <f t="shared" si="5"/>
        <v>28671.509281983355</v>
      </c>
      <c r="J41" s="47">
        <v>0</v>
      </c>
      <c r="K41" s="24">
        <v>-7.0499999999999993E-2</v>
      </c>
      <c r="L41" s="38">
        <f t="shared" si="2"/>
        <v>0.20352866017624943</v>
      </c>
      <c r="M41" s="32">
        <f t="shared" si="6"/>
        <v>19159.423283651548</v>
      </c>
      <c r="N41" s="47">
        <v>0</v>
      </c>
      <c r="O41" s="27">
        <v>-7.0599999999999996E-2</v>
      </c>
      <c r="P41" s="38">
        <f t="shared" si="3"/>
        <v>0.2340210827432139</v>
      </c>
      <c r="Q41" s="31">
        <f t="shared" si="7"/>
        <v>22029.865364872578</v>
      </c>
      <c r="R41" s="47">
        <v>0</v>
      </c>
      <c r="S41" s="37">
        <f t="shared" si="4"/>
        <v>94136.242370288732</v>
      </c>
      <c r="T41" s="40">
        <f t="shared" si="8"/>
        <v>-3.2781819122759792E-2</v>
      </c>
    </row>
    <row r="42" spans="2:20" x14ac:dyDescent="0.35">
      <c r="B42" s="10" t="s">
        <v>46</v>
      </c>
      <c r="C42" s="15">
        <v>-3.5299999999999998E-2</v>
      </c>
      <c r="D42" s="38">
        <f t="shared" si="0"/>
        <v>0.25459643975128421</v>
      </c>
      <c r="E42" s="32">
        <f t="shared" si="9"/>
        <v>23418.521251056973</v>
      </c>
      <c r="F42" s="47">
        <v>0</v>
      </c>
      <c r="G42" s="20">
        <v>1.6500000000000001E-2</v>
      </c>
      <c r="H42" s="38">
        <f t="shared" si="1"/>
        <v>0.31684787288670191</v>
      </c>
      <c r="I42" s="32">
        <f t="shared" si="5"/>
        <v>29144.589185136079</v>
      </c>
      <c r="J42" s="47">
        <v>0</v>
      </c>
      <c r="K42" s="24">
        <v>-3.5900000000000001E-2</v>
      </c>
      <c r="L42" s="38">
        <f t="shared" si="2"/>
        <v>0.20081556572165959</v>
      </c>
      <c r="M42" s="32">
        <f t="shared" si="6"/>
        <v>18471.599987768455</v>
      </c>
      <c r="N42" s="47">
        <v>0</v>
      </c>
      <c r="O42" s="27">
        <v>-4.9099999999999998E-2</v>
      </c>
      <c r="P42" s="38">
        <f t="shared" si="3"/>
        <v>0.22774012164035426</v>
      </c>
      <c r="Q42" s="31">
        <f t="shared" si="7"/>
        <v>20948.198975457333</v>
      </c>
      <c r="R42" s="47">
        <v>0</v>
      </c>
      <c r="S42" s="37">
        <f t="shared" si="4"/>
        <v>91982.909399418844</v>
      </c>
      <c r="T42" s="40">
        <f t="shared" si="8"/>
        <v>-2.2874643353615776E-2</v>
      </c>
    </row>
    <row r="43" spans="2:20" x14ac:dyDescent="0.35">
      <c r="B43" s="11" t="s">
        <v>47</v>
      </c>
      <c r="C43" s="15">
        <v>-2.3800000000000002E-2</v>
      </c>
      <c r="D43" s="38">
        <f t="shared" si="0"/>
        <v>0.24450432753406556</v>
      </c>
      <c r="E43" s="32">
        <f t="shared" si="9"/>
        <v>22861.160445281817</v>
      </c>
      <c r="F43" s="47">
        <v>0</v>
      </c>
      <c r="G43" s="20">
        <v>5.1999999999999998E-3</v>
      </c>
      <c r="H43" s="38">
        <f t="shared" si="1"/>
        <v>0.31332763197427577</v>
      </c>
      <c r="I43" s="32">
        <f t="shared" si="5"/>
        <v>29296.141048898786</v>
      </c>
      <c r="J43" s="47">
        <v>0</v>
      </c>
      <c r="K43" s="25">
        <v>7.1099999999999997E-2</v>
      </c>
      <c r="L43" s="38">
        <f t="shared" si="2"/>
        <v>0.21160348352206815</v>
      </c>
      <c r="M43" s="32">
        <f t="shared" si="6"/>
        <v>19784.930746898794</v>
      </c>
      <c r="N43" s="47">
        <v>0</v>
      </c>
      <c r="O43" s="26">
        <v>2.9100000000000001E-2</v>
      </c>
      <c r="P43" s="38">
        <f t="shared" si="3"/>
        <v>0.23056455696959044</v>
      </c>
      <c r="Q43" s="31">
        <f t="shared" si="7"/>
        <v>21557.791565643143</v>
      </c>
      <c r="R43" s="47">
        <v>0</v>
      </c>
      <c r="S43" s="37">
        <f t="shared" si="4"/>
        <v>93500.023806722544</v>
      </c>
      <c r="T43" s="40">
        <f t="shared" si="8"/>
        <v>1.6493437935474642E-2</v>
      </c>
    </row>
    <row r="44" spans="2:20" x14ac:dyDescent="0.35">
      <c r="B44" s="10" t="s">
        <v>48</v>
      </c>
      <c r="C44" s="15">
        <v>-1.14E-2</v>
      </c>
      <c r="D44" s="38">
        <f t="shared" si="0"/>
        <v>0.23898719200345858</v>
      </c>
      <c r="E44" s="32">
        <f t="shared" si="9"/>
        <v>22600.543216205606</v>
      </c>
      <c r="F44" s="47">
        <v>0</v>
      </c>
      <c r="G44" s="20">
        <v>6.1400000000000003E-2</v>
      </c>
      <c r="H44" s="38">
        <f t="shared" si="1"/>
        <v>0.32881017625779735</v>
      </c>
      <c r="I44" s="32">
        <f t="shared" si="5"/>
        <v>31094.92410930117</v>
      </c>
      <c r="J44" s="47">
        <v>0</v>
      </c>
      <c r="K44" s="24">
        <v>-1.6899999999999998E-2</v>
      </c>
      <c r="L44" s="38">
        <f t="shared" si="2"/>
        <v>0.20567806567681443</v>
      </c>
      <c r="M44" s="32">
        <f t="shared" si="6"/>
        <v>19450.565417276204</v>
      </c>
      <c r="N44" s="47">
        <v>0</v>
      </c>
      <c r="O44" s="27">
        <v>-6.3E-3</v>
      </c>
      <c r="P44" s="38">
        <f t="shared" si="3"/>
        <v>0.22652456606192967</v>
      </c>
      <c r="Q44" s="31">
        <f t="shared" si="7"/>
        <v>21421.97747877959</v>
      </c>
      <c r="R44" s="47">
        <v>0</v>
      </c>
      <c r="S44" s="37">
        <f t="shared" si="4"/>
        <v>94568.010221562567</v>
      </c>
      <c r="T44" s="40">
        <f t="shared" si="8"/>
        <v>1.1422311688900733E-2</v>
      </c>
    </row>
    <row r="45" spans="2:20" x14ac:dyDescent="0.35">
      <c r="B45" s="9" t="s">
        <v>49</v>
      </c>
      <c r="C45" s="15">
        <v>-7.2800000000000004E-2</v>
      </c>
      <c r="D45" s="38">
        <f t="shared" si="0"/>
        <v>0.21852849578905695</v>
      </c>
      <c r="E45" s="32">
        <f t="shared" si="9"/>
        <v>20955.22367006584</v>
      </c>
      <c r="F45" s="47">
        <v>0</v>
      </c>
      <c r="G45" s="20">
        <v>9.6100000000000005E-2</v>
      </c>
      <c r="H45" s="38">
        <f t="shared" si="1"/>
        <v>0.35543112369056462</v>
      </c>
      <c r="I45" s="32">
        <f t="shared" si="5"/>
        <v>34083.146316205013</v>
      </c>
      <c r="J45" s="47">
        <v>0</v>
      </c>
      <c r="K45" s="25">
        <v>8.3000000000000001E-3</v>
      </c>
      <c r="L45" s="38">
        <f t="shared" si="2"/>
        <v>0.20452093681396105</v>
      </c>
      <c r="M45" s="32">
        <f t="shared" si="6"/>
        <v>19612.005110239596</v>
      </c>
      <c r="N45" s="47">
        <v>0</v>
      </c>
      <c r="O45" s="27">
        <v>-8.3999999999999995E-3</v>
      </c>
      <c r="P45" s="38">
        <f t="shared" si="3"/>
        <v>0.22151944370641735</v>
      </c>
      <c r="Q45" s="31">
        <f t="shared" si="7"/>
        <v>21242.032867957842</v>
      </c>
      <c r="R45" s="47">
        <v>0</v>
      </c>
      <c r="S45" s="37">
        <f t="shared" si="4"/>
        <v>95892.407964468293</v>
      </c>
      <c r="T45" s="40">
        <f t="shared" si="8"/>
        <v>1.4004711950720061E-2</v>
      </c>
    </row>
    <row r="46" spans="2:20" x14ac:dyDescent="0.35">
      <c r="B46" s="10" t="s">
        <v>50</v>
      </c>
      <c r="C46" s="15">
        <v>-8.3000000000000004E-2</v>
      </c>
      <c r="D46" s="38">
        <f t="shared" si="0"/>
        <v>0.20896911330985571</v>
      </c>
      <c r="E46" s="32">
        <f t="shared" si="9"/>
        <v>19215.940105450376</v>
      </c>
      <c r="F46" s="47">
        <v>0</v>
      </c>
      <c r="G46" s="20">
        <v>4.0000000000000002E-4</v>
      </c>
      <c r="H46" s="38">
        <f t="shared" si="1"/>
        <v>0.37079496268997364</v>
      </c>
      <c r="I46" s="32">
        <f t="shared" si="5"/>
        <v>34096.779574731496</v>
      </c>
      <c r="J46" s="47">
        <v>0</v>
      </c>
      <c r="K46" s="24">
        <v>-5.7599999999999998E-2</v>
      </c>
      <c r="L46" s="38">
        <f t="shared" si="2"/>
        <v>0.20099152192383327</v>
      </c>
      <c r="M46" s="32">
        <f t="shared" si="6"/>
        <v>18482.353615889795</v>
      </c>
      <c r="N46" s="47">
        <v>0</v>
      </c>
      <c r="O46" s="27">
        <v>-5.0900000000000001E-2</v>
      </c>
      <c r="P46" s="38">
        <f t="shared" si="3"/>
        <v>0.21924440207633739</v>
      </c>
      <c r="Q46" s="31">
        <f t="shared" si="7"/>
        <v>20160.813394978788</v>
      </c>
      <c r="R46" s="47">
        <v>0</v>
      </c>
      <c r="S46" s="37">
        <f t="shared" si="4"/>
        <v>91955.886691050458</v>
      </c>
      <c r="T46" s="40">
        <f t="shared" si="8"/>
        <v>-4.1051438346156321E-2</v>
      </c>
    </row>
    <row r="47" spans="2:20" x14ac:dyDescent="0.35">
      <c r="B47" s="11" t="s">
        <v>51</v>
      </c>
      <c r="C47" s="20">
        <v>3.6799999999999999E-2</v>
      </c>
      <c r="D47" s="38">
        <f t="shared" si="0"/>
        <v>0.21193296702411549</v>
      </c>
      <c r="E47" s="32">
        <f t="shared" si="9"/>
        <v>19923.086701330951</v>
      </c>
      <c r="F47" s="47">
        <v>0</v>
      </c>
      <c r="G47" s="15">
        <v>-1.9599999999999999E-2</v>
      </c>
      <c r="H47" s="38">
        <f t="shared" si="1"/>
        <v>0.35559738442570327</v>
      </c>
      <c r="I47" s="32">
        <f t="shared" si="5"/>
        <v>33428.482695066756</v>
      </c>
      <c r="J47" s="47">
        <v>0</v>
      </c>
      <c r="K47" s="25">
        <v>6.1400000000000003E-2</v>
      </c>
      <c r="L47" s="38">
        <f t="shared" si="2"/>
        <v>0.20867876208891384</v>
      </c>
      <c r="M47" s="32">
        <f t="shared" si="6"/>
        <v>19617.170127905429</v>
      </c>
      <c r="N47" s="47">
        <v>0</v>
      </c>
      <c r="O47" s="26">
        <v>4.3499999999999997E-2</v>
      </c>
      <c r="P47" s="38">
        <f t="shared" si="3"/>
        <v>0.22379088646126741</v>
      </c>
      <c r="Q47" s="31">
        <f t="shared" si="7"/>
        <v>21037.808777660364</v>
      </c>
      <c r="R47" s="47">
        <v>0</v>
      </c>
      <c r="S47" s="37">
        <f t="shared" si="4"/>
        <v>94006.548301963499</v>
      </c>
      <c r="T47" s="40">
        <f t="shared" si="8"/>
        <v>2.2300493037523239E-2</v>
      </c>
    </row>
    <row r="48" spans="2:20" x14ac:dyDescent="0.35">
      <c r="B48" s="10" t="s">
        <v>52</v>
      </c>
      <c r="C48" s="20">
        <v>2.41E-2</v>
      </c>
      <c r="D48" s="38">
        <f t="shared" si="0"/>
        <v>0.22485644050299752</v>
      </c>
      <c r="E48" s="32">
        <f t="shared" si="9"/>
        <v>20403.233090833026</v>
      </c>
      <c r="F48" s="47">
        <v>0</v>
      </c>
      <c r="G48" s="15">
        <v>-6.7000000000000004E-2</v>
      </c>
      <c r="H48" s="38">
        <f t="shared" si="1"/>
        <v>0.34371987781457564</v>
      </c>
      <c r="I48" s="32">
        <f t="shared" si="5"/>
        <v>31188.774354497284</v>
      </c>
      <c r="J48" s="47">
        <v>0</v>
      </c>
      <c r="K48" s="24">
        <v>-5.0599999999999999E-2</v>
      </c>
      <c r="L48" s="38">
        <f t="shared" si="2"/>
        <v>0.20525414028477468</v>
      </c>
      <c r="M48" s="32">
        <f t="shared" si="6"/>
        <v>18624.541319433414</v>
      </c>
      <c r="N48" s="47">
        <v>0</v>
      </c>
      <c r="O48" s="27">
        <v>-2.4500000000000001E-2</v>
      </c>
      <c r="P48" s="38">
        <f t="shared" si="3"/>
        <v>0.22616954139765208</v>
      </c>
      <c r="Q48" s="31">
        <f t="shared" si="7"/>
        <v>20522.382462607686</v>
      </c>
      <c r="R48" s="47">
        <v>0</v>
      </c>
      <c r="S48" s="37">
        <f t="shared" si="4"/>
        <v>90738.931227371417</v>
      </c>
      <c r="T48" s="40">
        <f t="shared" si="8"/>
        <v>-3.4759462331240942E-2</v>
      </c>
    </row>
    <row r="49" spans="2:20" x14ac:dyDescent="0.35">
      <c r="B49" s="11" t="s">
        <v>53</v>
      </c>
      <c r="C49" s="15">
        <v>-2.9600000000000001E-2</v>
      </c>
      <c r="D49" s="38">
        <f t="shared" si="0"/>
        <v>0.22703547362205925</v>
      </c>
      <c r="E49" s="32">
        <f t="shared" si="9"/>
        <v>19799.297391344367</v>
      </c>
      <c r="F49" s="47">
        <v>0</v>
      </c>
      <c r="G49" s="15">
        <v>-2.6200000000000001E-2</v>
      </c>
      <c r="H49" s="38">
        <f t="shared" si="1"/>
        <v>0.34826675498894</v>
      </c>
      <c r="I49" s="32">
        <f t="shared" si="5"/>
        <v>30371.628466409456</v>
      </c>
      <c r="J49" s="47">
        <v>0</v>
      </c>
      <c r="K49" s="24">
        <v>-6.9099999999999995E-2</v>
      </c>
      <c r="L49" s="38">
        <f t="shared" si="2"/>
        <v>0.19880740517660514</v>
      </c>
      <c r="M49" s="32">
        <f t="shared" si="6"/>
        <v>17337.585514260565</v>
      </c>
      <c r="N49" s="47">
        <v>0</v>
      </c>
      <c r="O49" s="27">
        <v>-4.0099999999999997E-2</v>
      </c>
      <c r="P49" s="38">
        <f t="shared" si="3"/>
        <v>0.2258903662123955</v>
      </c>
      <c r="Q49" s="31">
        <f t="shared" si="7"/>
        <v>19699.434925857116</v>
      </c>
      <c r="R49" s="47">
        <v>0</v>
      </c>
      <c r="S49" s="37">
        <f t="shared" si="4"/>
        <v>87207.946297871516</v>
      </c>
      <c r="T49" s="40">
        <f t="shared" si="8"/>
        <v>-3.8913671141354356E-2</v>
      </c>
    </row>
    <row r="50" spans="2:20" x14ac:dyDescent="0.35">
      <c r="B50" s="10" t="s">
        <v>54</v>
      </c>
      <c r="C50" s="15">
        <v>-0.11</v>
      </c>
      <c r="D50" s="38">
        <f t="shared" si="0"/>
        <v>0.20743965487538285</v>
      </c>
      <c r="E50" s="32">
        <f t="shared" si="9"/>
        <v>17621.374678296488</v>
      </c>
      <c r="F50" s="47">
        <v>0</v>
      </c>
      <c r="G50" s="20">
        <v>1.5699999999999999E-2</v>
      </c>
      <c r="H50" s="38">
        <f t="shared" si="1"/>
        <v>0.3631495636348982</v>
      </c>
      <c r="I50" s="32">
        <f t="shared" si="5"/>
        <v>30848.463033332086</v>
      </c>
      <c r="J50" s="47">
        <v>0</v>
      </c>
      <c r="K50" s="24">
        <v>-4.0000000000000001E-3</v>
      </c>
      <c r="L50" s="38">
        <f t="shared" si="2"/>
        <v>0.20328247993278242</v>
      </c>
      <c r="M50" s="32">
        <f t="shared" si="6"/>
        <v>17268.235172203524</v>
      </c>
      <c r="N50" s="47">
        <v>0</v>
      </c>
      <c r="O50" s="27">
        <v>-2.4899999999999999E-2</v>
      </c>
      <c r="P50" s="38">
        <f t="shared" si="3"/>
        <v>0.2261283015569365</v>
      </c>
      <c r="Q50" s="31">
        <f t="shared" si="7"/>
        <v>19208.918996203276</v>
      </c>
      <c r="R50" s="47">
        <v>0</v>
      </c>
      <c r="S50" s="37">
        <f t="shared" si="4"/>
        <v>84946.991880035377</v>
      </c>
      <c r="T50" s="40">
        <f t="shared" si="8"/>
        <v>-2.5926013784495217E-2</v>
      </c>
    </row>
    <row r="51" spans="2:20" x14ac:dyDescent="0.35">
      <c r="B51" s="11" t="s">
        <v>55</v>
      </c>
      <c r="C51" s="15">
        <v>-3.04E-2</v>
      </c>
      <c r="D51" s="38">
        <f t="shared" si="0"/>
        <v>0.20700013677230236</v>
      </c>
      <c r="E51" s="32">
        <f t="shared" si="9"/>
        <v>17085.684888076274</v>
      </c>
      <c r="F51" s="47">
        <v>0</v>
      </c>
      <c r="G51" s="15">
        <v>-3.2599999999999997E-2</v>
      </c>
      <c r="H51" s="38">
        <f t="shared" si="1"/>
        <v>0.36155789901277069</v>
      </c>
      <c r="I51" s="32">
        <f t="shared" si="5"/>
        <v>29842.803138445459</v>
      </c>
      <c r="J51" s="47">
        <v>0</v>
      </c>
      <c r="K51" s="24">
        <v>-2.7799999999999998E-2</v>
      </c>
      <c r="L51" s="38">
        <f t="shared" si="2"/>
        <v>0.20339572065426489</v>
      </c>
      <c r="M51" s="32">
        <f t="shared" si="6"/>
        <v>16788.178234416268</v>
      </c>
      <c r="N51" s="47">
        <v>0</v>
      </c>
      <c r="O51" s="27">
        <v>-2.01E-2</v>
      </c>
      <c r="P51" s="38">
        <f t="shared" si="3"/>
        <v>0.22804624356066211</v>
      </c>
      <c r="Q51" s="31">
        <f t="shared" si="7"/>
        <v>18822.819724379591</v>
      </c>
      <c r="R51" s="47">
        <v>0</v>
      </c>
      <c r="S51" s="37">
        <f t="shared" si="4"/>
        <v>82539.485985317588</v>
      </c>
      <c r="T51" s="40">
        <f t="shared" si="8"/>
        <v>-2.834127308613521E-2</v>
      </c>
    </row>
    <row r="52" spans="2:20" x14ac:dyDescent="0.35">
      <c r="B52" s="10" t="s">
        <v>56</v>
      </c>
      <c r="C52" s="20">
        <v>5.9499999999999997E-2</v>
      </c>
      <c r="D52" s="38">
        <f t="shared" si="0"/>
        <v>0.21505075282637384</v>
      </c>
      <c r="E52" s="32">
        <f t="shared" si="9"/>
        <v>18102.283138916813</v>
      </c>
      <c r="F52" s="47">
        <v>0</v>
      </c>
      <c r="G52" s="15">
        <v>-4.8500000000000001E-2</v>
      </c>
      <c r="H52" s="38">
        <f t="shared" si="1"/>
        <v>0.33733081879034293</v>
      </c>
      <c r="I52" s="32">
        <f t="shared" si="5"/>
        <v>28395.427186230852</v>
      </c>
      <c r="J52" s="47">
        <v>0</v>
      </c>
      <c r="K52" s="25">
        <v>7.1499999999999994E-2</v>
      </c>
      <c r="L52" s="38">
        <f t="shared" si="2"/>
        <v>0.21369942838218692</v>
      </c>
      <c r="M52" s="32">
        <f t="shared" si="6"/>
        <v>17988.532978177031</v>
      </c>
      <c r="N52" s="47">
        <v>0</v>
      </c>
      <c r="O52" s="26">
        <v>4.6100000000000002E-2</v>
      </c>
      <c r="P52" s="38">
        <f t="shared" si="3"/>
        <v>0.23391900000109642</v>
      </c>
      <c r="Q52" s="31">
        <f t="shared" si="7"/>
        <v>19690.551713673489</v>
      </c>
      <c r="R52" s="47">
        <v>0</v>
      </c>
      <c r="S52" s="37">
        <f t="shared" si="4"/>
        <v>84176.795016998178</v>
      </c>
      <c r="T52" s="40">
        <f t="shared" si="8"/>
        <v>1.9836675890759103E-2</v>
      </c>
    </row>
    <row r="53" spans="2:20" x14ac:dyDescent="0.35">
      <c r="B53" s="11" t="s">
        <v>57</v>
      </c>
      <c r="C53" s="20">
        <v>9.11E-2</v>
      </c>
      <c r="D53" s="38">
        <f t="shared" si="0"/>
        <v>0.19552305001660972</v>
      </c>
      <c r="E53" s="32">
        <f t="shared" si="9"/>
        <v>19751.401132872135</v>
      </c>
      <c r="F53" s="47">
        <v>0</v>
      </c>
      <c r="G53" s="20">
        <v>0.2581</v>
      </c>
      <c r="H53" s="38">
        <f t="shared" si="1"/>
        <v>0.35364182499125923</v>
      </c>
      <c r="I53" s="32">
        <f t="shared" si="5"/>
        <v>35724.286942997038</v>
      </c>
      <c r="J53" s="47">
        <v>0</v>
      </c>
      <c r="K53" s="25">
        <v>0.21340000000000001</v>
      </c>
      <c r="L53" s="38">
        <f t="shared" si="2"/>
        <v>0.21607264654877542</v>
      </c>
      <c r="M53" s="32">
        <f t="shared" si="6"/>
        <v>21827.285915720007</v>
      </c>
      <c r="N53" s="47">
        <v>0</v>
      </c>
      <c r="O53" s="26">
        <v>0.2044</v>
      </c>
      <c r="P53" s="38">
        <f t="shared" si="3"/>
        <v>0.23476247844335549</v>
      </c>
      <c r="Q53" s="31">
        <f t="shared" si="7"/>
        <v>23715.300483948351</v>
      </c>
      <c r="R53" s="47">
        <v>0</v>
      </c>
      <c r="S53" s="37">
        <f t="shared" si="4"/>
        <v>101018.27447553755</v>
      </c>
      <c r="T53" s="40">
        <f t="shared" si="8"/>
        <v>0.20007270952925316</v>
      </c>
    </row>
    <row r="54" spans="2:20" x14ac:dyDescent="0.35">
      <c r="B54" s="10" t="s">
        <v>58</v>
      </c>
      <c r="C54" s="15">
        <v>-0.1089</v>
      </c>
      <c r="D54" s="38">
        <f t="shared" si="0"/>
        <v>0.18011642066461422</v>
      </c>
      <c r="E54" s="32">
        <f t="shared" si="9"/>
        <v>17600.47354950236</v>
      </c>
      <c r="F54" s="47">
        <v>0</v>
      </c>
      <c r="G54" s="15">
        <v>-0.10829999999999999</v>
      </c>
      <c r="H54" s="38">
        <f t="shared" si="1"/>
        <v>0.32599526396637252</v>
      </c>
      <c r="I54" s="32">
        <f t="shared" si="5"/>
        <v>31855.346667070458</v>
      </c>
      <c r="J54" s="47">
        <v>0</v>
      </c>
      <c r="K54" s="25">
        <v>4.9700000000000001E-2</v>
      </c>
      <c r="L54" s="38">
        <f t="shared" si="2"/>
        <v>0.23447356658729562</v>
      </c>
      <c r="M54" s="32">
        <f t="shared" si="6"/>
        <v>22912.102025731292</v>
      </c>
      <c r="N54" s="47">
        <v>0</v>
      </c>
      <c r="O54" s="26">
        <v>6.8900000000000003E-2</v>
      </c>
      <c r="P54" s="38">
        <f t="shared" si="3"/>
        <v>0.25941474878171761</v>
      </c>
      <c r="Q54" s="31">
        <f t="shared" si="7"/>
        <v>25349.284687292391</v>
      </c>
      <c r="R54" s="47">
        <v>0</v>
      </c>
      <c r="S54" s="37">
        <f t="shared" si="4"/>
        <v>97717.206929596505</v>
      </c>
      <c r="T54" s="40">
        <f t="shared" si="8"/>
        <v>-3.2677924495140953E-2</v>
      </c>
    </row>
    <row r="55" spans="2:20" x14ac:dyDescent="0.35">
      <c r="B55" s="11" t="s">
        <v>59</v>
      </c>
      <c r="C55" s="20">
        <v>8.6999999999999994E-3</v>
      </c>
      <c r="D55" s="38">
        <f t="shared" si="0"/>
        <v>0.15698760162628225</v>
      </c>
      <c r="E55" s="32">
        <f t="shared" si="9"/>
        <v>17753.597669383031</v>
      </c>
      <c r="F55" s="47">
        <v>0</v>
      </c>
      <c r="G55" s="20">
        <v>0.2334</v>
      </c>
      <c r="H55" s="38">
        <f t="shared" si="1"/>
        <v>0.34742835547605855</v>
      </c>
      <c r="I55" s="32">
        <f t="shared" si="5"/>
        <v>39290.384579164704</v>
      </c>
      <c r="J55" s="47">
        <v>0</v>
      </c>
      <c r="K55" s="25">
        <v>0.2417</v>
      </c>
      <c r="L55" s="38">
        <f t="shared" si="2"/>
        <v>0.25157101182382768</v>
      </c>
      <c r="M55" s="32">
        <f t="shared" si="6"/>
        <v>28449.957085350547</v>
      </c>
      <c r="N55" s="47">
        <v>0</v>
      </c>
      <c r="O55" s="26">
        <v>8.8599999999999998E-2</v>
      </c>
      <c r="P55" s="38">
        <f t="shared" si="3"/>
        <v>0.24401303107383149</v>
      </c>
      <c r="Q55" s="31">
        <f t="shared" si="7"/>
        <v>27595.231310586496</v>
      </c>
      <c r="R55" s="47">
        <v>0</v>
      </c>
      <c r="S55" s="37">
        <f t="shared" si="4"/>
        <v>113089.17064448478</v>
      </c>
      <c r="T55" s="40">
        <f t="shared" si="8"/>
        <v>0.15731071525574314</v>
      </c>
    </row>
    <row r="56" spans="2:20" x14ac:dyDescent="0.35">
      <c r="B56" s="10" t="s">
        <v>60</v>
      </c>
      <c r="C56" s="20">
        <v>2.2800000000000001E-2</v>
      </c>
      <c r="D56" s="38">
        <f t="shared" si="0"/>
        <v>0.14932145160225924</v>
      </c>
      <c r="E56" s="32">
        <f t="shared" si="9"/>
        <v>18158.379696244963</v>
      </c>
      <c r="F56" s="47">
        <v>0</v>
      </c>
      <c r="G56" s="20">
        <v>9.1200000000000003E-2</v>
      </c>
      <c r="H56" s="38">
        <f t="shared" si="1"/>
        <v>0.35256219974023872</v>
      </c>
      <c r="I56" s="32">
        <f t="shared" si="5"/>
        <v>42873.667652784527</v>
      </c>
      <c r="J56" s="47">
        <v>0</v>
      </c>
      <c r="K56" s="25">
        <v>0.1457</v>
      </c>
      <c r="L56" s="38">
        <f t="shared" si="2"/>
        <v>0.26803878389474201</v>
      </c>
      <c r="M56" s="32">
        <f t="shared" si="6"/>
        <v>32595.115832686122</v>
      </c>
      <c r="N56" s="47">
        <v>0</v>
      </c>
      <c r="O56" s="26">
        <v>1.3899999999999999E-2</v>
      </c>
      <c r="P56" s="38">
        <f t="shared" si="3"/>
        <v>0.23007756476276001</v>
      </c>
      <c r="Q56" s="31">
        <f t="shared" si="7"/>
        <v>27978.805025803649</v>
      </c>
      <c r="R56" s="47">
        <v>0</v>
      </c>
      <c r="S56" s="37">
        <f t="shared" si="4"/>
        <v>121605.96820751927</v>
      </c>
      <c r="T56" s="40">
        <f t="shared" si="8"/>
        <v>7.5310460891153896E-2</v>
      </c>
    </row>
    <row r="57" spans="2:20" x14ac:dyDescent="0.35">
      <c r="B57" s="9" t="s">
        <v>61</v>
      </c>
      <c r="C57" s="15">
        <v>-9.9000000000000005E-2</v>
      </c>
      <c r="D57" s="38">
        <f t="shared" si="0"/>
        <v>0.24319970064219221</v>
      </c>
      <c r="E57" s="32">
        <f t="shared" si="9"/>
        <v>29011.451896316714</v>
      </c>
      <c r="F57" s="49">
        <v>14040.79</v>
      </c>
      <c r="G57" s="20">
        <v>3.7900000000000003E-2</v>
      </c>
      <c r="H57" s="38">
        <f t="shared" si="1"/>
        <v>0.25037342301246074</v>
      </c>
      <c r="I57" s="32">
        <f t="shared" si="5"/>
        <v>29867.209945825063</v>
      </c>
      <c r="J57" s="48">
        <v>-14097.09</v>
      </c>
      <c r="K57" s="24">
        <v>-0.1434</v>
      </c>
      <c r="L57" s="38">
        <f t="shared" si="2"/>
        <v>0.25187036458378653</v>
      </c>
      <c r="M57" s="32">
        <f t="shared" si="6"/>
        <v>30045.781088278934</v>
      </c>
      <c r="N57" s="49">
        <v>2480.5100000000002</v>
      </c>
      <c r="O57" s="27">
        <v>-1.2699999999999999E-2</v>
      </c>
      <c r="P57" s="38">
        <f t="shared" si="3"/>
        <v>0.25455651176156041</v>
      </c>
      <c r="Q57" s="31">
        <f t="shared" si="7"/>
        <v>30366.213347975943</v>
      </c>
      <c r="R57" s="49">
        <v>2778.02</v>
      </c>
      <c r="S57" s="37">
        <f t="shared" si="4"/>
        <v>119290.65627839667</v>
      </c>
      <c r="T57" s="40">
        <f t="shared" si="8"/>
        <v>-1.9039459684836779E-2</v>
      </c>
    </row>
    <row r="58" spans="2:20" x14ac:dyDescent="0.35">
      <c r="B58" s="10" t="s">
        <v>62</v>
      </c>
      <c r="C58" s="15">
        <v>-8.7400000000000005E-2</v>
      </c>
      <c r="D58" s="38">
        <f t="shared" si="0"/>
        <v>0.2223747505755494</v>
      </c>
      <c r="E58" s="32">
        <f t="shared" si="9"/>
        <v>26475.851000578634</v>
      </c>
      <c r="F58" s="47">
        <v>0</v>
      </c>
      <c r="G58" s="20">
        <v>4.48E-2</v>
      </c>
      <c r="H58" s="38">
        <f t="shared" si="1"/>
        <v>0.26209779321391441</v>
      </c>
      <c r="I58" s="32">
        <f t="shared" si="5"/>
        <v>31205.260951398028</v>
      </c>
      <c r="J58" s="47">
        <v>0</v>
      </c>
      <c r="K58" s="25">
        <v>6.7999999999999996E-3</v>
      </c>
      <c r="L58" s="38">
        <f t="shared" si="2"/>
        <v>0.2540751854253514</v>
      </c>
      <c r="M58" s="32">
        <f t="shared" si="6"/>
        <v>30250.09239967923</v>
      </c>
      <c r="N58" s="47">
        <v>0</v>
      </c>
      <c r="O58" s="26">
        <v>2.5100000000000001E-2</v>
      </c>
      <c r="P58" s="38">
        <f t="shared" si="3"/>
        <v>0.26145227078518474</v>
      </c>
      <c r="Q58" s="31">
        <f t="shared" si="7"/>
        <v>31128.405303010139</v>
      </c>
      <c r="R58" s="47">
        <v>0</v>
      </c>
      <c r="S58" s="37">
        <f t="shared" si="4"/>
        <v>119059.60965466604</v>
      </c>
      <c r="T58" s="40">
        <f t="shared" si="8"/>
        <v>-1.9368375607844435E-3</v>
      </c>
    </row>
    <row r="59" spans="2:20" x14ac:dyDescent="0.35">
      <c r="B59" s="11" t="s">
        <v>63</v>
      </c>
      <c r="C59" s="20">
        <v>7.5300000000000006E-2</v>
      </c>
      <c r="D59" s="38">
        <f t="shared" si="0"/>
        <v>0.23640214850032881</v>
      </c>
      <c r="E59" s="32">
        <f t="shared" si="9"/>
        <v>28469.482580922206</v>
      </c>
      <c r="F59" s="47">
        <v>0</v>
      </c>
      <c r="G59" s="15">
        <v>-3.7499999999999999E-2</v>
      </c>
      <c r="H59" s="38">
        <f t="shared" si="1"/>
        <v>0.24940226998289589</v>
      </c>
      <c r="I59" s="32">
        <f t="shared" si="5"/>
        <v>30035.063665720601</v>
      </c>
      <c r="J59" s="47">
        <v>0</v>
      </c>
      <c r="K59" s="25">
        <v>2.7900000000000001E-2</v>
      </c>
      <c r="L59" s="38">
        <f t="shared" si="2"/>
        <v>0.25819594463782697</v>
      </c>
      <c r="M59" s="32">
        <f t="shared" si="6"/>
        <v>31094.069977630279</v>
      </c>
      <c r="N59" s="47">
        <v>0</v>
      </c>
      <c r="O59" s="27">
        <v>-9.5999999999999992E-3</v>
      </c>
      <c r="P59" s="38">
        <f t="shared" si="3"/>
        <v>0.25599963687894828</v>
      </c>
      <c r="Q59" s="31">
        <f t="shared" si="7"/>
        <v>30829.572612101241</v>
      </c>
      <c r="R59" s="47">
        <v>0</v>
      </c>
      <c r="S59" s="37">
        <f t="shared" si="4"/>
        <v>120428.18883637433</v>
      </c>
      <c r="T59" s="40">
        <f t="shared" si="8"/>
        <v>1.1494907346646599E-2</v>
      </c>
    </row>
    <row r="60" spans="2:20" x14ac:dyDescent="0.35">
      <c r="B60" s="10" t="s">
        <v>64</v>
      </c>
      <c r="C60" s="20">
        <v>2.2599999999999999E-2</v>
      </c>
      <c r="D60" s="38">
        <f t="shared" si="0"/>
        <v>0.25989189549870173</v>
      </c>
      <c r="E60" s="32">
        <f t="shared" si="9"/>
        <v>29112.892887251048</v>
      </c>
      <c r="F60" s="47">
        <v>0</v>
      </c>
      <c r="G60" s="15">
        <v>-9.7500000000000003E-2</v>
      </c>
      <c r="H60" s="38">
        <f t="shared" si="1"/>
        <v>0.24198204438526505</v>
      </c>
      <c r="I60" s="32">
        <f t="shared" si="5"/>
        <v>27106.644958312841</v>
      </c>
      <c r="J60" s="47">
        <v>0</v>
      </c>
      <c r="K60" s="24">
        <v>-0.13270000000000001</v>
      </c>
      <c r="L60" s="38">
        <f t="shared" si="2"/>
        <v>0.2407433458775721</v>
      </c>
      <c r="M60" s="32">
        <f t="shared" si="6"/>
        <v>26967.88689159874</v>
      </c>
      <c r="N60" s="47">
        <v>0</v>
      </c>
      <c r="O60" s="27">
        <v>-6.4799999999999996E-2</v>
      </c>
      <c r="P60" s="38">
        <f t="shared" si="3"/>
        <v>0.25738271423846121</v>
      </c>
      <c r="Q60" s="31">
        <f t="shared" si="7"/>
        <v>28831.816306837081</v>
      </c>
      <c r="R60" s="47">
        <v>0</v>
      </c>
      <c r="S60" s="37">
        <f t="shared" si="4"/>
        <v>112019.2410439997</v>
      </c>
      <c r="T60" s="40">
        <f t="shared" si="8"/>
        <v>-6.9825411090420508E-2</v>
      </c>
    </row>
    <row r="61" spans="2:20" x14ac:dyDescent="0.35">
      <c r="B61" s="11" t="s">
        <v>65</v>
      </c>
      <c r="C61" s="15">
        <v>-3.2000000000000001E-2</v>
      </c>
      <c r="D61" s="38">
        <f t="shared" si="0"/>
        <v>0.26577632204604185</v>
      </c>
      <c r="E61" s="32">
        <f t="shared" si="9"/>
        <v>28181.280314859014</v>
      </c>
      <c r="F61" s="47">
        <v>0</v>
      </c>
      <c r="G61" s="20">
        <v>1.6299999999999999E-2</v>
      </c>
      <c r="H61" s="38">
        <f t="shared" si="1"/>
        <v>0.25980844304963086</v>
      </c>
      <c r="I61" s="32">
        <f t="shared" si="5"/>
        <v>27548.48327113334</v>
      </c>
      <c r="J61" s="47">
        <v>0</v>
      </c>
      <c r="K61" s="24">
        <v>-0.1174</v>
      </c>
      <c r="L61" s="38">
        <f t="shared" si="2"/>
        <v>0.22447418757467261</v>
      </c>
      <c r="M61" s="32">
        <f t="shared" si="6"/>
        <v>23801.856970525048</v>
      </c>
      <c r="N61" s="47">
        <v>0</v>
      </c>
      <c r="O61" s="27">
        <v>-8.0799999999999997E-2</v>
      </c>
      <c r="P61" s="38">
        <f t="shared" si="3"/>
        <v>0.24994104732965466</v>
      </c>
      <c r="Q61" s="31">
        <f t="shared" si="7"/>
        <v>26502.205549244645</v>
      </c>
      <c r="R61" s="47">
        <v>0</v>
      </c>
      <c r="S61" s="37">
        <f t="shared" si="4"/>
        <v>106033.82610576205</v>
      </c>
      <c r="T61" s="40">
        <f t="shared" si="8"/>
        <v>-5.3432025448973186E-2</v>
      </c>
    </row>
    <row r="62" spans="2:20" x14ac:dyDescent="0.35">
      <c r="B62" s="10" t="s">
        <v>66</v>
      </c>
      <c r="C62" s="15">
        <v>-2.3300000000000001E-2</v>
      </c>
      <c r="D62" s="38">
        <f t="shared" si="0"/>
        <v>0.26936823558861334</v>
      </c>
      <c r="E62" s="32">
        <f t="shared" si="9"/>
        <v>27524.656483522798</v>
      </c>
      <c r="F62" s="47">
        <v>0</v>
      </c>
      <c r="G62" s="15">
        <v>-7.6499999999999999E-2</v>
      </c>
      <c r="H62" s="38">
        <f t="shared" si="1"/>
        <v>0.24897690663644281</v>
      </c>
      <c r="I62" s="32">
        <f t="shared" si="5"/>
        <v>25441.02430089164</v>
      </c>
      <c r="J62" s="47">
        <v>0</v>
      </c>
      <c r="K62" s="24">
        <v>-1.9300000000000001E-2</v>
      </c>
      <c r="L62" s="38">
        <f t="shared" si="2"/>
        <v>0.22843965229067895</v>
      </c>
      <c r="M62" s="32">
        <f t="shared" si="6"/>
        <v>23342.481130993914</v>
      </c>
      <c r="N62" s="47">
        <v>0</v>
      </c>
      <c r="O62" s="27">
        <v>-2.3699999999999999E-2</v>
      </c>
      <c r="P62" s="38">
        <f t="shared" si="3"/>
        <v>0.25321520548426479</v>
      </c>
      <c r="Q62" s="31">
        <f t="shared" si="7"/>
        <v>25874.103277727547</v>
      </c>
      <c r="R62" s="47">
        <v>0</v>
      </c>
      <c r="S62" s="37">
        <f t="shared" si="4"/>
        <v>102182.26519313591</v>
      </c>
      <c r="T62" s="40">
        <f t="shared" si="8"/>
        <v>-3.6323888838873497E-2</v>
      </c>
    </row>
    <row r="63" spans="2:20" x14ac:dyDescent="0.35">
      <c r="B63" s="11" t="s">
        <v>67</v>
      </c>
      <c r="C63" s="20">
        <v>3.4000000000000002E-2</v>
      </c>
      <c r="D63" s="38">
        <f t="shared" si="0"/>
        <v>0.28148309086866286</v>
      </c>
      <c r="E63" s="32">
        <f t="shared" si="9"/>
        <v>28460.494803962574</v>
      </c>
      <c r="F63" s="47">
        <v>0</v>
      </c>
      <c r="G63" s="15">
        <v>-8.3000000000000001E-3</v>
      </c>
      <c r="H63" s="38">
        <f t="shared" si="1"/>
        <v>0.24953115163000589</v>
      </c>
      <c r="I63" s="32">
        <f t="shared" si="5"/>
        <v>25229.863799194241</v>
      </c>
      <c r="J63" s="47">
        <v>0</v>
      </c>
      <c r="K63" s="24">
        <v>-3.49E-2</v>
      </c>
      <c r="L63" s="38">
        <f t="shared" si="2"/>
        <v>0.22280718770149777</v>
      </c>
      <c r="M63" s="32">
        <f t="shared" si="6"/>
        <v>22527.828539522226</v>
      </c>
      <c r="N63" s="47">
        <v>0</v>
      </c>
      <c r="O63" s="27">
        <v>-3.7999999999999999E-2</v>
      </c>
      <c r="P63" s="38">
        <f t="shared" si="3"/>
        <v>0.24617856979983352</v>
      </c>
      <c r="Q63" s="31">
        <f t="shared" si="7"/>
        <v>24890.887353173901</v>
      </c>
      <c r="R63" s="47">
        <v>0</v>
      </c>
      <c r="S63" s="37">
        <f t="shared" si="4"/>
        <v>101109.07449585294</v>
      </c>
      <c r="T63" s="40">
        <f t="shared" si="8"/>
        <v>-1.0502709988416514E-2</v>
      </c>
    </row>
    <row r="64" spans="2:20" x14ac:dyDescent="0.35">
      <c r="B64" s="10" t="s">
        <v>68</v>
      </c>
      <c r="C64" s="20">
        <v>3.2500000000000001E-2</v>
      </c>
      <c r="D64" s="38">
        <f t="shared" si="0"/>
        <v>0.28727925130324988</v>
      </c>
      <c r="E64" s="32">
        <f t="shared" si="9"/>
        <v>29385.460885091357</v>
      </c>
      <c r="F64" s="47">
        <v>0</v>
      </c>
      <c r="G64" s="15">
        <v>-5.4000000000000003E-3</v>
      </c>
      <c r="H64" s="38">
        <f t="shared" si="1"/>
        <v>0.24532121930768261</v>
      </c>
      <c r="I64" s="32">
        <f t="shared" si="5"/>
        <v>25093.622534678594</v>
      </c>
      <c r="J64" s="47">
        <v>0</v>
      </c>
      <c r="K64" s="25">
        <v>1.78E-2</v>
      </c>
      <c r="L64" s="38">
        <f t="shared" si="2"/>
        <v>0.22415763310400713</v>
      </c>
      <c r="M64" s="32">
        <f t="shared" si="6"/>
        <v>22928.823887525723</v>
      </c>
      <c r="N64" s="47">
        <v>0</v>
      </c>
      <c r="O64" s="27">
        <v>-4.0000000000000002E-4</v>
      </c>
      <c r="P64" s="38">
        <f t="shared" si="3"/>
        <v>0.2432418962850604</v>
      </c>
      <c r="Q64" s="31">
        <f t="shared" si="7"/>
        <v>24880.93099823263</v>
      </c>
      <c r="R64" s="47">
        <v>0</v>
      </c>
      <c r="S64" s="37">
        <f t="shared" si="4"/>
        <v>102288.8383055283</v>
      </c>
      <c r="T64" s="40">
        <f t="shared" si="8"/>
        <v>1.166822874759621E-2</v>
      </c>
    </row>
    <row r="65" spans="2:20" x14ac:dyDescent="0.35">
      <c r="B65" s="11" t="s">
        <v>69</v>
      </c>
      <c r="C65" s="15">
        <v>-1.55E-2</v>
      </c>
      <c r="D65" s="38">
        <f t="shared" si="0"/>
        <v>0.28892307283478813</v>
      </c>
      <c r="E65" s="32">
        <f t="shared" si="9"/>
        <v>28929.98624137244</v>
      </c>
      <c r="F65" s="47">
        <v>0</v>
      </c>
      <c r="G65" s="20">
        <v>7.6E-3</v>
      </c>
      <c r="H65" s="38">
        <f t="shared" si="1"/>
        <v>0.25251403273971135</v>
      </c>
      <c r="I65" s="32">
        <f t="shared" si="5"/>
        <v>25284.334065942152</v>
      </c>
      <c r="J65" s="47">
        <v>0</v>
      </c>
      <c r="K65" s="24">
        <v>-2.92E-2</v>
      </c>
      <c r="L65" s="38">
        <f t="shared" si="2"/>
        <v>0.22230311296365263</v>
      </c>
      <c r="M65" s="32">
        <f t="shared" si="6"/>
        <v>22259.302230009973</v>
      </c>
      <c r="N65" s="47">
        <v>0</v>
      </c>
      <c r="O65" s="27">
        <v>-4.9200000000000001E-2</v>
      </c>
      <c r="P65" s="38">
        <f t="shared" si="3"/>
        <v>0.2362597814618479</v>
      </c>
      <c r="Q65" s="31">
        <f t="shared" si="7"/>
        <v>23656.789193119585</v>
      </c>
      <c r="R65" s="47">
        <v>0</v>
      </c>
      <c r="S65" s="37">
        <f t="shared" si="4"/>
        <v>100130.41173044415</v>
      </c>
      <c r="T65" s="40">
        <f t="shared" si="8"/>
        <v>-2.1101291312323966E-2</v>
      </c>
    </row>
    <row r="66" spans="2:20" x14ac:dyDescent="0.35">
      <c r="B66" s="10" t="s">
        <v>70</v>
      </c>
      <c r="C66" s="15">
        <v>-4.9399999999999999E-2</v>
      </c>
      <c r="D66" s="38">
        <f t="shared" si="0"/>
        <v>0.28398551347700918</v>
      </c>
      <c r="E66" s="32">
        <f t="shared" si="9"/>
        <v>27500.844921048643</v>
      </c>
      <c r="F66" s="47">
        <v>0</v>
      </c>
      <c r="G66" s="20">
        <v>6.1000000000000004E-3</v>
      </c>
      <c r="H66" s="38">
        <f t="shared" si="1"/>
        <v>0.26268956315326397</v>
      </c>
      <c r="I66" s="32">
        <f t="shared" si="5"/>
        <v>25438.568503744398</v>
      </c>
      <c r="J66" s="47">
        <v>0</v>
      </c>
      <c r="K66" s="24">
        <v>-5.8500000000000003E-2</v>
      </c>
      <c r="L66" s="38">
        <f t="shared" si="2"/>
        <v>0.21641233959064712</v>
      </c>
      <c r="M66" s="32">
        <f t="shared" si="6"/>
        <v>20957.133049554388</v>
      </c>
      <c r="N66" s="47">
        <v>0</v>
      </c>
      <c r="O66" s="27">
        <v>-3.0200000000000001E-2</v>
      </c>
      <c r="P66" s="38">
        <f t="shared" si="3"/>
        <v>0.23691258377907981</v>
      </c>
      <c r="Q66" s="31">
        <f t="shared" si="7"/>
        <v>22942.354159487371</v>
      </c>
      <c r="R66" s="47">
        <v>0</v>
      </c>
      <c r="S66" s="37">
        <f t="shared" si="4"/>
        <v>96838.900633834797</v>
      </c>
      <c r="T66" s="40">
        <f t="shared" si="8"/>
        <v>-3.2872241706847771E-2</v>
      </c>
    </row>
    <row r="67" spans="2:20" x14ac:dyDescent="0.35">
      <c r="B67" s="11" t="s">
        <v>71</v>
      </c>
      <c r="C67" s="20">
        <v>6.2899999999999998E-2</v>
      </c>
      <c r="D67" s="38">
        <f t="shared" si="0"/>
        <v>0.28542468246884078</v>
      </c>
      <c r="E67" s="32">
        <f t="shared" si="9"/>
        <v>29230.648066582602</v>
      </c>
      <c r="F67" s="47">
        <v>0</v>
      </c>
      <c r="G67" s="20">
        <v>0.1351</v>
      </c>
      <c r="H67" s="38">
        <f t="shared" si="1"/>
        <v>0.28195504831043705</v>
      </c>
      <c r="I67" s="32">
        <f t="shared" si="5"/>
        <v>28875.319108600266</v>
      </c>
      <c r="J67" s="47">
        <v>0</v>
      </c>
      <c r="K67" s="25">
        <v>1.41E-2</v>
      </c>
      <c r="L67" s="38">
        <f t="shared" si="2"/>
        <v>0.20752276046905579</v>
      </c>
      <c r="M67" s="32">
        <f t="shared" si="6"/>
        <v>21252.628625553105</v>
      </c>
      <c r="N67" s="47">
        <v>0</v>
      </c>
      <c r="O67" s="26">
        <v>4.7999999999999996E-3</v>
      </c>
      <c r="P67" s="38">
        <f t="shared" si="3"/>
        <v>0.22509750875166634</v>
      </c>
      <c r="Q67" s="31">
        <f t="shared" si="7"/>
        <v>23052.477459452912</v>
      </c>
      <c r="R67" s="47">
        <v>0</v>
      </c>
      <c r="S67" s="37">
        <f t="shared" si="4"/>
        <v>102411.07326018889</v>
      </c>
      <c r="T67" s="40">
        <f t="shared" si="8"/>
        <v>5.7540643170077566E-2</v>
      </c>
    </row>
    <row r="68" spans="2:20" x14ac:dyDescent="0.35">
      <c r="B68" s="10" t="s">
        <v>72</v>
      </c>
      <c r="C68" s="20">
        <v>1.66E-2</v>
      </c>
      <c r="D68" s="38">
        <f t="shared" si="0"/>
        <v>0.29924330960753026</v>
      </c>
      <c r="E68" s="32">
        <f t="shared" si="9"/>
        <v>29715.876824487874</v>
      </c>
      <c r="F68" s="47">
        <v>0</v>
      </c>
      <c r="G68" s="15">
        <v>-7.1599999999999997E-2</v>
      </c>
      <c r="H68" s="38">
        <f t="shared" si="1"/>
        <v>0.26995900830388947</v>
      </c>
      <c r="I68" s="32">
        <f t="shared" si="5"/>
        <v>26807.846260424489</v>
      </c>
      <c r="J68" s="47">
        <v>0</v>
      </c>
      <c r="K68" s="24">
        <v>-7.0800000000000002E-2</v>
      </c>
      <c r="L68" s="38">
        <f t="shared" si="2"/>
        <v>0.19886472514969977</v>
      </c>
      <c r="M68" s="32">
        <f t="shared" si="6"/>
        <v>19747.942518863943</v>
      </c>
      <c r="N68" s="47">
        <v>0</v>
      </c>
      <c r="O68" s="27">
        <v>-8.9999999999999998E-4</v>
      </c>
      <c r="P68" s="38">
        <f t="shared" si="3"/>
        <v>0.23193295693888052</v>
      </c>
      <c r="Q68" s="31">
        <f t="shared" si="7"/>
        <v>23031.730229739405</v>
      </c>
      <c r="R68" s="47">
        <v>0</v>
      </c>
      <c r="S68" s="37">
        <f t="shared" si="4"/>
        <v>99303.395833515708</v>
      </c>
      <c r="T68" s="40">
        <f t="shared" si="8"/>
        <v>-3.0345130929130271E-2</v>
      </c>
    </row>
    <row r="69" spans="2:20" x14ac:dyDescent="0.35">
      <c r="B69" s="9" t="s">
        <v>73</v>
      </c>
      <c r="C69" s="20">
        <v>2.8899999999999999E-2</v>
      </c>
      <c r="D69" s="38">
        <f t="shared" si="0"/>
        <v>0.29093985458424049</v>
      </c>
      <c r="E69" s="32">
        <f t="shared" si="9"/>
        <v>30574.665664715572</v>
      </c>
      <c r="F69" s="47">
        <v>0</v>
      </c>
      <c r="G69" s="20">
        <v>5.3499999999999999E-2</v>
      </c>
      <c r="H69" s="38">
        <f t="shared" si="1"/>
        <v>0.26874349749530707</v>
      </c>
      <c r="I69" s="32">
        <f t="shared" si="5"/>
        <v>28242.066035357198</v>
      </c>
      <c r="J69" s="47">
        <v>0</v>
      </c>
      <c r="K69" s="25">
        <v>9.7100000000000006E-2</v>
      </c>
      <c r="L69" s="38">
        <f t="shared" si="2"/>
        <v>0.20616245168974359</v>
      </c>
      <c r="M69" s="32">
        <f t="shared" si="6"/>
        <v>21665.467737445633</v>
      </c>
      <c r="N69" s="47">
        <v>0</v>
      </c>
      <c r="O69" s="26">
        <v>6.8400000000000002E-2</v>
      </c>
      <c r="P69" s="38">
        <f t="shared" si="3"/>
        <v>0.23415419623070879</v>
      </c>
      <c r="Q69" s="31">
        <f t="shared" si="7"/>
        <v>24607.100577453581</v>
      </c>
      <c r="R69" s="47">
        <v>0</v>
      </c>
      <c r="S69" s="37">
        <f t="shared" si="4"/>
        <v>105089.30001497199</v>
      </c>
      <c r="T69" s="40">
        <f t="shared" si="8"/>
        <v>5.8264917658571003E-2</v>
      </c>
    </row>
    <row r="70" spans="2:20" x14ac:dyDescent="0.35">
      <c r="B70" s="10" t="s">
        <v>74</v>
      </c>
      <c r="C70" s="20">
        <v>8.6E-3</v>
      </c>
      <c r="D70" s="38">
        <f t="shared" si="0"/>
        <v>0.29537611730200519</v>
      </c>
      <c r="E70" s="32">
        <f t="shared" si="9"/>
        <v>30837.607789432128</v>
      </c>
      <c r="F70" s="47">
        <v>0</v>
      </c>
      <c r="G70" s="20">
        <v>3.5000000000000001E-3</v>
      </c>
      <c r="H70" s="38">
        <f t="shared" si="1"/>
        <v>0.27146168336425902</v>
      </c>
      <c r="I70" s="32">
        <f t="shared" si="5"/>
        <v>28340.913266480948</v>
      </c>
      <c r="J70" s="47">
        <v>0</v>
      </c>
      <c r="K70" s="24">
        <v>-2.6200000000000001E-2</v>
      </c>
      <c r="L70" s="38">
        <f t="shared" si="2"/>
        <v>0.20208428243811133</v>
      </c>
      <c r="M70" s="32">
        <f t="shared" si="6"/>
        <v>21097.832482724556</v>
      </c>
      <c r="N70" s="47">
        <v>0</v>
      </c>
      <c r="O70" s="27">
        <v>-1.9599999999999999E-2</v>
      </c>
      <c r="P70" s="38">
        <f t="shared" si="3"/>
        <v>0.2310779168956244</v>
      </c>
      <c r="Q70" s="31">
        <f t="shared" si="7"/>
        <v>24124.801406135492</v>
      </c>
      <c r="R70" s="47">
        <v>0</v>
      </c>
      <c r="S70" s="37">
        <f t="shared" si="4"/>
        <v>104401.15494477312</v>
      </c>
      <c r="T70" s="40">
        <f t="shared" si="8"/>
        <v>-6.5481934897351213E-3</v>
      </c>
    </row>
    <row r="71" spans="2:20" x14ac:dyDescent="0.35">
      <c r="B71" s="11" t="s">
        <v>75</v>
      </c>
      <c r="C71" s="20">
        <v>3.9100000000000003E-2</v>
      </c>
      <c r="D71" s="38">
        <f t="shared" si="0"/>
        <v>0.30832140498052468</v>
      </c>
      <c r="E71" s="32">
        <f t="shared" si="9"/>
        <v>32043.358253998926</v>
      </c>
      <c r="F71" s="47">
        <v>0</v>
      </c>
      <c r="G71" s="15">
        <v>-1.2200000000000001E-2</v>
      </c>
      <c r="H71" s="38">
        <f t="shared" si="1"/>
        <v>0.26936955808229079</v>
      </c>
      <c r="I71" s="32">
        <f t="shared" si="5"/>
        <v>27995.15412462988</v>
      </c>
      <c r="J71" s="47">
        <v>0</v>
      </c>
      <c r="K71" s="24">
        <v>-4.19E-2</v>
      </c>
      <c r="L71" s="38">
        <f t="shared" si="2"/>
        <v>0.19449763767641259</v>
      </c>
      <c r="M71" s="32">
        <f t="shared" si="6"/>
        <v>20213.833301698396</v>
      </c>
      <c r="N71" s="47">
        <v>0</v>
      </c>
      <c r="O71" s="27">
        <v>-1.8599999999999998E-2</v>
      </c>
      <c r="P71" s="38">
        <f t="shared" si="3"/>
        <v>0.22781139926077185</v>
      </c>
      <c r="Q71" s="31">
        <f t="shared" si="7"/>
        <v>23676.080099981373</v>
      </c>
      <c r="R71" s="47">
        <v>0</v>
      </c>
      <c r="S71" s="37">
        <f t="shared" si="4"/>
        <v>103928.42578030858</v>
      </c>
      <c r="T71" s="40">
        <f t="shared" si="8"/>
        <v>-4.5280070389509541E-3</v>
      </c>
    </row>
    <row r="72" spans="2:20" x14ac:dyDescent="0.35">
      <c r="B72" s="10" t="s">
        <v>76</v>
      </c>
      <c r="C72" s="15">
        <v>-1.9E-2</v>
      </c>
      <c r="D72" s="38">
        <f t="shared" si="0"/>
        <v>0.30492860980478742</v>
      </c>
      <c r="E72" s="32">
        <f t="shared" si="9"/>
        <v>31434.534447172948</v>
      </c>
      <c r="F72" s="47">
        <v>0</v>
      </c>
      <c r="G72" s="20">
        <v>2.3699999999999999E-2</v>
      </c>
      <c r="H72" s="38">
        <f t="shared" si="1"/>
        <v>0.27800122341355005</v>
      </c>
      <c r="I72" s="32">
        <f t="shared" si="5"/>
        <v>28658.639277383609</v>
      </c>
      <c r="J72" s="47">
        <v>0</v>
      </c>
      <c r="K72" s="24">
        <v>-4.7999999999999996E-3</v>
      </c>
      <c r="L72" s="38">
        <f t="shared" si="2"/>
        <v>0.19514174681356616</v>
      </c>
      <c r="M72" s="32">
        <f t="shared" si="6"/>
        <v>20116.806901850243</v>
      </c>
      <c r="N72" s="47">
        <v>0</v>
      </c>
      <c r="O72" s="27">
        <v>-3.3700000000000001E-2</v>
      </c>
      <c r="P72" s="38">
        <f t="shared" si="3"/>
        <v>0.22192841996809629</v>
      </c>
      <c r="Q72" s="31">
        <f t="shared" si="7"/>
        <v>22878.196200612001</v>
      </c>
      <c r="R72" s="47">
        <v>0</v>
      </c>
      <c r="S72" s="37">
        <f t="shared" si="4"/>
        <v>103088.1768270188</v>
      </c>
      <c r="T72" s="40">
        <f t="shared" si="8"/>
        <v>-8.0848809840144975E-3</v>
      </c>
    </row>
    <row r="73" spans="2:20" x14ac:dyDescent="0.35">
      <c r="B73" s="11" t="s">
        <v>77</v>
      </c>
      <c r="C73" s="15">
        <v>-3.7100000000000001E-2</v>
      </c>
      <c r="D73" s="38">
        <f t="shared" si="0"/>
        <v>0.28203709395741133</v>
      </c>
      <c r="E73" s="32">
        <f t="shared" si="9"/>
        <v>30268.31321918283</v>
      </c>
      <c r="F73" s="47">
        <v>0</v>
      </c>
      <c r="G73" s="20">
        <v>7.9799999999999996E-2</v>
      </c>
      <c r="H73" s="38">
        <f t="shared" si="1"/>
        <v>0.28834797177443361</v>
      </c>
      <c r="I73" s="32">
        <f t="shared" si="5"/>
        <v>30945.59869171882</v>
      </c>
      <c r="J73" s="47">
        <v>0</v>
      </c>
      <c r="K73" s="25">
        <v>9.8599999999999993E-2</v>
      </c>
      <c r="L73" s="38">
        <f t="shared" si="2"/>
        <v>0.20592859367261829</v>
      </c>
      <c r="M73" s="32">
        <f t="shared" si="6"/>
        <v>22100.324062372678</v>
      </c>
      <c r="N73" s="47">
        <v>0</v>
      </c>
      <c r="O73" s="26">
        <v>4.9299999999999997E-2</v>
      </c>
      <c r="P73" s="38">
        <f t="shared" si="3"/>
        <v>0.22368634059553674</v>
      </c>
      <c r="Q73" s="31">
        <f t="shared" si="7"/>
        <v>24006.091273302172</v>
      </c>
      <c r="R73" s="47">
        <v>0</v>
      </c>
      <c r="S73" s="37">
        <f t="shared" si="4"/>
        <v>107320.3272465765</v>
      </c>
      <c r="T73" s="40">
        <f t="shared" si="8"/>
        <v>4.1053693544888414E-2</v>
      </c>
    </row>
    <row r="74" spans="2:20" x14ac:dyDescent="0.35">
      <c r="B74" s="10" t="s">
        <v>78</v>
      </c>
      <c r="C74" s="15">
        <v>-5.4899999999999997E-2</v>
      </c>
      <c r="D74" s="38">
        <f t="shared" si="0"/>
        <v>0.2661160986857033</v>
      </c>
      <c r="E74" s="32">
        <f t="shared" si="9"/>
        <v>28606.582823449691</v>
      </c>
      <c r="F74" s="47">
        <v>0</v>
      </c>
      <c r="G74" s="20">
        <v>2.2100000000000002E-2</v>
      </c>
      <c r="H74" s="38">
        <f t="shared" si="1"/>
        <v>0.29423710770972339</v>
      </c>
      <c r="I74" s="32">
        <f t="shared" si="5"/>
        <v>31629.496422805805</v>
      </c>
      <c r="J74" s="47">
        <v>0</v>
      </c>
      <c r="K74" s="25">
        <v>5.3199999999999997E-2</v>
      </c>
      <c r="L74" s="38">
        <f t="shared" si="2"/>
        <v>0.21652829577081215</v>
      </c>
      <c r="M74" s="32">
        <f t="shared" si="6"/>
        <v>23276.061302490903</v>
      </c>
      <c r="N74" s="47">
        <v>0</v>
      </c>
      <c r="O74" s="27">
        <v>-8.9999999999999998E-4</v>
      </c>
      <c r="P74" s="38">
        <f t="shared" si="3"/>
        <v>0.22311849783376125</v>
      </c>
      <c r="Q74" s="31">
        <f t="shared" si="7"/>
        <v>23984.485791156199</v>
      </c>
      <c r="R74" s="47">
        <v>0</v>
      </c>
      <c r="S74" s="37">
        <f t="shared" si="4"/>
        <v>107496.62633990259</v>
      </c>
      <c r="T74" s="40">
        <f t="shared" si="8"/>
        <v>1.6427371948002367E-3</v>
      </c>
    </row>
    <row r="75" spans="2:20" x14ac:dyDescent="0.35">
      <c r="B75" s="11" t="s">
        <v>79</v>
      </c>
      <c r="C75" s="20">
        <v>3.9600000000000003E-2</v>
      </c>
      <c r="D75" s="38">
        <f t="shared" si="0"/>
        <v>0.28411598768175345</v>
      </c>
      <c r="E75" s="32">
        <f t="shared" si="9"/>
        <v>29739.403503258298</v>
      </c>
      <c r="F75" s="47">
        <v>0</v>
      </c>
      <c r="G75" s="15">
        <v>-7.4999999999999997E-2</v>
      </c>
      <c r="H75" s="38">
        <f t="shared" si="1"/>
        <v>0.27951005116589123</v>
      </c>
      <c r="I75" s="32">
        <f t="shared" si="5"/>
        <v>29257.284191095368</v>
      </c>
      <c r="J75" s="47">
        <v>0</v>
      </c>
      <c r="K75" s="24">
        <v>-3.95E-2</v>
      </c>
      <c r="L75" s="38">
        <f t="shared" si="2"/>
        <v>0.21358476979282859</v>
      </c>
      <c r="M75" s="32">
        <f t="shared" si="6"/>
        <v>22356.656881042512</v>
      </c>
      <c r="N75" s="47">
        <v>0</v>
      </c>
      <c r="O75" s="27">
        <v>-2.7699999999999999E-2</v>
      </c>
      <c r="P75" s="38">
        <f t="shared" si="3"/>
        <v>0.22278919135952668</v>
      </c>
      <c r="Q75" s="31">
        <f t="shared" si="7"/>
        <v>23320.115534741173</v>
      </c>
      <c r="R75" s="47">
        <v>0</v>
      </c>
      <c r="S75" s="37">
        <f t="shared" si="4"/>
        <v>104673.46011013736</v>
      </c>
      <c r="T75" s="40">
        <f t="shared" si="8"/>
        <v>-2.626283564321763E-2</v>
      </c>
    </row>
    <row r="76" spans="2:20" x14ac:dyDescent="0.35">
      <c r="B76" s="10" t="s">
        <v>80</v>
      </c>
      <c r="C76" s="15">
        <v>-4.9299999999999997E-2</v>
      </c>
      <c r="D76" s="38">
        <f t="shared" si="0"/>
        <v>0.26546958036417839</v>
      </c>
      <c r="E76" s="32">
        <f t="shared" si="9"/>
        <v>28273.250910547664</v>
      </c>
      <c r="F76" s="47">
        <v>0</v>
      </c>
      <c r="G76" s="20">
        <v>5.4399999999999997E-2</v>
      </c>
      <c r="H76" s="38">
        <f t="shared" si="1"/>
        <v>0.289653261804452</v>
      </c>
      <c r="I76" s="32">
        <f t="shared" si="5"/>
        <v>30848.880451090958</v>
      </c>
      <c r="J76" s="47">
        <v>0</v>
      </c>
      <c r="K76" s="25">
        <v>7.8299999999999995E-2</v>
      </c>
      <c r="L76" s="38">
        <f t="shared" si="2"/>
        <v>0.22635259756664003</v>
      </c>
      <c r="M76" s="32">
        <f t="shared" si="6"/>
        <v>24107.183114828142</v>
      </c>
      <c r="N76" s="47">
        <v>0</v>
      </c>
      <c r="O76" s="27">
        <v>-2E-3</v>
      </c>
      <c r="P76" s="38">
        <f t="shared" si="3"/>
        <v>0.21852456026472958</v>
      </c>
      <c r="Q76" s="31">
        <f t="shared" si="7"/>
        <v>23273.47530367169</v>
      </c>
      <c r="R76" s="47">
        <v>0</v>
      </c>
      <c r="S76" s="37">
        <f t="shared" si="4"/>
        <v>106502.78978013845</v>
      </c>
      <c r="T76" s="40">
        <f t="shared" si="8"/>
        <v>1.7476537682773463E-2</v>
      </c>
    </row>
    <row r="77" spans="2:20" x14ac:dyDescent="0.35">
      <c r="B77" s="11" t="s">
        <v>81</v>
      </c>
      <c r="C77" s="20">
        <v>5.11E-2</v>
      </c>
      <c r="D77" s="38">
        <f t="shared" si="0"/>
        <v>0.28009583192497678</v>
      </c>
      <c r="E77" s="32">
        <f t="shared" si="9"/>
        <v>29718.014032076651</v>
      </c>
      <c r="F77" s="47">
        <v>0</v>
      </c>
      <c r="G77" s="20">
        <v>1.2800000000000001E-2</v>
      </c>
      <c r="H77" s="38">
        <f t="shared" si="1"/>
        <v>0.29447603910310494</v>
      </c>
      <c r="I77" s="32">
        <f t="shared" si="5"/>
        <v>31243.746120864922</v>
      </c>
      <c r="J77" s="47">
        <v>0</v>
      </c>
      <c r="K77" s="24">
        <v>-6.0699999999999997E-2</v>
      </c>
      <c r="L77" s="38">
        <f t="shared" si="2"/>
        <v>0.21342124636652463</v>
      </c>
      <c r="M77" s="32">
        <f t="shared" si="6"/>
        <v>22643.877099758072</v>
      </c>
      <c r="N77" s="47">
        <v>0</v>
      </c>
      <c r="O77" s="27">
        <v>-3.3500000000000002E-2</v>
      </c>
      <c r="P77" s="38">
        <f t="shared" si="3"/>
        <v>0.21200688260539371</v>
      </c>
      <c r="Q77" s="31">
        <f t="shared" si="7"/>
        <v>22493.813880998689</v>
      </c>
      <c r="R77" s="47">
        <v>0</v>
      </c>
      <c r="S77" s="37">
        <f t="shared" si="4"/>
        <v>106099.45113369833</v>
      </c>
      <c r="T77" s="40">
        <f t="shared" si="8"/>
        <v>-3.7871181334570014E-3</v>
      </c>
    </row>
    <row r="78" spans="2:20" x14ac:dyDescent="0.35">
      <c r="B78" s="10" t="s">
        <v>82</v>
      </c>
      <c r="C78" s="20">
        <v>3.9300000000000002E-2</v>
      </c>
      <c r="D78" s="38">
        <f t="shared" si="0"/>
        <v>0.28706172516767531</v>
      </c>
      <c r="E78" s="32">
        <f t="shared" si="9"/>
        <v>30885.931983537263</v>
      </c>
      <c r="F78" s="47">
        <v>0</v>
      </c>
      <c r="G78" s="20">
        <v>4.19E-2</v>
      </c>
      <c r="H78" s="38">
        <f t="shared" si="1"/>
        <v>0.30255457055922985</v>
      </c>
      <c r="I78" s="32">
        <f t="shared" si="5"/>
        <v>32552.859083329164</v>
      </c>
      <c r="J78" s="47">
        <v>0</v>
      </c>
      <c r="K78" s="24">
        <v>-4.5999999999999999E-2</v>
      </c>
      <c r="L78" s="38">
        <f t="shared" si="2"/>
        <v>0.20077689960945982</v>
      </c>
      <c r="M78" s="32">
        <f t="shared" si="6"/>
        <v>21602.258753169201</v>
      </c>
      <c r="N78" s="47">
        <v>0</v>
      </c>
      <c r="O78" s="26">
        <v>2.5999999999999999E-3</v>
      </c>
      <c r="P78" s="38">
        <f t="shared" si="3"/>
        <v>0.20960680466363507</v>
      </c>
      <c r="Q78" s="31">
        <f t="shared" si="7"/>
        <v>22552.297797089286</v>
      </c>
      <c r="R78" s="47">
        <v>0</v>
      </c>
      <c r="S78" s="37">
        <f t="shared" si="4"/>
        <v>107593.34761712491</v>
      </c>
      <c r="T78" s="40">
        <f t="shared" si="8"/>
        <v>1.4080152794985645E-2</v>
      </c>
    </row>
    <row r="79" spans="2:20" x14ac:dyDescent="0.35">
      <c r="B79" s="11" t="s">
        <v>83</v>
      </c>
      <c r="C79" s="20">
        <v>1.12E-2</v>
      </c>
      <c r="D79" s="38">
        <f t="shared" si="0"/>
        <v>0.28604765259801679</v>
      </c>
      <c r="E79" s="32">
        <f t="shared" si="9"/>
        <v>31231.85442175288</v>
      </c>
      <c r="F79" s="47">
        <v>0</v>
      </c>
      <c r="G79" s="20">
        <v>3.3399999999999999E-2</v>
      </c>
      <c r="H79" s="38">
        <f t="shared" si="1"/>
        <v>0.30810462095299918</v>
      </c>
      <c r="I79" s="32">
        <f t="shared" si="5"/>
        <v>33640.124576712355</v>
      </c>
      <c r="J79" s="47">
        <v>0</v>
      </c>
      <c r="K79" s="24">
        <v>-6.7999999999999996E-3</v>
      </c>
      <c r="L79" s="38">
        <f t="shared" si="2"/>
        <v>0.19650630575800046</v>
      </c>
      <c r="M79" s="32">
        <f t="shared" si="6"/>
        <v>21455.363393647651</v>
      </c>
      <c r="N79" s="47">
        <v>0</v>
      </c>
      <c r="O79" s="26">
        <v>1.35E-2</v>
      </c>
      <c r="P79" s="38">
        <f t="shared" si="3"/>
        <v>0.20934142069098358</v>
      </c>
      <c r="Q79" s="31">
        <f t="shared" si="7"/>
        <v>22856.753817349992</v>
      </c>
      <c r="R79" s="47">
        <v>0</v>
      </c>
      <c r="S79" s="37">
        <f t="shared" si="4"/>
        <v>109184.09620946288</v>
      </c>
      <c r="T79" s="40">
        <f t="shared" si="8"/>
        <v>1.4784822924170937E-2</v>
      </c>
    </row>
    <row r="80" spans="2:20" x14ac:dyDescent="0.35">
      <c r="B80" s="10" t="s">
        <v>84</v>
      </c>
      <c r="C80" s="20">
        <v>2.4E-2</v>
      </c>
      <c r="D80" s="38">
        <f t="shared" si="0"/>
        <v>0.29939639222263997</v>
      </c>
      <c r="E80" s="32">
        <f t="shared" si="9"/>
        <v>31981.418927874947</v>
      </c>
      <c r="F80" s="47">
        <v>0</v>
      </c>
      <c r="G80" s="15">
        <v>-1.46E-2</v>
      </c>
      <c r="H80" s="38">
        <f t="shared" si="1"/>
        <v>0.31032658895967757</v>
      </c>
      <c r="I80" s="32">
        <f t="shared" si="5"/>
        <v>33148.978757892357</v>
      </c>
      <c r="J80" s="47">
        <v>0</v>
      </c>
      <c r="K80" s="24">
        <v>-8.0699999999999994E-2</v>
      </c>
      <c r="L80" s="38">
        <f t="shared" si="2"/>
        <v>0.18464687807676847</v>
      </c>
      <c r="M80" s="32">
        <f t="shared" si="6"/>
        <v>19723.915567780285</v>
      </c>
      <c r="N80" s="47">
        <v>0</v>
      </c>
      <c r="O80" s="27">
        <v>-3.9E-2</v>
      </c>
      <c r="P80" s="38">
        <f t="shared" si="3"/>
        <v>0.20563014074091387</v>
      </c>
      <c r="Q80" s="31">
        <f t="shared" si="7"/>
        <v>21965.340418473344</v>
      </c>
      <c r="R80" s="47">
        <v>0</v>
      </c>
      <c r="S80" s="37">
        <f t="shared" si="4"/>
        <v>106819.65367202094</v>
      </c>
      <c r="T80" s="40">
        <f t="shared" si="8"/>
        <v>-2.1655558085180271E-2</v>
      </c>
    </row>
    <row r="81" spans="2:20" x14ac:dyDescent="0.35">
      <c r="B81" s="9" t="s">
        <v>85</v>
      </c>
      <c r="C81" s="20">
        <v>3.5400000000000001E-2</v>
      </c>
      <c r="D81" s="38">
        <f t="shared" si="0"/>
        <v>0.31186195898576757</v>
      </c>
      <c r="E81" s="32">
        <f t="shared" si="9"/>
        <v>33113.561157921722</v>
      </c>
      <c r="F81" s="47">
        <v>0</v>
      </c>
      <c r="G81" s="15">
        <v>-5.0599999999999999E-2</v>
      </c>
      <c r="H81" s="38">
        <f t="shared" si="1"/>
        <v>0.29639842694789525</v>
      </c>
      <c r="I81" s="32">
        <f t="shared" si="5"/>
        <v>31471.640432743003</v>
      </c>
      <c r="J81" s="47">
        <v>0</v>
      </c>
      <c r="K81" s="24">
        <v>-1.8700000000000001E-2</v>
      </c>
      <c r="L81" s="38">
        <f t="shared" si="2"/>
        <v>0.18228521603963027</v>
      </c>
      <c r="M81" s="32">
        <f t="shared" si="6"/>
        <v>19355.078346662795</v>
      </c>
      <c r="N81" s="47">
        <v>0</v>
      </c>
      <c r="O81" s="26">
        <v>1.2500000000000001E-2</v>
      </c>
      <c r="P81" s="38">
        <f t="shared" si="3"/>
        <v>0.20945439802670685</v>
      </c>
      <c r="Q81" s="31">
        <f t="shared" si="7"/>
        <v>22239.907173704261</v>
      </c>
      <c r="R81" s="47">
        <v>0</v>
      </c>
      <c r="S81" s="37">
        <f t="shared" si="4"/>
        <v>106180.18711103179</v>
      </c>
      <c r="T81" s="40">
        <f t="shared" si="8"/>
        <v>-5.9864129774523933E-3</v>
      </c>
    </row>
    <row r="82" spans="2:20" x14ac:dyDescent="0.35">
      <c r="B82" s="10" t="s">
        <v>86</v>
      </c>
      <c r="C82" s="20">
        <v>2.0500000000000001E-2</v>
      </c>
      <c r="D82" s="38">
        <f t="shared" si="0"/>
        <v>0.31250572482018435</v>
      </c>
      <c r="E82" s="32">
        <f t="shared" si="9"/>
        <v>33792.389161659121</v>
      </c>
      <c r="F82" s="47">
        <v>0</v>
      </c>
      <c r="G82" s="20">
        <v>4.7300000000000002E-2</v>
      </c>
      <c r="H82" s="38">
        <f t="shared" si="1"/>
        <v>0.30481024773366022</v>
      </c>
      <c r="I82" s="32">
        <f t="shared" si="5"/>
        <v>32960.24902521175</v>
      </c>
      <c r="J82" s="47">
        <v>0</v>
      </c>
      <c r="K82" s="25">
        <v>1.6999999999999999E-3</v>
      </c>
      <c r="L82" s="38">
        <f t="shared" si="2"/>
        <v>0.17929644845262208</v>
      </c>
      <c r="M82" s="32">
        <f t="shared" si="6"/>
        <v>19387.98197985212</v>
      </c>
      <c r="N82" s="47">
        <v>0</v>
      </c>
      <c r="O82" s="27">
        <v>-1.11E-2</v>
      </c>
      <c r="P82" s="38">
        <f t="shared" si="3"/>
        <v>0.20338757899353349</v>
      </c>
      <c r="Q82" s="31">
        <f t="shared" si="7"/>
        <v>21993.044204076145</v>
      </c>
      <c r="R82" s="47">
        <v>0</v>
      </c>
      <c r="S82" s="37">
        <f t="shared" si="4"/>
        <v>108133.66437079912</v>
      </c>
      <c r="T82" s="40">
        <f t="shared" si="8"/>
        <v>1.8397756803014476E-2</v>
      </c>
    </row>
    <row r="83" spans="2:20" x14ac:dyDescent="0.35">
      <c r="B83" s="11" t="s">
        <v>87</v>
      </c>
      <c r="C83" s="15">
        <v>-2.1499999999999998E-2</v>
      </c>
      <c r="D83" s="38">
        <f t="shared" si="0"/>
        <v>0.31113830533526193</v>
      </c>
      <c r="E83" s="32">
        <f t="shared" si="9"/>
        <v>33065.852794683451</v>
      </c>
      <c r="F83" s="47">
        <v>0</v>
      </c>
      <c r="G83" s="15">
        <v>-7.0000000000000001E-3</v>
      </c>
      <c r="H83" s="38">
        <f t="shared" si="1"/>
        <v>0.30797359790442275</v>
      </c>
      <c r="I83" s="32">
        <f t="shared" si="5"/>
        <v>32729.527282035266</v>
      </c>
      <c r="J83" s="47">
        <v>0</v>
      </c>
      <c r="K83" s="24">
        <v>-2.3300000000000001E-2</v>
      </c>
      <c r="L83" s="38">
        <f t="shared" si="2"/>
        <v>0.17818352612272867</v>
      </c>
      <c r="M83" s="32">
        <f t="shared" si="6"/>
        <v>18936.241999721566</v>
      </c>
      <c r="N83" s="47">
        <v>0</v>
      </c>
      <c r="O83" s="27">
        <v>-2.0500000000000001E-2</v>
      </c>
      <c r="P83" s="38">
        <f t="shared" si="3"/>
        <v>0.2027045706375866</v>
      </c>
      <c r="Q83" s="31">
        <f t="shared" si="7"/>
        <v>21542.186797892584</v>
      </c>
      <c r="R83" s="47">
        <v>0</v>
      </c>
      <c r="S83" s="37">
        <f t="shared" si="4"/>
        <v>106273.80887433287</v>
      </c>
      <c r="T83" s="40">
        <f t="shared" si="8"/>
        <v>-1.7199597436082903E-2</v>
      </c>
    </row>
    <row r="84" spans="2:20" x14ac:dyDescent="0.35">
      <c r="B84" s="10" t="s">
        <v>88</v>
      </c>
      <c r="C84" s="15">
        <v>-1.1999999999999999E-3</v>
      </c>
      <c r="D84" s="38">
        <f t="shared" si="0"/>
        <v>0.30745026705986483</v>
      </c>
      <c r="E84" s="32">
        <f t="shared" si="9"/>
        <v>33026.173771329828</v>
      </c>
      <c r="F84" s="47">
        <v>0</v>
      </c>
      <c r="G84" s="20">
        <v>6.1199999999999997E-2</v>
      </c>
      <c r="H84" s="38">
        <f t="shared" si="1"/>
        <v>0.32333564687337718</v>
      </c>
      <c r="I84" s="32">
        <f t="shared" si="5"/>
        <v>34732.574351695825</v>
      </c>
      <c r="J84" s="47">
        <v>0</v>
      </c>
      <c r="K84" s="24">
        <v>-1.03E-2</v>
      </c>
      <c r="L84" s="38">
        <f t="shared" si="2"/>
        <v>0.17446727518067526</v>
      </c>
      <c r="M84" s="32">
        <f t="shared" si="6"/>
        <v>18741.198707124433</v>
      </c>
      <c r="N84" s="47">
        <v>0</v>
      </c>
      <c r="O84" s="27">
        <v>-2.8899999999999999E-2</v>
      </c>
      <c r="P84" s="38">
        <f t="shared" si="3"/>
        <v>0.19474681088608267</v>
      </c>
      <c r="Q84" s="31">
        <f t="shared" si="7"/>
        <v>20919.617599433488</v>
      </c>
      <c r="R84" s="47">
        <v>0</v>
      </c>
      <c r="S84" s="37">
        <f t="shared" si="4"/>
        <v>107419.56442958358</v>
      </c>
      <c r="T84" s="40">
        <f t="shared" si="8"/>
        <v>1.0781165814857996E-2</v>
      </c>
    </row>
    <row r="85" spans="2:20" x14ac:dyDescent="0.35">
      <c r="B85" s="11" t="s">
        <v>89</v>
      </c>
      <c r="C85" s="15">
        <v>-9.1000000000000004E-3</v>
      </c>
      <c r="D85" s="38">
        <f t="shared" ref="D85:D148" si="10">E85/S85</f>
        <v>0.30476882867447075</v>
      </c>
      <c r="E85" s="32">
        <f t="shared" si="9"/>
        <v>32725.635590010726</v>
      </c>
      <c r="F85" s="47">
        <v>0</v>
      </c>
      <c r="G85" s="15">
        <v>-1.38E-2</v>
      </c>
      <c r="H85" s="38">
        <f t="shared" ref="H85:H148" si="11">I85/S85</f>
        <v>0.31899540561938</v>
      </c>
      <c r="I85" s="32">
        <f t="shared" si="5"/>
        <v>34253.264825642422</v>
      </c>
      <c r="J85" s="47">
        <v>0</v>
      </c>
      <c r="K85" s="25">
        <v>3.44E-2</v>
      </c>
      <c r="L85" s="38">
        <f t="shared" ref="L85:L148" si="12">M85/S85</f>
        <v>0.18053787780518796</v>
      </c>
      <c r="M85" s="32">
        <f t="shared" si="6"/>
        <v>19385.895942649513</v>
      </c>
      <c r="N85" s="47">
        <v>0</v>
      </c>
      <c r="O85" s="26">
        <v>4.4999999999999997E-3</v>
      </c>
      <c r="P85" s="38">
        <f t="shared" ref="P85:P148" si="13">Q85/S85</f>
        <v>0.19569788790096118</v>
      </c>
      <c r="Q85" s="31">
        <f t="shared" si="7"/>
        <v>21013.755878630938</v>
      </c>
      <c r="R85" s="47">
        <v>0</v>
      </c>
      <c r="S85" s="37">
        <f t="shared" ref="S85:S148" si="14">Q85+M85+I85+E85</f>
        <v>107378.55223693361</v>
      </c>
      <c r="T85" s="40">
        <f t="shared" si="8"/>
        <v>-3.8179444189478939E-4</v>
      </c>
    </row>
    <row r="86" spans="2:20" x14ac:dyDescent="0.35">
      <c r="B86" s="10" t="s">
        <v>90</v>
      </c>
      <c r="C86" s="15">
        <v>-3.1199999999999999E-2</v>
      </c>
      <c r="D86" s="38">
        <f t="shared" si="10"/>
        <v>0.30456892244607497</v>
      </c>
      <c r="E86" s="32">
        <f t="shared" si="9"/>
        <v>31704.595759602391</v>
      </c>
      <c r="F86" s="47">
        <v>0</v>
      </c>
      <c r="G86" s="15">
        <v>-3.5499999999999997E-2</v>
      </c>
      <c r="H86" s="38">
        <f t="shared" si="11"/>
        <v>0.31737124156967439</v>
      </c>
      <c r="I86" s="32">
        <f t="shared" ref="I86:I149" si="15">((I85+J86)*G86)+I85+J86</f>
        <v>33037.273924332119</v>
      </c>
      <c r="J86" s="47">
        <v>0</v>
      </c>
      <c r="K86" s="24">
        <v>-3.9699999999999999E-2</v>
      </c>
      <c r="L86" s="38">
        <f t="shared" si="12"/>
        <v>0.1788365045185108</v>
      </c>
      <c r="M86" s="32">
        <f t="shared" ref="M86:M149" si="16">((M85+N86)*K86)+M85+N86</f>
        <v>18616.275873726328</v>
      </c>
      <c r="N86" s="47">
        <v>0</v>
      </c>
      <c r="O86" s="27">
        <v>-1.3100000000000001E-2</v>
      </c>
      <c r="P86" s="38">
        <f t="shared" si="13"/>
        <v>0.19922333146573978</v>
      </c>
      <c r="Q86" s="31">
        <f t="shared" ref="Q86:Q149" si="17">((Q85+R86)*O86)+Q85+R86</f>
        <v>20738.475676620874</v>
      </c>
      <c r="R86" s="47">
        <v>0</v>
      </c>
      <c r="S86" s="37">
        <f t="shared" si="14"/>
        <v>104096.62123428172</v>
      </c>
      <c r="T86" s="40">
        <f t="shared" ref="T86:T149" si="18">S86/S85-1</f>
        <v>-3.0564120434500075E-2</v>
      </c>
    </row>
    <row r="87" spans="2:20" x14ac:dyDescent="0.35">
      <c r="B87" s="11" t="s">
        <v>91</v>
      </c>
      <c r="C87" s="15">
        <v>-2.1499999999999998E-2</v>
      </c>
      <c r="D87" s="38">
        <f t="shared" si="10"/>
        <v>0.2900538042604453</v>
      </c>
      <c r="E87" s="32">
        <f t="shared" ref="E87:E150" si="19">((E86+F87)*C87)+E86+F87</f>
        <v>31022.94695077094</v>
      </c>
      <c r="F87" s="47">
        <v>0</v>
      </c>
      <c r="G87" s="20">
        <v>8.43E-2</v>
      </c>
      <c r="H87" s="38">
        <f t="shared" si="11"/>
        <v>0.3349262429323247</v>
      </c>
      <c r="I87" s="32">
        <f t="shared" si="15"/>
        <v>35822.316116153321</v>
      </c>
      <c r="J87" s="47">
        <v>0</v>
      </c>
      <c r="K87" s="25">
        <v>4.0599999999999997E-2</v>
      </c>
      <c r="L87" s="38">
        <f t="shared" si="12"/>
        <v>0.18112239129858307</v>
      </c>
      <c r="M87" s="32">
        <f t="shared" si="16"/>
        <v>19372.096674199616</v>
      </c>
      <c r="N87" s="47">
        <v>0</v>
      </c>
      <c r="O87" s="26">
        <v>0</v>
      </c>
      <c r="P87" s="38">
        <f t="shared" si="13"/>
        <v>0.19389756150864684</v>
      </c>
      <c r="Q87" s="31">
        <f t="shared" si="17"/>
        <v>20738.475676620874</v>
      </c>
      <c r="R87" s="47">
        <v>0</v>
      </c>
      <c r="S87" s="37">
        <f t="shared" si="14"/>
        <v>106955.83541774476</v>
      </c>
      <c r="T87" s="40">
        <f t="shared" si="18"/>
        <v>2.7466925915184515E-2</v>
      </c>
    </row>
    <row r="88" spans="2:20" x14ac:dyDescent="0.35">
      <c r="B88" s="10" t="s">
        <v>92</v>
      </c>
      <c r="C88" s="15">
        <v>-3.9300000000000002E-2</v>
      </c>
      <c r="D88" s="38">
        <f t="shared" si="10"/>
        <v>0.2628317707195289</v>
      </c>
      <c r="E88" s="32">
        <f t="shared" si="19"/>
        <v>29803.745135605641</v>
      </c>
      <c r="F88" s="47">
        <v>0</v>
      </c>
      <c r="G88" s="20">
        <v>0.14180000000000001</v>
      </c>
      <c r="H88" s="38">
        <f t="shared" si="11"/>
        <v>0.36070380258650164</v>
      </c>
      <c r="I88" s="32">
        <f t="shared" si="15"/>
        <v>40901.92054142386</v>
      </c>
      <c r="J88" s="47">
        <v>0</v>
      </c>
      <c r="K88" s="25">
        <v>0.1133</v>
      </c>
      <c r="L88" s="38">
        <f t="shared" si="12"/>
        <v>0.19019358156672775</v>
      </c>
      <c r="M88" s="32">
        <f t="shared" si="16"/>
        <v>21566.955227386432</v>
      </c>
      <c r="N88" s="47">
        <v>0</v>
      </c>
      <c r="O88" s="26">
        <v>1.8499999999999999E-2</v>
      </c>
      <c r="P88" s="38">
        <f t="shared" si="13"/>
        <v>0.18627084512724174</v>
      </c>
      <c r="Q88" s="31">
        <f t="shared" si="17"/>
        <v>21122.13747663836</v>
      </c>
      <c r="R88" s="47">
        <v>0</v>
      </c>
      <c r="S88" s="37">
        <f t="shared" si="14"/>
        <v>113394.75838105429</v>
      </c>
      <c r="T88" s="40">
        <f t="shared" si="18"/>
        <v>6.0201698562407424E-2</v>
      </c>
    </row>
    <row r="89" spans="2:20" x14ac:dyDescent="0.35">
      <c r="B89" s="11" t="s">
        <v>93</v>
      </c>
      <c r="C89" s="20">
        <v>6.1400000000000003E-2</v>
      </c>
      <c r="D89" s="38">
        <f t="shared" si="10"/>
        <v>0.25253801049157004</v>
      </c>
      <c r="E89" s="32">
        <f t="shared" si="19"/>
        <v>31633.695086931828</v>
      </c>
      <c r="F89" s="47">
        <v>0</v>
      </c>
      <c r="G89" s="20">
        <v>1.83E-2</v>
      </c>
      <c r="H89" s="38">
        <f t="shared" si="11"/>
        <v>0.3325035412493117</v>
      </c>
      <c r="I89" s="32">
        <f t="shared" si="15"/>
        <v>41650.425687331917</v>
      </c>
      <c r="J89" s="47">
        <v>0</v>
      </c>
      <c r="K89" s="25">
        <v>0.29049999999999998</v>
      </c>
      <c r="L89" s="38">
        <f t="shared" si="12"/>
        <v>0.22218957393826311</v>
      </c>
      <c r="M89" s="32">
        <f t="shared" si="16"/>
        <v>27832.155720942188</v>
      </c>
      <c r="N89" s="47">
        <v>0</v>
      </c>
      <c r="O89" s="26">
        <v>0.14319999999999999</v>
      </c>
      <c r="P89" s="38">
        <f t="shared" si="13"/>
        <v>0.19276887432085513</v>
      </c>
      <c r="Q89" s="31">
        <f t="shared" si="17"/>
        <v>24146.827563292973</v>
      </c>
      <c r="R89" s="47">
        <v>0</v>
      </c>
      <c r="S89" s="37">
        <f t="shared" si="14"/>
        <v>125263.10405849891</v>
      </c>
      <c r="T89" s="40">
        <f t="shared" si="18"/>
        <v>0.10466397077686751</v>
      </c>
    </row>
    <row r="90" spans="2:20" x14ac:dyDescent="0.35">
      <c r="B90" s="10" t="s">
        <v>94</v>
      </c>
      <c r="C90" s="20">
        <v>1.49E-2</v>
      </c>
      <c r="D90" s="38">
        <f t="shared" si="10"/>
        <v>0.26986089025040838</v>
      </c>
      <c r="E90" s="32">
        <f t="shared" si="19"/>
        <v>32105.037143727113</v>
      </c>
      <c r="F90" s="47">
        <v>0</v>
      </c>
      <c r="G90" s="15">
        <v>-3.27E-2</v>
      </c>
      <c r="H90" s="38">
        <f t="shared" si="11"/>
        <v>0.33864713382454747</v>
      </c>
      <c r="I90" s="32">
        <f t="shared" si="15"/>
        <v>40288.456767356161</v>
      </c>
      <c r="J90" s="47">
        <v>0</v>
      </c>
      <c r="K90" s="24">
        <v>-0.1211</v>
      </c>
      <c r="L90" s="38">
        <f t="shared" si="12"/>
        <v>0.20561418948321603</v>
      </c>
      <c r="M90" s="32">
        <f t="shared" si="16"/>
        <v>24461.681663136089</v>
      </c>
      <c r="N90" s="47">
        <v>0</v>
      </c>
      <c r="O90" s="27">
        <v>-8.4199999999999997E-2</v>
      </c>
      <c r="P90" s="38">
        <f t="shared" si="13"/>
        <v>0.18587778644182815</v>
      </c>
      <c r="Q90" s="31">
        <f t="shared" si="17"/>
        <v>22113.664682463703</v>
      </c>
      <c r="R90" s="47">
        <v>0</v>
      </c>
      <c r="S90" s="37">
        <f t="shared" si="14"/>
        <v>118968.84025668306</v>
      </c>
      <c r="T90" s="40">
        <f t="shared" si="18"/>
        <v>-5.0248346064267868E-2</v>
      </c>
    </row>
    <row r="91" spans="2:20" x14ac:dyDescent="0.35">
      <c r="B91" s="11" t="s">
        <v>95</v>
      </c>
      <c r="C91" s="20">
        <v>9.6699999999999994E-2</v>
      </c>
      <c r="D91" s="38">
        <f t="shared" si="10"/>
        <v>0.26630683569150787</v>
      </c>
      <c r="E91" s="32">
        <f t="shared" si="19"/>
        <v>35209.594235525525</v>
      </c>
      <c r="F91" s="47">
        <v>0</v>
      </c>
      <c r="G91" s="20">
        <v>0.12180000000000001</v>
      </c>
      <c r="H91" s="38">
        <f t="shared" si="11"/>
        <v>0.34183565686888229</v>
      </c>
      <c r="I91" s="32">
        <f t="shared" si="15"/>
        <v>45195.590801620143</v>
      </c>
      <c r="J91" s="47">
        <v>0</v>
      </c>
      <c r="K91" s="25">
        <v>0.12130000000000001</v>
      </c>
      <c r="L91" s="38">
        <f t="shared" si="12"/>
        <v>0.20745763675152681</v>
      </c>
      <c r="M91" s="32">
        <f t="shared" si="16"/>
        <v>27428.883648874496</v>
      </c>
      <c r="N91" s="47">
        <v>0</v>
      </c>
      <c r="O91" s="26">
        <v>0.10249999999999999</v>
      </c>
      <c r="P91" s="38">
        <f t="shared" si="13"/>
        <v>0.18439987068808308</v>
      </c>
      <c r="Q91" s="31">
        <f t="shared" si="17"/>
        <v>24380.315312416231</v>
      </c>
      <c r="R91" s="47">
        <v>0</v>
      </c>
      <c r="S91" s="37">
        <f t="shared" si="14"/>
        <v>132214.38399843639</v>
      </c>
      <c r="T91" s="40">
        <f t="shared" si="18"/>
        <v>0.11133624328164582</v>
      </c>
    </row>
    <row r="92" spans="2:20" x14ac:dyDescent="0.35">
      <c r="B92" s="10" t="s">
        <v>96</v>
      </c>
      <c r="C92" s="20">
        <v>2.0199999999999999E-2</v>
      </c>
      <c r="D92" s="38">
        <f t="shared" si="10"/>
        <v>0.27612579620331473</v>
      </c>
      <c r="E92" s="32">
        <f t="shared" si="19"/>
        <v>35920.828039083142</v>
      </c>
      <c r="F92" s="47">
        <v>0</v>
      </c>
      <c r="G92" s="15">
        <v>-9.35E-2</v>
      </c>
      <c r="H92" s="38">
        <f t="shared" si="11"/>
        <v>0.31493760328652531</v>
      </c>
      <c r="I92" s="32">
        <f t="shared" si="15"/>
        <v>40969.803061668659</v>
      </c>
      <c r="J92" s="47">
        <v>0</v>
      </c>
      <c r="K92" s="25">
        <v>4.0500000000000001E-2</v>
      </c>
      <c r="L92" s="38">
        <f t="shared" si="12"/>
        <v>0.21938698441383417</v>
      </c>
      <c r="M92" s="32">
        <f t="shared" si="16"/>
        <v>28539.753436653915</v>
      </c>
      <c r="N92" s="47">
        <v>0</v>
      </c>
      <c r="O92" s="26">
        <v>1.14E-2</v>
      </c>
      <c r="P92" s="38">
        <f t="shared" si="13"/>
        <v>0.18954961609632584</v>
      </c>
      <c r="Q92" s="31">
        <f t="shared" si="17"/>
        <v>24658.250906977777</v>
      </c>
      <c r="R92" s="47">
        <v>0</v>
      </c>
      <c r="S92" s="37">
        <f t="shared" si="14"/>
        <v>130088.63544438349</v>
      </c>
      <c r="T92" s="40">
        <f t="shared" si="18"/>
        <v>-1.6078043021991006E-2</v>
      </c>
    </row>
    <row r="93" spans="2:20" x14ac:dyDescent="0.35">
      <c r="B93" s="9" t="s">
        <v>97</v>
      </c>
      <c r="C93" s="15">
        <v>-1.9099999999999999E-2</v>
      </c>
      <c r="D93" s="38">
        <f t="shared" si="10"/>
        <v>0.27549927793650159</v>
      </c>
      <c r="E93" s="32">
        <f t="shared" si="19"/>
        <v>35234.740223536654</v>
      </c>
      <c r="F93" s="47">
        <v>0</v>
      </c>
      <c r="G93" s="20">
        <v>4.3499999999999997E-2</v>
      </c>
      <c r="H93" s="38">
        <f t="shared" si="11"/>
        <v>0.33427640338647002</v>
      </c>
      <c r="I93" s="32">
        <f t="shared" si="15"/>
        <v>42751.989494851245</v>
      </c>
      <c r="J93" s="47">
        <v>0</v>
      </c>
      <c r="K93" s="24">
        <v>-6.3200000000000006E-2</v>
      </c>
      <c r="L93" s="38">
        <f t="shared" si="12"/>
        <v>0.20904822765859085</v>
      </c>
      <c r="M93" s="32">
        <f t="shared" si="16"/>
        <v>26736.041019457389</v>
      </c>
      <c r="N93" s="47">
        <v>0</v>
      </c>
      <c r="O93" s="27">
        <v>-6.0299999999999999E-2</v>
      </c>
      <c r="P93" s="38">
        <f t="shared" si="13"/>
        <v>0.1811760910184376</v>
      </c>
      <c r="Q93" s="31">
        <f t="shared" si="17"/>
        <v>23171.358377287019</v>
      </c>
      <c r="R93" s="47">
        <v>0</v>
      </c>
      <c r="S93" s="37">
        <f t="shared" si="14"/>
        <v>127894.12911513229</v>
      </c>
      <c r="T93" s="40">
        <f t="shared" si="18"/>
        <v>-1.6869316230082254E-2</v>
      </c>
    </row>
    <row r="94" spans="2:20" x14ac:dyDescent="0.35">
      <c r="B94" s="10" t="s">
        <v>98</v>
      </c>
      <c r="C94" s="20">
        <v>4.5999999999999999E-3</v>
      </c>
      <c r="D94" s="38">
        <f t="shared" si="10"/>
        <v>0.28738815371510512</v>
      </c>
      <c r="E94" s="32">
        <f t="shared" si="19"/>
        <v>35396.820028564922</v>
      </c>
      <c r="F94" s="47">
        <v>0</v>
      </c>
      <c r="G94" s="15">
        <v>-5.7000000000000002E-2</v>
      </c>
      <c r="H94" s="38">
        <f t="shared" si="11"/>
        <v>0.32732007128025459</v>
      </c>
      <c r="I94" s="32">
        <f t="shared" si="15"/>
        <v>40315.126093644722</v>
      </c>
      <c r="J94" s="47">
        <v>0</v>
      </c>
      <c r="K94" s="24">
        <v>-6.1899999999999997E-2</v>
      </c>
      <c r="L94" s="38">
        <f t="shared" si="12"/>
        <v>0.20363426126009471</v>
      </c>
      <c r="M94" s="32">
        <f t="shared" si="16"/>
        <v>25081.080080352978</v>
      </c>
      <c r="N94" s="47">
        <v>0</v>
      </c>
      <c r="O94" s="27">
        <v>-3.44E-2</v>
      </c>
      <c r="P94" s="38">
        <f t="shared" si="13"/>
        <v>0.18165751374454556</v>
      </c>
      <c r="Q94" s="31">
        <f t="shared" si="17"/>
        <v>22374.263649108347</v>
      </c>
      <c r="R94" s="47">
        <v>0</v>
      </c>
      <c r="S94" s="37">
        <f t="shared" si="14"/>
        <v>123167.28985167097</v>
      </c>
      <c r="T94" s="40">
        <f t="shared" si="18"/>
        <v>-3.695900113762185E-2</v>
      </c>
    </row>
    <row r="95" spans="2:20" x14ac:dyDescent="0.35">
      <c r="B95" s="11" t="s">
        <v>99</v>
      </c>
      <c r="C95" s="20">
        <v>0.1109</v>
      </c>
      <c r="D95" s="38">
        <f t="shared" si="10"/>
        <v>0.29808204684507078</v>
      </c>
      <c r="E95" s="32">
        <f t="shared" si="19"/>
        <v>39322.327369732775</v>
      </c>
      <c r="F95" s="47">
        <v>0</v>
      </c>
      <c r="G95" s="20">
        <v>5.8900000000000001E-2</v>
      </c>
      <c r="H95" s="38">
        <f t="shared" si="11"/>
        <v>0.32360824339351835</v>
      </c>
      <c r="I95" s="32">
        <f t="shared" si="15"/>
        <v>42689.687020560392</v>
      </c>
      <c r="J95" s="47">
        <v>0</v>
      </c>
      <c r="K95" s="25">
        <v>2.9100000000000001E-2</v>
      </c>
      <c r="L95" s="38">
        <f t="shared" si="12"/>
        <v>0.19565926523116278</v>
      </c>
      <c r="M95" s="32">
        <f t="shared" si="16"/>
        <v>25810.939510691249</v>
      </c>
      <c r="N95" s="47">
        <v>0</v>
      </c>
      <c r="O95" s="26">
        <v>7.6899999999999996E-2</v>
      </c>
      <c r="P95" s="38">
        <f t="shared" si="13"/>
        <v>0.18265044453024795</v>
      </c>
      <c r="Q95" s="31">
        <f t="shared" si="17"/>
        <v>24094.84452372478</v>
      </c>
      <c r="R95" s="47">
        <v>0</v>
      </c>
      <c r="S95" s="37">
        <f t="shared" si="14"/>
        <v>131917.79842470921</v>
      </c>
      <c r="T95" s="40">
        <f t="shared" si="18"/>
        <v>7.1045718255036583E-2</v>
      </c>
    </row>
    <row r="96" spans="2:20" x14ac:dyDescent="0.35">
      <c r="B96" s="10" t="s">
        <v>100</v>
      </c>
      <c r="C96" s="20">
        <v>2.5899999999999999E-2</v>
      </c>
      <c r="D96" s="38">
        <f t="shared" si="10"/>
        <v>0.29405006408688711</v>
      </c>
      <c r="E96" s="32">
        <f t="shared" si="19"/>
        <v>40340.775648608855</v>
      </c>
      <c r="F96" s="47">
        <v>0</v>
      </c>
      <c r="G96" s="20">
        <v>3.1600000000000003E-2</v>
      </c>
      <c r="H96" s="38">
        <f t="shared" si="11"/>
        <v>0.32100466092911234</v>
      </c>
      <c r="I96" s="32">
        <f t="shared" si="15"/>
        <v>44038.681130410099</v>
      </c>
      <c r="J96" s="47">
        <v>0</v>
      </c>
      <c r="K96" s="25">
        <v>8.09E-2</v>
      </c>
      <c r="L96" s="38">
        <f t="shared" si="12"/>
        <v>0.20336038899393077</v>
      </c>
      <c r="M96" s="32">
        <f t="shared" si="16"/>
        <v>27899.044517106173</v>
      </c>
      <c r="N96" s="47">
        <v>0</v>
      </c>
      <c r="O96" s="26">
        <v>3.39E-2</v>
      </c>
      <c r="P96" s="38">
        <f t="shared" si="13"/>
        <v>0.18158488599006975</v>
      </c>
      <c r="Q96" s="31">
        <f t="shared" si="17"/>
        <v>24911.65975307905</v>
      </c>
      <c r="R96" s="47">
        <v>0</v>
      </c>
      <c r="S96" s="37">
        <f t="shared" si="14"/>
        <v>137190.16104920418</v>
      </c>
      <c r="T96" s="40">
        <f t="shared" si="18"/>
        <v>3.9967030131298875E-2</v>
      </c>
    </row>
    <row r="97" spans="2:20" x14ac:dyDescent="0.35">
      <c r="B97" s="11" t="s">
        <v>101</v>
      </c>
      <c r="C97" s="20">
        <v>2.8E-3</v>
      </c>
      <c r="D97" s="38">
        <f t="shared" si="10"/>
        <v>0.28147455752777345</v>
      </c>
      <c r="E97" s="32">
        <f t="shared" si="19"/>
        <v>40453.72982042496</v>
      </c>
      <c r="F97" s="47">
        <v>0</v>
      </c>
      <c r="G97" s="20">
        <v>2.5999999999999999E-3</v>
      </c>
      <c r="H97" s="38">
        <f t="shared" si="11"/>
        <v>0.30721511559005332</v>
      </c>
      <c r="I97" s="32">
        <f t="shared" si="15"/>
        <v>44153.181701349167</v>
      </c>
      <c r="J97" s="47">
        <v>0</v>
      </c>
      <c r="K97" s="25">
        <v>0.1636</v>
      </c>
      <c r="L97" s="38">
        <f t="shared" si="12"/>
        <v>0.22587783577844103</v>
      </c>
      <c r="M97" s="32">
        <f t="shared" si="16"/>
        <v>32463.328200104741</v>
      </c>
      <c r="N97" s="47">
        <v>0</v>
      </c>
      <c r="O97" s="26">
        <v>6.9800000000000001E-2</v>
      </c>
      <c r="P97" s="38">
        <f t="shared" si="13"/>
        <v>0.18543249110373219</v>
      </c>
      <c r="Q97" s="31">
        <f t="shared" si="17"/>
        <v>26650.493603843966</v>
      </c>
      <c r="R97" s="47">
        <v>0</v>
      </c>
      <c r="S97" s="37">
        <f t="shared" si="14"/>
        <v>143720.73332572283</v>
      </c>
      <c r="T97" s="40">
        <f t="shared" si="18"/>
        <v>4.7602336979372772E-2</v>
      </c>
    </row>
    <row r="98" spans="2:20" x14ac:dyDescent="0.35">
      <c r="B98" s="10" t="s">
        <v>102</v>
      </c>
      <c r="C98" s="20">
        <v>7.0999999999999994E-2</v>
      </c>
      <c r="D98" s="38">
        <f t="shared" si="10"/>
        <v>0.28852850779581152</v>
      </c>
      <c r="E98" s="32">
        <f t="shared" si="19"/>
        <v>43325.944637675129</v>
      </c>
      <c r="F98" s="47">
        <v>0</v>
      </c>
      <c r="G98" s="20">
        <v>5.4899999999999997E-2</v>
      </c>
      <c r="H98" s="38">
        <f t="shared" si="11"/>
        <v>0.31018013889000068</v>
      </c>
      <c r="I98" s="32">
        <f t="shared" si="15"/>
        <v>46577.191376753239</v>
      </c>
      <c r="J98" s="47">
        <v>0</v>
      </c>
      <c r="K98" s="25">
        <v>1.0800000000000001E-2</v>
      </c>
      <c r="L98" s="38">
        <f t="shared" si="12"/>
        <v>0.21852391115277706</v>
      </c>
      <c r="M98" s="32">
        <f t="shared" si="16"/>
        <v>32813.932144665872</v>
      </c>
      <c r="N98" s="47">
        <v>0</v>
      </c>
      <c r="O98" s="26">
        <v>2.98E-2</v>
      </c>
      <c r="P98" s="38">
        <f t="shared" si="13"/>
        <v>0.18276744216141086</v>
      </c>
      <c r="Q98" s="31">
        <f t="shared" si="17"/>
        <v>27444.678313238517</v>
      </c>
      <c r="R98" s="47">
        <v>0</v>
      </c>
      <c r="S98" s="37">
        <f t="shared" si="14"/>
        <v>150161.74647233274</v>
      </c>
      <c r="T98" s="40">
        <f t="shared" si="18"/>
        <v>4.4816172291664236E-2</v>
      </c>
    </row>
    <row r="99" spans="2:20" x14ac:dyDescent="0.35">
      <c r="B99" s="11" t="s">
        <v>103</v>
      </c>
      <c r="C99" s="15">
        <v>-6.1999999999999998E-3</v>
      </c>
      <c r="D99" s="38">
        <f t="shared" si="10"/>
        <v>0.28795091125578171</v>
      </c>
      <c r="E99" s="32">
        <f t="shared" si="19"/>
        <v>43057.323780921542</v>
      </c>
      <c r="F99" s="47">
        <v>0</v>
      </c>
      <c r="G99" s="15">
        <v>-8.6E-3</v>
      </c>
      <c r="H99" s="38">
        <f t="shared" si="11"/>
        <v>0.3088116215466441</v>
      </c>
      <c r="I99" s="32">
        <f t="shared" si="15"/>
        <v>46176.62753091316</v>
      </c>
      <c r="J99" s="47">
        <v>0</v>
      </c>
      <c r="K99" s="25">
        <v>1.67E-2</v>
      </c>
      <c r="L99" s="38">
        <f t="shared" si="12"/>
        <v>0.22311179161045963</v>
      </c>
      <c r="M99" s="32">
        <f t="shared" si="16"/>
        <v>33361.924811481789</v>
      </c>
      <c r="N99" s="47">
        <v>0</v>
      </c>
      <c r="O99" s="27">
        <v>-1.8599999999999998E-2</v>
      </c>
      <c r="P99" s="38">
        <f t="shared" si="13"/>
        <v>0.18012567558711465</v>
      </c>
      <c r="Q99" s="31">
        <f t="shared" si="17"/>
        <v>26934.20729661228</v>
      </c>
      <c r="R99" s="47">
        <v>0</v>
      </c>
      <c r="S99" s="37">
        <f t="shared" si="14"/>
        <v>149530.08341992876</v>
      </c>
      <c r="T99" s="40">
        <f t="shared" si="18"/>
        <v>-4.2065510507388604E-3</v>
      </c>
    </row>
    <row r="100" spans="2:20" x14ac:dyDescent="0.35">
      <c r="B100" s="10" t="s">
        <v>104</v>
      </c>
      <c r="C100" s="20">
        <v>2.47E-2</v>
      </c>
      <c r="D100" s="38">
        <f t="shared" si="10"/>
        <v>0.28868364417098141</v>
      </c>
      <c r="E100" s="32">
        <f t="shared" si="19"/>
        <v>44120.839678310302</v>
      </c>
      <c r="F100" s="47">
        <v>0</v>
      </c>
      <c r="G100" s="20">
        <v>5.3199999999999997E-2</v>
      </c>
      <c r="H100" s="38">
        <f t="shared" si="11"/>
        <v>0.31820827681040498</v>
      </c>
      <c r="I100" s="32">
        <f t="shared" si="15"/>
        <v>48633.224115557743</v>
      </c>
      <c r="J100" s="47">
        <v>0</v>
      </c>
      <c r="K100" s="24">
        <v>-1.0500000000000001E-2</v>
      </c>
      <c r="L100" s="38">
        <f t="shared" si="12"/>
        <v>0.21599580060791074</v>
      </c>
      <c r="M100" s="32">
        <f t="shared" si="16"/>
        <v>33011.62460096123</v>
      </c>
      <c r="N100" s="47">
        <v>0</v>
      </c>
      <c r="O100" s="26">
        <v>5.0000000000000001E-3</v>
      </c>
      <c r="P100" s="38">
        <f t="shared" si="13"/>
        <v>0.17711227841070296</v>
      </c>
      <c r="Q100" s="31">
        <f t="shared" si="17"/>
        <v>27068.878333095341</v>
      </c>
      <c r="R100" s="47">
        <v>0</v>
      </c>
      <c r="S100" s="37">
        <f t="shared" si="14"/>
        <v>152834.5667279246</v>
      </c>
      <c r="T100" s="40">
        <f t="shared" si="18"/>
        <v>2.2099120340324907E-2</v>
      </c>
    </row>
    <row r="101" spans="2:20" x14ac:dyDescent="0.35">
      <c r="B101" s="11" t="s">
        <v>105</v>
      </c>
      <c r="C101" s="20">
        <v>1.4200000000000001E-2</v>
      </c>
      <c r="D101" s="38">
        <f t="shared" si="10"/>
        <v>0.29097512375196444</v>
      </c>
      <c r="E101" s="32">
        <f t="shared" si="19"/>
        <v>44747.355601742311</v>
      </c>
      <c r="F101" s="47">
        <v>0</v>
      </c>
      <c r="G101" s="20">
        <v>3.7199999999999997E-2</v>
      </c>
      <c r="H101" s="38">
        <f t="shared" si="11"/>
        <v>0.32800771309922616</v>
      </c>
      <c r="I101" s="32">
        <f t="shared" si="15"/>
        <v>50442.380052656488</v>
      </c>
      <c r="J101" s="47">
        <v>0</v>
      </c>
      <c r="K101" s="24">
        <v>-3.6900000000000002E-2</v>
      </c>
      <c r="L101" s="38">
        <f t="shared" si="12"/>
        <v>0.20674107347324591</v>
      </c>
      <c r="M101" s="32">
        <f t="shared" si="16"/>
        <v>31793.495653185761</v>
      </c>
      <c r="N101" s="47">
        <v>0</v>
      </c>
      <c r="O101" s="27">
        <v>-9.9000000000000008E-3</v>
      </c>
      <c r="P101" s="38">
        <f t="shared" si="13"/>
        <v>0.17427608967556352</v>
      </c>
      <c r="Q101" s="31">
        <f t="shared" si="17"/>
        <v>26800.896437597698</v>
      </c>
      <c r="R101" s="47">
        <v>0</v>
      </c>
      <c r="S101" s="37">
        <f t="shared" si="14"/>
        <v>153784.12774518225</v>
      </c>
      <c r="T101" s="40">
        <f t="shared" si="18"/>
        <v>6.2129990458772433E-3</v>
      </c>
    </row>
    <row r="102" spans="2:20" x14ac:dyDescent="0.35">
      <c r="B102" s="10" t="s">
        <v>106</v>
      </c>
      <c r="C102" s="15">
        <v>-1.89E-2</v>
      </c>
      <c r="D102" s="38">
        <f t="shared" si="10"/>
        <v>0.29009670029164447</v>
      </c>
      <c r="E102" s="32">
        <f t="shared" si="19"/>
        <v>43901.63058086938</v>
      </c>
      <c r="F102" s="47">
        <v>0</v>
      </c>
      <c r="G102" s="15">
        <v>-2.86E-2</v>
      </c>
      <c r="H102" s="38">
        <f t="shared" si="11"/>
        <v>0.32378431541206387</v>
      </c>
      <c r="I102" s="32">
        <f t="shared" si="15"/>
        <v>48999.727983150515</v>
      </c>
      <c r="J102" s="47">
        <v>0</v>
      </c>
      <c r="K102" s="24">
        <v>-6.0000000000000001E-3</v>
      </c>
      <c r="L102" s="38">
        <f t="shared" si="12"/>
        <v>0.20882707383179902</v>
      </c>
      <c r="M102" s="32">
        <f t="shared" si="16"/>
        <v>31602.734679266647</v>
      </c>
      <c r="N102" s="47">
        <v>0</v>
      </c>
      <c r="O102" s="26">
        <v>1.1000000000000001E-3</v>
      </c>
      <c r="P102" s="38">
        <f t="shared" si="13"/>
        <v>0.17729191046449266</v>
      </c>
      <c r="Q102" s="31">
        <f t="shared" si="17"/>
        <v>26830.377423679056</v>
      </c>
      <c r="R102" s="47">
        <v>0</v>
      </c>
      <c r="S102" s="37">
        <f t="shared" si="14"/>
        <v>151334.47066696559</v>
      </c>
      <c r="T102" s="40">
        <f t="shared" si="18"/>
        <v>-1.592919317574637E-2</v>
      </c>
    </row>
    <row r="103" spans="2:20" x14ac:dyDescent="0.35">
      <c r="B103" s="11" t="s">
        <v>107</v>
      </c>
      <c r="C103" s="20">
        <v>3.56E-2</v>
      </c>
      <c r="D103" s="38">
        <f t="shared" si="10"/>
        <v>0.29026437250702564</v>
      </c>
      <c r="E103" s="32">
        <f t="shared" si="19"/>
        <v>45464.528629548331</v>
      </c>
      <c r="F103" s="47">
        <v>0</v>
      </c>
      <c r="G103" s="20">
        <v>2.9700000000000001E-2</v>
      </c>
      <c r="H103" s="38">
        <f t="shared" si="11"/>
        <v>0.32212573480456935</v>
      </c>
      <c r="I103" s="32">
        <f t="shared" si="15"/>
        <v>50455.019904250083</v>
      </c>
      <c r="J103" s="47">
        <v>0</v>
      </c>
      <c r="K103" s="25">
        <v>4.4600000000000001E-2</v>
      </c>
      <c r="L103" s="38">
        <f t="shared" si="12"/>
        <v>0.21076365770519423</v>
      </c>
      <c r="M103" s="32">
        <f t="shared" si="16"/>
        <v>33012.21664596194</v>
      </c>
      <c r="N103" s="47">
        <v>0</v>
      </c>
      <c r="O103" s="26">
        <v>3.2399999999999998E-2</v>
      </c>
      <c r="P103" s="38">
        <f t="shared" si="13"/>
        <v>0.17684623498321081</v>
      </c>
      <c r="Q103" s="31">
        <f t="shared" si="17"/>
        <v>27699.681652206258</v>
      </c>
      <c r="R103" s="47">
        <v>0</v>
      </c>
      <c r="S103" s="37">
        <f t="shared" si="14"/>
        <v>156631.4468319666</v>
      </c>
      <c r="T103" s="40">
        <f t="shared" si="18"/>
        <v>3.5001782090068767E-2</v>
      </c>
    </row>
    <row r="104" spans="2:20" x14ac:dyDescent="0.35">
      <c r="B104" s="10" t="s">
        <v>108</v>
      </c>
      <c r="C104" s="15">
        <v>-1.66E-2</v>
      </c>
      <c r="D104" s="38">
        <f t="shared" si="10"/>
        <v>0.29571337484712901</v>
      </c>
      <c r="E104" s="32">
        <f t="shared" si="19"/>
        <v>44709.81745429783</v>
      </c>
      <c r="F104" s="47">
        <v>0</v>
      </c>
      <c r="G104" s="15">
        <v>-4.6100000000000002E-2</v>
      </c>
      <c r="H104" s="38">
        <f t="shared" si="11"/>
        <v>0.31832833789030757</v>
      </c>
      <c r="I104" s="32">
        <f t="shared" si="15"/>
        <v>48129.043486664152</v>
      </c>
      <c r="J104" s="47">
        <v>0</v>
      </c>
      <c r="K104" s="24">
        <v>-5.1700000000000003E-2</v>
      </c>
      <c r="L104" s="38">
        <f t="shared" si="12"/>
        <v>0.20705632814212102</v>
      </c>
      <c r="M104" s="32">
        <f t="shared" si="16"/>
        <v>31305.485045365709</v>
      </c>
      <c r="N104" s="47">
        <v>0</v>
      </c>
      <c r="O104" s="27">
        <v>-2.35E-2</v>
      </c>
      <c r="P104" s="38">
        <f t="shared" si="13"/>
        <v>0.17890195912044243</v>
      </c>
      <c r="Q104" s="31">
        <f t="shared" si="17"/>
        <v>27048.739133379411</v>
      </c>
      <c r="R104" s="47">
        <v>0</v>
      </c>
      <c r="S104" s="37">
        <f t="shared" si="14"/>
        <v>151193.0851197071</v>
      </c>
      <c r="T104" s="40">
        <f t="shared" si="18"/>
        <v>-3.4720752583571213E-2</v>
      </c>
    </row>
    <row r="105" spans="2:20" x14ac:dyDescent="0.35">
      <c r="B105" s="9" t="s">
        <v>109</v>
      </c>
      <c r="C105" s="20">
        <v>0.02</v>
      </c>
      <c r="D105" s="38">
        <f t="shared" si="10"/>
        <v>0.30872560269101679</v>
      </c>
      <c r="E105" s="32">
        <f t="shared" si="19"/>
        <v>45604.013803383787</v>
      </c>
      <c r="F105" s="47">
        <v>0</v>
      </c>
      <c r="G105" s="15">
        <v>-3.56E-2</v>
      </c>
      <c r="H105" s="38">
        <f t="shared" si="11"/>
        <v>0.31422013509295937</v>
      </c>
      <c r="I105" s="32">
        <f t="shared" si="15"/>
        <v>46415.649538538906</v>
      </c>
      <c r="J105" s="47">
        <v>0</v>
      </c>
      <c r="K105" s="24">
        <v>-5.9900000000000002E-2</v>
      </c>
      <c r="L105" s="38">
        <f t="shared" si="12"/>
        <v>0.1992342817349749</v>
      </c>
      <c r="M105" s="32">
        <f t="shared" si="16"/>
        <v>29430.286491148305</v>
      </c>
      <c r="N105" s="47">
        <v>0</v>
      </c>
      <c r="O105" s="27">
        <v>-2.8899999999999999E-2</v>
      </c>
      <c r="P105" s="38">
        <f t="shared" si="13"/>
        <v>0.17781998048104897</v>
      </c>
      <c r="Q105" s="31">
        <f t="shared" si="17"/>
        <v>26267.030572424745</v>
      </c>
      <c r="R105" s="47">
        <v>0</v>
      </c>
      <c r="S105" s="37">
        <f t="shared" si="14"/>
        <v>147716.98040549573</v>
      </c>
      <c r="T105" s="40">
        <f t="shared" si="18"/>
        <v>-2.2991162006246291E-2</v>
      </c>
    </row>
    <row r="106" spans="2:20" x14ac:dyDescent="0.35">
      <c r="B106" s="10" t="s">
        <v>110</v>
      </c>
      <c r="C106" s="20">
        <v>3.5999999999999999E-3</v>
      </c>
      <c r="D106" s="38">
        <f t="shared" si="10"/>
        <v>0.31542083382753144</v>
      </c>
      <c r="E106" s="32">
        <f t="shared" si="19"/>
        <v>45768.188253075969</v>
      </c>
      <c r="F106" s="47">
        <v>0</v>
      </c>
      <c r="G106" s="15">
        <v>-5.74E-2</v>
      </c>
      <c r="H106" s="38">
        <f t="shared" si="11"/>
        <v>0.30152166466514307</v>
      </c>
      <c r="I106" s="32">
        <f t="shared" si="15"/>
        <v>43751.391255026771</v>
      </c>
      <c r="J106" s="47">
        <v>0</v>
      </c>
      <c r="K106" s="25">
        <v>2.7000000000000001E-3</v>
      </c>
      <c r="L106" s="38">
        <f t="shared" si="12"/>
        <v>0.20337246806046738</v>
      </c>
      <c r="M106" s="32">
        <f t="shared" si="16"/>
        <v>29509.748264674407</v>
      </c>
      <c r="N106" s="47">
        <v>0</v>
      </c>
      <c r="O106" s="27">
        <v>-7.4000000000000003E-3</v>
      </c>
      <c r="P106" s="38">
        <f t="shared" si="13"/>
        <v>0.17968503344685804</v>
      </c>
      <c r="Q106" s="31">
        <f t="shared" si="17"/>
        <v>26072.654546188802</v>
      </c>
      <c r="R106" s="47">
        <v>0</v>
      </c>
      <c r="S106" s="37">
        <f t="shared" si="14"/>
        <v>145101.98231896595</v>
      </c>
      <c r="T106" s="40">
        <f t="shared" si="18"/>
        <v>-1.7702758879523439E-2</v>
      </c>
    </row>
    <row r="107" spans="2:20" x14ac:dyDescent="0.35">
      <c r="B107" s="11" t="s">
        <v>111</v>
      </c>
      <c r="C107" s="20">
        <v>6.0600000000000001E-2</v>
      </c>
      <c r="D107" s="38">
        <f t="shared" si="10"/>
        <v>0.32257973258654676</v>
      </c>
      <c r="E107" s="32">
        <f t="shared" si="19"/>
        <v>48541.740461212372</v>
      </c>
      <c r="F107" s="47">
        <v>0</v>
      </c>
      <c r="G107" s="20">
        <v>3.3799999999999997E-2</v>
      </c>
      <c r="H107" s="38">
        <f t="shared" si="11"/>
        <v>0.30057311298266254</v>
      </c>
      <c r="I107" s="32">
        <f t="shared" si="15"/>
        <v>45230.188279446673</v>
      </c>
      <c r="J107" s="47">
        <v>0</v>
      </c>
      <c r="K107" s="25">
        <v>1.72E-2</v>
      </c>
      <c r="L107" s="38">
        <f t="shared" si="12"/>
        <v>0.19947734991001348</v>
      </c>
      <c r="M107" s="32">
        <f t="shared" si="16"/>
        <v>30017.315934826805</v>
      </c>
      <c r="N107" s="47">
        <v>0</v>
      </c>
      <c r="O107" s="26">
        <v>2.3699999999999999E-2</v>
      </c>
      <c r="P107" s="38">
        <f t="shared" si="13"/>
        <v>0.17736980452077722</v>
      </c>
      <c r="Q107" s="31">
        <f t="shared" si="17"/>
        <v>26690.576458933476</v>
      </c>
      <c r="R107" s="47">
        <v>0</v>
      </c>
      <c r="S107" s="37">
        <f t="shared" si="14"/>
        <v>150479.82113441933</v>
      </c>
      <c r="T107" s="40">
        <f t="shared" si="18"/>
        <v>3.7062476538960665E-2</v>
      </c>
    </row>
    <row r="108" spans="2:20" x14ac:dyDescent="0.35">
      <c r="B108" s="10" t="s">
        <v>112</v>
      </c>
      <c r="C108" s="20">
        <v>1.06E-2</v>
      </c>
      <c r="D108" s="38">
        <f t="shared" si="10"/>
        <v>0.33106608333434429</v>
      </c>
      <c r="E108" s="32">
        <f t="shared" si="19"/>
        <v>49056.282910101225</v>
      </c>
      <c r="F108" s="47">
        <v>0</v>
      </c>
      <c r="G108" s="15">
        <v>-8.2299999999999998E-2</v>
      </c>
      <c r="H108" s="38">
        <f t="shared" si="11"/>
        <v>0.28012326551143418</v>
      </c>
      <c r="I108" s="32">
        <f t="shared" si="15"/>
        <v>41507.743784048209</v>
      </c>
      <c r="J108" s="47">
        <v>0</v>
      </c>
      <c r="K108" s="25">
        <v>3.6900000000000002E-2</v>
      </c>
      <c r="L108" s="38">
        <f t="shared" si="12"/>
        <v>0.21005294936854857</v>
      </c>
      <c r="M108" s="32">
        <f t="shared" si="16"/>
        <v>31124.954892821916</v>
      </c>
      <c r="N108" s="47">
        <v>0</v>
      </c>
      <c r="O108" s="27">
        <v>-7.6E-3</v>
      </c>
      <c r="P108" s="38">
        <f t="shared" si="13"/>
        <v>0.17875770178567291</v>
      </c>
      <c r="Q108" s="31">
        <f t="shared" si="17"/>
        <v>26487.728077845582</v>
      </c>
      <c r="R108" s="47">
        <v>0</v>
      </c>
      <c r="S108" s="37">
        <f t="shared" si="14"/>
        <v>148176.70966481694</v>
      </c>
      <c r="T108" s="40">
        <f t="shared" si="18"/>
        <v>-1.5305118335734114E-2</v>
      </c>
    </row>
    <row r="109" spans="2:20" x14ac:dyDescent="0.35">
      <c r="B109" s="11" t="s">
        <v>113</v>
      </c>
      <c r="C109" s="20">
        <v>7.3999999999999996E-2</v>
      </c>
      <c r="D109" s="38">
        <f t="shared" si="10"/>
        <v>0.34631507994617849</v>
      </c>
      <c r="E109" s="32">
        <f t="shared" si="19"/>
        <v>52686.447845448718</v>
      </c>
      <c r="F109" s="47">
        <v>0</v>
      </c>
      <c r="G109" s="15">
        <v>-9.7999999999999997E-3</v>
      </c>
      <c r="H109" s="38">
        <f t="shared" si="11"/>
        <v>0.270162168156864</v>
      </c>
      <c r="I109" s="32">
        <f t="shared" si="15"/>
        <v>41100.967894964539</v>
      </c>
      <c r="J109" s="47">
        <v>0</v>
      </c>
      <c r="K109" s="24">
        <v>-2.1000000000000001E-2</v>
      </c>
      <c r="L109" s="38">
        <f t="shared" si="12"/>
        <v>0.20029213977191296</v>
      </c>
      <c r="M109" s="32">
        <f t="shared" si="16"/>
        <v>30471.330840072656</v>
      </c>
      <c r="N109" s="47">
        <v>0</v>
      </c>
      <c r="O109" s="26">
        <v>5.2400000000000002E-2</v>
      </c>
      <c r="P109" s="38">
        <f t="shared" si="13"/>
        <v>0.18323061212504466</v>
      </c>
      <c r="Q109" s="31">
        <f t="shared" si="17"/>
        <v>27875.685029124692</v>
      </c>
      <c r="R109" s="47">
        <v>0</v>
      </c>
      <c r="S109" s="37">
        <f t="shared" si="14"/>
        <v>152134.43160961059</v>
      </c>
      <c r="T109" s="40">
        <f t="shared" si="18"/>
        <v>2.6709473801558969E-2</v>
      </c>
    </row>
    <row r="110" spans="2:20" x14ac:dyDescent="0.35">
      <c r="B110" s="10" t="s">
        <v>114</v>
      </c>
      <c r="C110" s="20">
        <v>2.0199999999999999E-2</v>
      </c>
      <c r="D110" s="38">
        <f t="shared" si="10"/>
        <v>0.35609086850151439</v>
      </c>
      <c r="E110" s="32">
        <f t="shared" si="19"/>
        <v>53750.714091926784</v>
      </c>
      <c r="F110" s="47">
        <v>0</v>
      </c>
      <c r="G110" s="15">
        <v>-7.85E-2</v>
      </c>
      <c r="H110" s="38">
        <f t="shared" si="11"/>
        <v>0.25091347626783911</v>
      </c>
      <c r="I110" s="32">
        <f t="shared" si="15"/>
        <v>37874.541915209826</v>
      </c>
      <c r="J110" s="47">
        <v>0</v>
      </c>
      <c r="K110" s="24">
        <v>-5.0000000000000001E-4</v>
      </c>
      <c r="L110" s="38">
        <f t="shared" si="12"/>
        <v>0.20176731723710709</v>
      </c>
      <c r="M110" s="32">
        <f t="shared" si="16"/>
        <v>30456.095174652619</v>
      </c>
      <c r="N110" s="47">
        <v>0</v>
      </c>
      <c r="O110" s="26">
        <v>3.5499999999999997E-2</v>
      </c>
      <c r="P110" s="38">
        <f t="shared" si="13"/>
        <v>0.1912283379935393</v>
      </c>
      <c r="Q110" s="31">
        <f t="shared" si="17"/>
        <v>28865.27184765862</v>
      </c>
      <c r="R110" s="47">
        <v>0</v>
      </c>
      <c r="S110" s="37">
        <f t="shared" si="14"/>
        <v>150946.62302944786</v>
      </c>
      <c r="T110" s="40">
        <f t="shared" si="18"/>
        <v>-7.8076249248476559E-3</v>
      </c>
    </row>
    <row r="111" spans="2:20" x14ac:dyDescent="0.35">
      <c r="B111" s="11" t="s">
        <v>115</v>
      </c>
      <c r="C111" s="20">
        <v>9.4600000000000004E-2</v>
      </c>
      <c r="D111" s="38">
        <f t="shared" si="10"/>
        <v>0.36267909275111426</v>
      </c>
      <c r="E111" s="32">
        <f t="shared" si="19"/>
        <v>58835.53164502306</v>
      </c>
      <c r="F111" s="47">
        <v>0</v>
      </c>
      <c r="G111" s="20">
        <v>0.11700000000000001</v>
      </c>
      <c r="H111" s="38">
        <f t="shared" si="11"/>
        <v>0.26078547601584268</v>
      </c>
      <c r="I111" s="32">
        <f t="shared" si="15"/>
        <v>42305.863319289376</v>
      </c>
      <c r="J111" s="47">
        <v>0</v>
      </c>
      <c r="K111" s="25">
        <v>1.7100000000000001E-2</v>
      </c>
      <c r="L111" s="38">
        <f t="shared" si="12"/>
        <v>0.19095046214246722</v>
      </c>
      <c r="M111" s="32">
        <f t="shared" si="16"/>
        <v>30976.89440213918</v>
      </c>
      <c r="N111" s="47">
        <v>0</v>
      </c>
      <c r="O111" s="26">
        <v>4.2999999999999997E-2</v>
      </c>
      <c r="P111" s="38">
        <f t="shared" si="13"/>
        <v>0.18558496909057587</v>
      </c>
      <c r="Q111" s="31">
        <f t="shared" si="17"/>
        <v>30106.478537107942</v>
      </c>
      <c r="R111" s="47">
        <v>0</v>
      </c>
      <c r="S111" s="37">
        <f t="shared" si="14"/>
        <v>162224.76790355955</v>
      </c>
      <c r="T111" s="40">
        <f t="shared" si="18"/>
        <v>7.4716112542057012E-2</v>
      </c>
    </row>
    <row r="112" spans="2:20" x14ac:dyDescent="0.35">
      <c r="B112" s="10" t="s">
        <v>116</v>
      </c>
      <c r="C112" s="20">
        <v>8.6E-3</v>
      </c>
      <c r="D112" s="38">
        <f t="shared" si="10"/>
        <v>0.35134050905807745</v>
      </c>
      <c r="E112" s="32">
        <f t="shared" si="19"/>
        <v>59341.517217170258</v>
      </c>
      <c r="F112" s="47">
        <v>0</v>
      </c>
      <c r="G112" s="20">
        <v>9.8500000000000004E-2</v>
      </c>
      <c r="H112" s="38">
        <f t="shared" si="11"/>
        <v>0.27515043481493795</v>
      </c>
      <c r="I112" s="32">
        <f t="shared" si="15"/>
        <v>46472.990856239383</v>
      </c>
      <c r="J112" s="47">
        <v>0</v>
      </c>
      <c r="K112" s="25">
        <v>2.46E-2</v>
      </c>
      <c r="L112" s="38">
        <f t="shared" si="12"/>
        <v>0.18791515522840677</v>
      </c>
      <c r="M112" s="32">
        <f t="shared" si="16"/>
        <v>31738.926004431803</v>
      </c>
      <c r="N112" s="47">
        <v>0</v>
      </c>
      <c r="O112" s="26">
        <v>4.1200000000000001E-2</v>
      </c>
      <c r="P112" s="38">
        <f t="shared" si="13"/>
        <v>0.18559390089857769</v>
      </c>
      <c r="Q112" s="31">
        <f t="shared" si="17"/>
        <v>31346.865452836788</v>
      </c>
      <c r="R112" s="47">
        <v>0</v>
      </c>
      <c r="S112" s="37">
        <f t="shared" si="14"/>
        <v>168900.29953067825</v>
      </c>
      <c r="T112" s="40">
        <f t="shared" si="18"/>
        <v>4.1149891680456685E-2</v>
      </c>
    </row>
    <row r="113" spans="2:20" x14ac:dyDescent="0.35">
      <c r="B113" s="11" t="s">
        <v>117</v>
      </c>
      <c r="C113" s="15">
        <v>-2.0899999999999998E-2</v>
      </c>
      <c r="D113" s="38">
        <f t="shared" si="10"/>
        <v>0.36261347400725175</v>
      </c>
      <c r="E113" s="32">
        <f t="shared" si="19"/>
        <v>58101.279507331397</v>
      </c>
      <c r="F113" s="47">
        <v>0</v>
      </c>
      <c r="G113" s="15">
        <v>-9.5500000000000002E-2</v>
      </c>
      <c r="H113" s="38">
        <f t="shared" si="11"/>
        <v>0.26234176462076969</v>
      </c>
      <c r="I113" s="32">
        <f t="shared" si="15"/>
        <v>42034.820229468518</v>
      </c>
      <c r="J113" s="47">
        <v>0</v>
      </c>
      <c r="K113" s="24">
        <v>-4.5499999999999999E-2</v>
      </c>
      <c r="L113" s="38">
        <f t="shared" si="12"/>
        <v>0.18907164406495422</v>
      </c>
      <c r="M113" s="32">
        <f t="shared" si="16"/>
        <v>30294.804871230157</v>
      </c>
      <c r="N113" s="47">
        <v>0</v>
      </c>
      <c r="O113" s="27">
        <v>-4.9399999999999999E-2</v>
      </c>
      <c r="P113" s="38">
        <f t="shared" si="13"/>
        <v>0.18597311730702437</v>
      </c>
      <c r="Q113" s="31">
        <f t="shared" si="17"/>
        <v>29798.330299466652</v>
      </c>
      <c r="R113" s="47">
        <v>0</v>
      </c>
      <c r="S113" s="37">
        <f t="shared" si="14"/>
        <v>160229.23490749672</v>
      </c>
      <c r="T113" s="40">
        <f t="shared" si="18"/>
        <v>-5.1338361431422785E-2</v>
      </c>
    </row>
    <row r="114" spans="2:20" x14ac:dyDescent="0.35">
      <c r="B114" s="10" t="s">
        <v>118</v>
      </c>
      <c r="C114" s="20">
        <v>1.0999999999999999E-2</v>
      </c>
      <c r="D114" s="38">
        <f t="shared" si="10"/>
        <v>0.372279122357213</v>
      </c>
      <c r="E114" s="32">
        <f t="shared" si="19"/>
        <v>58740.393581912045</v>
      </c>
      <c r="F114" s="47">
        <v>0</v>
      </c>
      <c r="G114" s="15">
        <v>-3.5299999999999998E-2</v>
      </c>
      <c r="H114" s="38">
        <f t="shared" si="11"/>
        <v>0.25700010585053151</v>
      </c>
      <c r="I114" s="32">
        <f t="shared" si="15"/>
        <v>40550.991075368278</v>
      </c>
      <c r="J114" s="47">
        <v>0</v>
      </c>
      <c r="K114" s="24">
        <v>-2.0899999999999998E-2</v>
      </c>
      <c r="L114" s="38">
        <f t="shared" si="12"/>
        <v>0.18798666331073899</v>
      </c>
      <c r="M114" s="32">
        <f t="shared" si="16"/>
        <v>29661.643449421448</v>
      </c>
      <c r="N114" s="47">
        <v>0</v>
      </c>
      <c r="O114" s="27">
        <v>-3.2399999999999998E-2</v>
      </c>
      <c r="P114" s="38">
        <f t="shared" si="13"/>
        <v>0.18273410848151647</v>
      </c>
      <c r="Q114" s="31">
        <f t="shared" si="17"/>
        <v>28832.864397763933</v>
      </c>
      <c r="R114" s="47">
        <v>0</v>
      </c>
      <c r="S114" s="37">
        <f t="shared" si="14"/>
        <v>157785.89250446571</v>
      </c>
      <c r="T114" s="40">
        <f t="shared" si="18"/>
        <v>-1.524904243873848E-2</v>
      </c>
    </row>
    <row r="115" spans="2:20" x14ac:dyDescent="0.35">
      <c r="B115" s="11" t="s">
        <v>119</v>
      </c>
      <c r="C115" s="20">
        <v>9.4700000000000006E-2</v>
      </c>
      <c r="D115" s="38">
        <f t="shared" si="10"/>
        <v>0.38621653545772766</v>
      </c>
      <c r="E115" s="32">
        <f t="shared" si="19"/>
        <v>64303.108854119113</v>
      </c>
      <c r="F115" s="47">
        <v>0</v>
      </c>
      <c r="G115" s="20">
        <v>7.3000000000000001E-3</v>
      </c>
      <c r="H115" s="38">
        <f t="shared" si="11"/>
        <v>0.24533482510554702</v>
      </c>
      <c r="I115" s="32">
        <f t="shared" si="15"/>
        <v>40847.01331021847</v>
      </c>
      <c r="J115" s="47">
        <v>0</v>
      </c>
      <c r="K115" s="25">
        <v>3.3300000000000003E-2</v>
      </c>
      <c r="L115" s="38">
        <f t="shared" si="12"/>
        <v>0.18408590333635139</v>
      </c>
      <c r="M115" s="32">
        <f t="shared" si="16"/>
        <v>30649.376176287184</v>
      </c>
      <c r="N115" s="47">
        <v>0</v>
      </c>
      <c r="O115" s="26">
        <v>6.4600000000000005E-2</v>
      </c>
      <c r="P115" s="38">
        <f t="shared" si="13"/>
        <v>0.18436273610037396</v>
      </c>
      <c r="Q115" s="31">
        <f t="shared" si="17"/>
        <v>30695.467437859483</v>
      </c>
      <c r="R115" s="47">
        <v>0</v>
      </c>
      <c r="S115" s="37">
        <f t="shared" si="14"/>
        <v>166494.96577848424</v>
      </c>
      <c r="T115" s="40">
        <f t="shared" si="18"/>
        <v>5.5195512956090376E-2</v>
      </c>
    </row>
    <row r="116" spans="2:20" x14ac:dyDescent="0.35">
      <c r="B116" s="10" t="s">
        <v>120</v>
      </c>
      <c r="C116" s="20">
        <v>3.9800000000000002E-2</v>
      </c>
      <c r="D116" s="38">
        <f t="shared" si="10"/>
        <v>0.39711850016173317</v>
      </c>
      <c r="E116" s="32">
        <f t="shared" si="19"/>
        <v>66862.372586513055</v>
      </c>
      <c r="F116" s="47">
        <v>0</v>
      </c>
      <c r="G116" s="15">
        <v>-2.1600000000000001E-2</v>
      </c>
      <c r="H116" s="38">
        <f t="shared" si="11"/>
        <v>0.23736412854045022</v>
      </c>
      <c r="I116" s="32">
        <f t="shared" si="15"/>
        <v>39964.71782271775</v>
      </c>
      <c r="J116" s="47">
        <v>0</v>
      </c>
      <c r="K116" s="24">
        <v>-9.4000000000000004E-3</v>
      </c>
      <c r="L116" s="38">
        <f t="shared" si="12"/>
        <v>0.18032597930948358</v>
      </c>
      <c r="M116" s="32">
        <f t="shared" si="16"/>
        <v>30361.272040230084</v>
      </c>
      <c r="N116" s="47">
        <v>0</v>
      </c>
      <c r="O116" s="26">
        <v>1.5800000000000002E-2</v>
      </c>
      <c r="P116" s="38">
        <f t="shared" si="13"/>
        <v>0.18519139198833309</v>
      </c>
      <c r="Q116" s="31">
        <f t="shared" si="17"/>
        <v>31180.455823377662</v>
      </c>
      <c r="R116" s="47">
        <v>0</v>
      </c>
      <c r="S116" s="37">
        <f t="shared" si="14"/>
        <v>168368.81827283854</v>
      </c>
      <c r="T116" s="40">
        <f t="shared" si="18"/>
        <v>1.1254709627962045E-2</v>
      </c>
    </row>
    <row r="117" spans="2:20" x14ac:dyDescent="0.35">
      <c r="B117" s="9" t="s">
        <v>121</v>
      </c>
      <c r="C117" s="15">
        <v>-1.6799999999999999E-2</v>
      </c>
      <c r="D117" s="38">
        <f t="shared" si="10"/>
        <v>0.23757229512546363</v>
      </c>
      <c r="E117" s="32">
        <f t="shared" si="19"/>
        <v>41385.063415059631</v>
      </c>
      <c r="F117" s="48">
        <v>-24770.16</v>
      </c>
      <c r="G117" s="20">
        <v>5.2200000000000003E-2</v>
      </c>
      <c r="H117" s="38">
        <f t="shared" si="11"/>
        <v>0.254244854190602</v>
      </c>
      <c r="I117" s="32">
        <f t="shared" si="15"/>
        <v>44289.421071063618</v>
      </c>
      <c r="J117" s="49">
        <v>2127.4899999999998</v>
      </c>
      <c r="K117" s="25">
        <v>8.3699999999999997E-2</v>
      </c>
      <c r="L117" s="38">
        <f t="shared" si="12"/>
        <v>0.26185627836261616</v>
      </c>
      <c r="M117" s="32">
        <f t="shared" si="16"/>
        <v>45615.330187997344</v>
      </c>
      <c r="N117" s="49">
        <v>11730.94</v>
      </c>
      <c r="O117" s="26">
        <v>1.9429999999999999E-2</v>
      </c>
      <c r="P117" s="38">
        <f t="shared" si="13"/>
        <v>0.24632657232131808</v>
      </c>
      <c r="Q117" s="31">
        <f t="shared" si="17"/>
        <v>42910.057382525891</v>
      </c>
      <c r="R117" s="49">
        <v>10911.75</v>
      </c>
      <c r="S117" s="37">
        <f t="shared" si="14"/>
        <v>174199.87205664651</v>
      </c>
      <c r="T117" s="40">
        <f t="shared" si="18"/>
        <v>3.4632622855134798E-2</v>
      </c>
    </row>
    <row r="118" spans="2:20" x14ac:dyDescent="0.35">
      <c r="B118" s="10" t="s">
        <v>122</v>
      </c>
      <c r="C118" s="20">
        <v>5.7999999999999996E-3</v>
      </c>
      <c r="D118" s="38">
        <f t="shared" si="10"/>
        <v>0.24116792020314198</v>
      </c>
      <c r="E118" s="32">
        <f t="shared" si="19"/>
        <v>41625.096782866975</v>
      </c>
      <c r="F118" s="47">
        <v>0</v>
      </c>
      <c r="G118" s="20">
        <v>2.7E-2</v>
      </c>
      <c r="H118" s="38">
        <f t="shared" si="11"/>
        <v>0.26353283184499166</v>
      </c>
      <c r="I118" s="32">
        <f t="shared" si="15"/>
        <v>45485.235439982338</v>
      </c>
      <c r="J118" s="47">
        <v>0</v>
      </c>
      <c r="K118" s="24">
        <v>-3.32E-2</v>
      </c>
      <c r="L118" s="38">
        <f t="shared" si="12"/>
        <v>0.25551226182559722</v>
      </c>
      <c r="M118" s="32">
        <f t="shared" si="16"/>
        <v>44100.901225755835</v>
      </c>
      <c r="N118" s="47">
        <v>0</v>
      </c>
      <c r="O118" s="27">
        <v>-3.5499999999999997E-2</v>
      </c>
      <c r="P118" s="38">
        <f t="shared" si="13"/>
        <v>0.23978698612626914</v>
      </c>
      <c r="Q118" s="31">
        <f t="shared" si="17"/>
        <v>41386.75034544622</v>
      </c>
      <c r="R118" s="47">
        <v>0</v>
      </c>
      <c r="S118" s="37">
        <f t="shared" si="14"/>
        <v>172597.98379405137</v>
      </c>
      <c r="T118" s="40">
        <f t="shared" si="18"/>
        <v>-9.1956913841718668E-3</v>
      </c>
    </row>
    <row r="119" spans="2:20" x14ac:dyDescent="0.35">
      <c r="B119" s="11" t="s">
        <v>123</v>
      </c>
      <c r="C119" s="15">
        <v>-1.8599999999999998E-2</v>
      </c>
      <c r="D119" s="38">
        <f t="shared" si="10"/>
        <v>0.24422514305396489</v>
      </c>
      <c r="E119" s="32">
        <f t="shared" si="19"/>
        <v>40850.869982705648</v>
      </c>
      <c r="F119" s="47">
        <v>0</v>
      </c>
      <c r="G119" s="15">
        <v>-5.7000000000000002E-2</v>
      </c>
      <c r="H119" s="38">
        <f t="shared" si="11"/>
        <v>0.25643139945548077</v>
      </c>
      <c r="I119" s="32">
        <f t="shared" si="15"/>
        <v>42892.577019903343</v>
      </c>
      <c r="J119" s="47">
        <v>0</v>
      </c>
      <c r="K119" s="24">
        <v>-2.06E-2</v>
      </c>
      <c r="L119" s="38">
        <f t="shared" si="12"/>
        <v>0.25822401352957797</v>
      </c>
      <c r="M119" s="32">
        <f t="shared" si="16"/>
        <v>43192.422660505268</v>
      </c>
      <c r="N119" s="47">
        <v>0</v>
      </c>
      <c r="O119" s="27">
        <v>-2.5499999999999998E-2</v>
      </c>
      <c r="P119" s="38">
        <f t="shared" si="13"/>
        <v>0.24111944396097629</v>
      </c>
      <c r="Q119" s="31">
        <f t="shared" si="17"/>
        <v>40331.388211637342</v>
      </c>
      <c r="R119" s="47">
        <v>0</v>
      </c>
      <c r="S119" s="37">
        <f t="shared" si="14"/>
        <v>167267.25787475161</v>
      </c>
      <c r="T119" s="40">
        <f t="shared" si="18"/>
        <v>-3.0885215470770055E-2</v>
      </c>
    </row>
    <row r="120" spans="2:20" x14ac:dyDescent="0.35">
      <c r="B120" s="10" t="s">
        <v>124</v>
      </c>
      <c r="C120" s="15">
        <v>-8.8999999999999999E-3</v>
      </c>
      <c r="D120" s="38">
        <f t="shared" si="10"/>
        <v>0.2437617004477701</v>
      </c>
      <c r="E120" s="32">
        <f t="shared" si="19"/>
        <v>40487.297239859567</v>
      </c>
      <c r="F120" s="47">
        <v>0</v>
      </c>
      <c r="G120" s="15">
        <v>-7.9000000000000008E-3</v>
      </c>
      <c r="H120" s="38">
        <f t="shared" si="11"/>
        <v>0.25620303736673911</v>
      </c>
      <c r="I120" s="32">
        <f t="shared" si="15"/>
        <v>42553.725661446108</v>
      </c>
      <c r="J120" s="47">
        <v>0</v>
      </c>
      <c r="K120" s="25">
        <v>3.0999999999999999E-3</v>
      </c>
      <c r="L120" s="38">
        <f t="shared" si="12"/>
        <v>0.26085458786337506</v>
      </c>
      <c r="M120" s="32">
        <f t="shared" si="16"/>
        <v>43326.319170752831</v>
      </c>
      <c r="N120" s="47">
        <v>0</v>
      </c>
      <c r="O120" s="27">
        <v>-1.4999999999999999E-2</v>
      </c>
      <c r="P120" s="38">
        <f t="shared" si="13"/>
        <v>0.23918067432211582</v>
      </c>
      <c r="Q120" s="31">
        <f t="shared" si="17"/>
        <v>39726.417388462782</v>
      </c>
      <c r="R120" s="47">
        <v>0</v>
      </c>
      <c r="S120" s="37">
        <f t="shared" si="14"/>
        <v>166093.75946052128</v>
      </c>
      <c r="T120" s="40">
        <f t="shared" si="18"/>
        <v>-7.0157090463516258E-3</v>
      </c>
    </row>
    <row r="121" spans="2:20" x14ac:dyDescent="0.35">
      <c r="B121" s="11" t="s">
        <v>125</v>
      </c>
      <c r="C121" s="20">
        <v>1.9400000000000001E-2</v>
      </c>
      <c r="D121" s="38">
        <f t="shared" si="10"/>
        <v>0.247866723967758</v>
      </c>
      <c r="E121" s="32">
        <f t="shared" si="19"/>
        <v>41272.750806312841</v>
      </c>
      <c r="F121" s="47">
        <v>0</v>
      </c>
      <c r="G121" s="15">
        <v>-3.3000000000000002E-2</v>
      </c>
      <c r="H121" s="38">
        <f t="shared" si="11"/>
        <v>0.2471262476616547</v>
      </c>
      <c r="I121" s="32">
        <f t="shared" si="15"/>
        <v>41149.452714618383</v>
      </c>
      <c r="J121" s="47">
        <v>0</v>
      </c>
      <c r="K121" s="25">
        <v>2.5399999999999999E-2</v>
      </c>
      <c r="L121" s="38">
        <f t="shared" si="12"/>
        <v>0.2668086585043013</v>
      </c>
      <c r="M121" s="32">
        <f t="shared" si="16"/>
        <v>44426.807677689954</v>
      </c>
      <c r="N121" s="47">
        <v>0</v>
      </c>
      <c r="O121" s="27">
        <v>-1.6000000000000001E-3</v>
      </c>
      <c r="P121" s="38">
        <f t="shared" si="13"/>
        <v>0.23819836986628598</v>
      </c>
      <c r="Q121" s="31">
        <f t="shared" si="17"/>
        <v>39662.855120641238</v>
      </c>
      <c r="R121" s="47">
        <v>0</v>
      </c>
      <c r="S121" s="37">
        <f t="shared" si="14"/>
        <v>166511.86631926242</v>
      </c>
      <c r="T121" s="40">
        <f t="shared" si="18"/>
        <v>2.5172942083986349E-3</v>
      </c>
    </row>
    <row r="122" spans="2:20" x14ac:dyDescent="0.35">
      <c r="B122" s="10" t="s">
        <v>126</v>
      </c>
      <c r="C122" s="20">
        <v>9.1000000000000004E-3</v>
      </c>
      <c r="D122" s="38">
        <f t="shared" si="10"/>
        <v>0.24803154820085532</v>
      </c>
      <c r="E122" s="32">
        <f t="shared" si="19"/>
        <v>41648.332838650291</v>
      </c>
      <c r="F122" s="47">
        <v>0</v>
      </c>
      <c r="G122" s="20">
        <v>5.0599999999999999E-2</v>
      </c>
      <c r="H122" s="38">
        <f t="shared" si="11"/>
        <v>0.25746059143989669</v>
      </c>
      <c r="I122" s="32">
        <f t="shared" si="15"/>
        <v>43231.615021978076</v>
      </c>
      <c r="J122" s="47">
        <v>0</v>
      </c>
      <c r="K122" s="24">
        <v>-1.4800000000000001E-2</v>
      </c>
      <c r="L122" s="38">
        <f t="shared" si="12"/>
        <v>0.26066265445981057</v>
      </c>
      <c r="M122" s="32">
        <f t="shared" si="16"/>
        <v>43769.290924060144</v>
      </c>
      <c r="N122" s="47">
        <v>0</v>
      </c>
      <c r="O122" s="27">
        <v>-0.01</v>
      </c>
      <c r="P122" s="38">
        <f t="shared" si="13"/>
        <v>0.23384520589943744</v>
      </c>
      <c r="Q122" s="31">
        <f t="shared" si="17"/>
        <v>39266.226569434824</v>
      </c>
      <c r="R122" s="47">
        <v>0</v>
      </c>
      <c r="S122" s="37">
        <f t="shared" si="14"/>
        <v>167915.46535412333</v>
      </c>
      <c r="T122" s="40">
        <f t="shared" si="18"/>
        <v>8.4294234752597674E-3</v>
      </c>
    </row>
    <row r="123" spans="2:20" x14ac:dyDescent="0.35">
      <c r="B123" s="11" t="s">
        <v>127</v>
      </c>
      <c r="C123" s="20">
        <v>4.4999999999999997E-3</v>
      </c>
      <c r="D123" s="38">
        <f t="shared" si="10"/>
        <v>0.24712904633752272</v>
      </c>
      <c r="E123" s="32">
        <f t="shared" si="19"/>
        <v>41835.750336424215</v>
      </c>
      <c r="F123" s="47">
        <v>0</v>
      </c>
      <c r="G123" s="15">
        <v>-1.4800000000000001E-2</v>
      </c>
      <c r="H123" s="38">
        <f t="shared" si="11"/>
        <v>0.25159505083685396</v>
      </c>
      <c r="I123" s="32">
        <f t="shared" si="15"/>
        <v>42591.787119652799</v>
      </c>
      <c r="J123" s="47">
        <v>0</v>
      </c>
      <c r="K123" s="25">
        <v>2.4E-2</v>
      </c>
      <c r="L123" s="38">
        <f t="shared" si="12"/>
        <v>0.26475593125163643</v>
      </c>
      <c r="M123" s="32">
        <f t="shared" si="16"/>
        <v>44819.753906237587</v>
      </c>
      <c r="N123" s="47">
        <v>0</v>
      </c>
      <c r="O123" s="26">
        <v>1.9699999999999999E-2</v>
      </c>
      <c r="P123" s="38">
        <f t="shared" si="13"/>
        <v>0.23651997157398677</v>
      </c>
      <c r="Q123" s="31">
        <f t="shared" si="17"/>
        <v>40039.77123285269</v>
      </c>
      <c r="R123" s="47">
        <v>0</v>
      </c>
      <c r="S123" s="37">
        <f t="shared" si="14"/>
        <v>169287.06259516731</v>
      </c>
      <c r="T123" s="40">
        <f t="shared" si="18"/>
        <v>8.1683794768478979E-3</v>
      </c>
    </row>
    <row r="124" spans="2:20" x14ac:dyDescent="0.35">
      <c r="B124" s="10" t="s">
        <v>128</v>
      </c>
      <c r="C124" s="20">
        <v>3.44E-2</v>
      </c>
      <c r="D124" s="38">
        <f t="shared" si="10"/>
        <v>0.2508700586082328</v>
      </c>
      <c r="E124" s="32">
        <f t="shared" si="19"/>
        <v>43274.900147997207</v>
      </c>
      <c r="F124" s="47">
        <v>0</v>
      </c>
      <c r="G124" s="20">
        <v>1E-3</v>
      </c>
      <c r="H124" s="38">
        <f t="shared" si="11"/>
        <v>0.24715687612193399</v>
      </c>
      <c r="I124" s="32">
        <f t="shared" si="15"/>
        <v>42634.37890677245</v>
      </c>
      <c r="J124" s="47">
        <v>0</v>
      </c>
      <c r="K124" s="25">
        <v>4.1200000000000001E-2</v>
      </c>
      <c r="L124" s="38">
        <f t="shared" si="12"/>
        <v>0.27053059260551299</v>
      </c>
      <c r="M124" s="32">
        <f t="shared" si="16"/>
        <v>46666.327767174575</v>
      </c>
      <c r="N124" s="47">
        <v>0</v>
      </c>
      <c r="O124" s="27">
        <v>-2.8999999999999998E-3</v>
      </c>
      <c r="P124" s="38">
        <f t="shared" si="13"/>
        <v>0.23144247266432028</v>
      </c>
      <c r="Q124" s="31">
        <f t="shared" si="17"/>
        <v>39923.655896277414</v>
      </c>
      <c r="R124" s="47">
        <v>0</v>
      </c>
      <c r="S124" s="37">
        <f t="shared" si="14"/>
        <v>172499.26271822164</v>
      </c>
      <c r="T124" s="40">
        <f t="shared" si="18"/>
        <v>1.8974870694850265E-2</v>
      </c>
    </row>
    <row r="125" spans="2:20" x14ac:dyDescent="0.35">
      <c r="B125" s="11" t="s">
        <v>129</v>
      </c>
      <c r="C125" s="20">
        <v>7.51E-2</v>
      </c>
      <c r="D125" s="38">
        <f t="shared" si="10"/>
        <v>0.25339169178023763</v>
      </c>
      <c r="E125" s="32">
        <f t="shared" si="19"/>
        <v>46524.845149111796</v>
      </c>
      <c r="F125" s="47">
        <v>0</v>
      </c>
      <c r="G125" s="20">
        <v>2.5399999999999999E-2</v>
      </c>
      <c r="H125" s="38">
        <f t="shared" si="11"/>
        <v>0.23810070893567659</v>
      </c>
      <c r="I125" s="32">
        <f t="shared" si="15"/>
        <v>43717.292131004469</v>
      </c>
      <c r="J125" s="47">
        <v>0</v>
      </c>
      <c r="K125" s="25">
        <v>6.6500000000000004E-2</v>
      </c>
      <c r="L125" s="38">
        <f t="shared" si="12"/>
        <v>0.27106404920910415</v>
      </c>
      <c r="M125" s="32">
        <f t="shared" si="16"/>
        <v>49769.638563691682</v>
      </c>
      <c r="N125" s="47">
        <v>0</v>
      </c>
      <c r="O125" s="26">
        <v>9.1999999999999998E-2</v>
      </c>
      <c r="P125" s="38">
        <f t="shared" si="13"/>
        <v>0.23744355007498164</v>
      </c>
      <c r="Q125" s="31">
        <f t="shared" si="17"/>
        <v>43596.632238734936</v>
      </c>
      <c r="R125" s="47">
        <v>0</v>
      </c>
      <c r="S125" s="37">
        <f t="shared" si="14"/>
        <v>183608.40808254288</v>
      </c>
      <c r="T125" s="40">
        <f t="shared" si="18"/>
        <v>6.4401117948359454E-2</v>
      </c>
    </row>
    <row r="126" spans="2:20" x14ac:dyDescent="0.35">
      <c r="B126" s="10" t="s">
        <v>130</v>
      </c>
      <c r="C126" s="20">
        <v>6.0000000000000001E-3</v>
      </c>
      <c r="D126" s="38">
        <f t="shared" si="10"/>
        <v>0.25779727938308394</v>
      </c>
      <c r="E126" s="32">
        <f t="shared" si="19"/>
        <v>46803.994220006469</v>
      </c>
      <c r="F126" s="47">
        <v>0</v>
      </c>
      <c r="G126" s="15">
        <v>-4.5999999999999999E-2</v>
      </c>
      <c r="H126" s="38">
        <f t="shared" si="11"/>
        <v>0.22971906564328309</v>
      </c>
      <c r="I126" s="32">
        <f t="shared" si="15"/>
        <v>41706.296692978263</v>
      </c>
      <c r="J126" s="47">
        <v>0</v>
      </c>
      <c r="K126" s="25">
        <v>8.3999999999999995E-3</v>
      </c>
      <c r="L126" s="38">
        <f t="shared" si="12"/>
        <v>0.27643481381288781</v>
      </c>
      <c r="M126" s="32">
        <f t="shared" si="16"/>
        <v>50187.703527626691</v>
      </c>
      <c r="N126" s="47">
        <v>0</v>
      </c>
      <c r="O126" s="27">
        <v>-1.7000000000000001E-2</v>
      </c>
      <c r="P126" s="38">
        <f t="shared" si="13"/>
        <v>0.23604884116074495</v>
      </c>
      <c r="Q126" s="31">
        <f t="shared" si="17"/>
        <v>42855.489490676438</v>
      </c>
      <c r="R126" s="47">
        <v>0</v>
      </c>
      <c r="S126" s="37">
        <f t="shared" si="14"/>
        <v>181553.48393128789</v>
      </c>
      <c r="T126" s="40">
        <f t="shared" si="18"/>
        <v>-1.1191884798277818E-2</v>
      </c>
    </row>
    <row r="127" spans="2:20" x14ac:dyDescent="0.35">
      <c r="B127" s="11" t="s">
        <v>131</v>
      </c>
      <c r="C127" s="20">
        <v>7.6799999999999993E-2</v>
      </c>
      <c r="D127" s="38">
        <f t="shared" si="10"/>
        <v>0.26078140554714629</v>
      </c>
      <c r="E127" s="32">
        <f t="shared" si="19"/>
        <v>50398.540976102966</v>
      </c>
      <c r="F127" s="47">
        <v>0</v>
      </c>
      <c r="G127" s="20">
        <v>4.6199999999999998E-2</v>
      </c>
      <c r="H127" s="38">
        <f t="shared" si="11"/>
        <v>0.22577455862049417</v>
      </c>
      <c r="I127" s="32">
        <f t="shared" si="15"/>
        <v>43633.12760019386</v>
      </c>
      <c r="J127" s="47">
        <v>0</v>
      </c>
      <c r="K127" s="25">
        <v>7.9600000000000004E-2</v>
      </c>
      <c r="L127" s="38">
        <f t="shared" si="12"/>
        <v>0.28036181156990964</v>
      </c>
      <c r="M127" s="32">
        <f t="shared" si="16"/>
        <v>54182.644728425774</v>
      </c>
      <c r="N127" s="47">
        <v>0</v>
      </c>
      <c r="O127" s="26">
        <v>5.11E-2</v>
      </c>
      <c r="P127" s="38">
        <f t="shared" si="13"/>
        <v>0.23308222426244996</v>
      </c>
      <c r="Q127" s="31">
        <f t="shared" si="17"/>
        <v>45045.405003650005</v>
      </c>
      <c r="R127" s="47">
        <v>0</v>
      </c>
      <c r="S127" s="37">
        <f t="shared" si="14"/>
        <v>193259.7183083726</v>
      </c>
      <c r="T127" s="40">
        <f t="shared" si="18"/>
        <v>6.447815885216035E-2</v>
      </c>
    </row>
    <row r="128" spans="2:20" x14ac:dyDescent="0.35">
      <c r="B128" s="10" t="s">
        <v>132</v>
      </c>
      <c r="C128" s="20">
        <v>4.6699999999999998E-2</v>
      </c>
      <c r="D128" s="38">
        <f t="shared" si="10"/>
        <v>0.25711919688714474</v>
      </c>
      <c r="E128" s="32">
        <f t="shared" si="19"/>
        <v>52752.152839686976</v>
      </c>
      <c r="F128" s="47">
        <v>0</v>
      </c>
      <c r="G128" s="20">
        <v>6.6299999999999998E-2</v>
      </c>
      <c r="H128" s="38">
        <f t="shared" si="11"/>
        <v>0.22677233304468486</v>
      </c>
      <c r="I128" s="32">
        <f t="shared" si="15"/>
        <v>46526.003960086717</v>
      </c>
      <c r="J128" s="47">
        <v>0</v>
      </c>
      <c r="K128" s="25">
        <v>8.0600000000000005E-2</v>
      </c>
      <c r="L128" s="38">
        <f t="shared" si="12"/>
        <v>0.28537733484027178</v>
      </c>
      <c r="M128" s="32">
        <f t="shared" si="16"/>
        <v>58549.765893536889</v>
      </c>
      <c r="N128" s="47">
        <v>0</v>
      </c>
      <c r="O128" s="26">
        <v>5.0900000000000001E-2</v>
      </c>
      <c r="P128" s="38">
        <f t="shared" si="13"/>
        <v>0.23073113522789856</v>
      </c>
      <c r="Q128" s="31">
        <f t="shared" si="17"/>
        <v>47338.216118335789</v>
      </c>
      <c r="R128" s="47">
        <v>0</v>
      </c>
      <c r="S128" s="37">
        <f t="shared" si="14"/>
        <v>205166.13881164638</v>
      </c>
      <c r="T128" s="40">
        <f t="shared" si="18"/>
        <v>6.1608392103084109E-2</v>
      </c>
    </row>
    <row r="129" spans="2:20" x14ac:dyDescent="0.35">
      <c r="B129" s="9" t="s">
        <v>133</v>
      </c>
      <c r="C129" s="15">
        <v>-4.8000000000000001E-2</v>
      </c>
      <c r="D129" s="38">
        <f t="shared" si="10"/>
        <v>0.23980401075369148</v>
      </c>
      <c r="E129" s="32">
        <f t="shared" si="19"/>
        <v>50220.049503382004</v>
      </c>
      <c r="F129" s="47">
        <v>0</v>
      </c>
      <c r="G129" s="20">
        <v>6.4699999999999994E-2</v>
      </c>
      <c r="H129" s="38">
        <f t="shared" si="11"/>
        <v>0.23653875867790355</v>
      </c>
      <c r="I129" s="32">
        <f t="shared" si="15"/>
        <v>49536.236416304324</v>
      </c>
      <c r="J129" s="47">
        <v>0</v>
      </c>
      <c r="K129" s="25">
        <v>7.8899999999999998E-2</v>
      </c>
      <c r="L129" s="38">
        <f t="shared" si="12"/>
        <v>0.30163772874372674</v>
      </c>
      <c r="M129" s="32">
        <f t="shared" si="16"/>
        <v>63169.342422536953</v>
      </c>
      <c r="N129" s="47">
        <v>0</v>
      </c>
      <c r="O129" s="27">
        <v>-1.78E-2</v>
      </c>
      <c r="P129" s="38">
        <f t="shared" si="13"/>
        <v>0.22201950182467822</v>
      </c>
      <c r="Q129" s="31">
        <f t="shared" si="17"/>
        <v>46495.59587142941</v>
      </c>
      <c r="R129" s="47">
        <v>0</v>
      </c>
      <c r="S129" s="37">
        <f t="shared" si="14"/>
        <v>209421.22421365269</v>
      </c>
      <c r="T129" s="40">
        <f t="shared" si="18"/>
        <v>2.0739706009248904E-2</v>
      </c>
    </row>
    <row r="130" spans="2:20" x14ac:dyDescent="0.35">
      <c r="B130" s="10" t="s">
        <v>134</v>
      </c>
      <c r="C130" s="20">
        <v>0.17510000000000001</v>
      </c>
      <c r="D130" s="38">
        <f t="shared" si="10"/>
        <v>0.25782113464700646</v>
      </c>
      <c r="E130" s="32">
        <f t="shared" si="19"/>
        <v>59013.580171424197</v>
      </c>
      <c r="F130" s="47">
        <v>0</v>
      </c>
      <c r="G130" s="20">
        <v>5.3100000000000001E-2</v>
      </c>
      <c r="H130" s="38">
        <f t="shared" si="11"/>
        <v>0.22790779154187241</v>
      </c>
      <c r="I130" s="32">
        <f t="shared" si="15"/>
        <v>52166.610570010082</v>
      </c>
      <c r="J130" s="47">
        <v>0</v>
      </c>
      <c r="K130" s="25">
        <v>4.3499999999999997E-2</v>
      </c>
      <c r="L130" s="38">
        <f t="shared" si="12"/>
        <v>0.28798201228991727</v>
      </c>
      <c r="M130" s="32">
        <f t="shared" si="16"/>
        <v>65917.208817917315</v>
      </c>
      <c r="N130" s="47">
        <v>0</v>
      </c>
      <c r="O130" s="26">
        <v>0.114</v>
      </c>
      <c r="P130" s="38">
        <f t="shared" si="13"/>
        <v>0.22628906152120387</v>
      </c>
      <c r="Q130" s="31">
        <f t="shared" si="17"/>
        <v>51796.09380077236</v>
      </c>
      <c r="R130" s="47">
        <v>0</v>
      </c>
      <c r="S130" s="37">
        <f t="shared" si="14"/>
        <v>228893.49336012395</v>
      </c>
      <c r="T130" s="40">
        <f t="shared" si="18"/>
        <v>9.2981354777133429E-2</v>
      </c>
    </row>
    <row r="131" spans="2:20" x14ac:dyDescent="0.35">
      <c r="B131" s="11" t="s">
        <v>135</v>
      </c>
      <c r="C131" s="20">
        <v>9.1300000000000006E-2</v>
      </c>
      <c r="D131" s="38">
        <f t="shared" si="10"/>
        <v>0.25524719593900863</v>
      </c>
      <c r="E131" s="32">
        <f t="shared" si="19"/>
        <v>64401.52004107523</v>
      </c>
      <c r="F131" s="47">
        <v>0</v>
      </c>
      <c r="G131" s="20">
        <v>8.3400000000000002E-2</v>
      </c>
      <c r="H131" s="38">
        <f t="shared" si="11"/>
        <v>0.22399912054318374</v>
      </c>
      <c r="I131" s="32">
        <f t="shared" si="15"/>
        <v>56517.305891548924</v>
      </c>
      <c r="J131" s="47">
        <v>0</v>
      </c>
      <c r="K131" s="25">
        <v>0.1206</v>
      </c>
      <c r="L131" s="38">
        <f t="shared" si="12"/>
        <v>0.29276171957262986</v>
      </c>
      <c r="M131" s="32">
        <f t="shared" si="16"/>
        <v>73866.824201358148</v>
      </c>
      <c r="N131" s="47">
        <v>0</v>
      </c>
      <c r="O131" s="26">
        <v>0.1106</v>
      </c>
      <c r="P131" s="38">
        <f t="shared" si="13"/>
        <v>0.22799196394517779</v>
      </c>
      <c r="Q131" s="31">
        <f t="shared" si="17"/>
        <v>57524.74177513778</v>
      </c>
      <c r="R131" s="47">
        <v>0</v>
      </c>
      <c r="S131" s="37">
        <f t="shared" si="14"/>
        <v>252310.39190912008</v>
      </c>
      <c r="T131" s="40">
        <f t="shared" si="18"/>
        <v>0.10230478029427315</v>
      </c>
    </row>
    <row r="132" spans="2:20" x14ac:dyDescent="0.35">
      <c r="B132" s="10" t="s">
        <v>136</v>
      </c>
      <c r="C132" s="15">
        <v>-7.7299999999999994E-2</v>
      </c>
      <c r="D132" s="38">
        <f t="shared" si="10"/>
        <v>0.25959746074848411</v>
      </c>
      <c r="E132" s="32">
        <f t="shared" si="19"/>
        <v>59423.282541900116</v>
      </c>
      <c r="F132" s="47">
        <v>0</v>
      </c>
      <c r="G132" s="15">
        <v>-8.4599999999999995E-2</v>
      </c>
      <c r="H132" s="38">
        <f t="shared" si="11"/>
        <v>0.22601442649433334</v>
      </c>
      <c r="I132" s="32">
        <f t="shared" si="15"/>
        <v>51735.941813123885</v>
      </c>
      <c r="J132" s="47">
        <v>0</v>
      </c>
      <c r="K132" s="24">
        <v>-0.1183</v>
      </c>
      <c r="L132" s="38">
        <f t="shared" si="12"/>
        <v>0.2845208319273192</v>
      </c>
      <c r="M132" s="32">
        <f t="shared" si="16"/>
        <v>65128.378898337476</v>
      </c>
      <c r="N132" s="47">
        <v>0</v>
      </c>
      <c r="O132" s="27">
        <v>-8.5300000000000001E-2</v>
      </c>
      <c r="P132" s="38">
        <f t="shared" si="13"/>
        <v>0.22986728082986338</v>
      </c>
      <c r="Q132" s="31">
        <f t="shared" si="17"/>
        <v>52617.881301718531</v>
      </c>
      <c r="R132" s="47">
        <v>0</v>
      </c>
      <c r="S132" s="37">
        <f t="shared" si="14"/>
        <v>228905.48455508001</v>
      </c>
      <c r="T132" s="40">
        <f t="shared" si="18"/>
        <v>-9.276235979400449E-2</v>
      </c>
    </row>
    <row r="133" spans="2:20" x14ac:dyDescent="0.35">
      <c r="B133" s="11" t="s">
        <v>137</v>
      </c>
      <c r="C133" s="20">
        <v>8.2199999999999995E-2</v>
      </c>
      <c r="D133" s="38">
        <f t="shared" si="10"/>
        <v>0.26324468784755539</v>
      </c>
      <c r="E133" s="32">
        <f t="shared" si="19"/>
        <v>64307.876366844306</v>
      </c>
      <c r="F133" s="47">
        <v>0</v>
      </c>
      <c r="G133" s="20">
        <v>7.6399999999999996E-2</v>
      </c>
      <c r="H133" s="38">
        <f t="shared" si="11"/>
        <v>0.22796149502815449</v>
      </c>
      <c r="I133" s="32">
        <f t="shared" si="15"/>
        <v>55688.567767646549</v>
      </c>
      <c r="J133" s="47">
        <v>0</v>
      </c>
      <c r="K133" s="25">
        <v>4.3400000000000001E-2</v>
      </c>
      <c r="L133" s="38">
        <f t="shared" si="12"/>
        <v>0.27817400844053064</v>
      </c>
      <c r="M133" s="32">
        <f t="shared" si="16"/>
        <v>67954.95054252533</v>
      </c>
      <c r="N133" s="47">
        <v>0</v>
      </c>
      <c r="O133" s="26">
        <v>7.0699999999999999E-2</v>
      </c>
      <c r="P133" s="38">
        <f t="shared" si="13"/>
        <v>0.23061980868375945</v>
      </c>
      <c r="Q133" s="31">
        <f t="shared" si="17"/>
        <v>56337.965509750029</v>
      </c>
      <c r="R133" s="47">
        <v>0</v>
      </c>
      <c r="S133" s="37">
        <f t="shared" si="14"/>
        <v>244289.36018676622</v>
      </c>
      <c r="T133" s="40">
        <f t="shared" si="18"/>
        <v>6.7206234318009539E-2</v>
      </c>
    </row>
    <row r="134" spans="2:20" x14ac:dyDescent="0.35">
      <c r="B134" s="10" t="s">
        <v>138</v>
      </c>
      <c r="C134" s="15">
        <v>-3.49E-2</v>
      </c>
      <c r="D134" s="38">
        <f t="shared" si="10"/>
        <v>0.26317595765694879</v>
      </c>
      <c r="E134" s="32">
        <f t="shared" si="19"/>
        <v>62063.531481641439</v>
      </c>
      <c r="F134" s="47">
        <v>0</v>
      </c>
      <c r="G134" s="15">
        <v>-2.8500000000000001E-2</v>
      </c>
      <c r="H134" s="38">
        <f t="shared" si="11"/>
        <v>0.22941329451501377</v>
      </c>
      <c r="I134" s="32">
        <f t="shared" si="15"/>
        <v>54101.443586268622</v>
      </c>
      <c r="J134" s="47">
        <v>0</v>
      </c>
      <c r="K134" s="24">
        <v>-5.6399999999999999E-2</v>
      </c>
      <c r="L134" s="38">
        <f t="shared" si="12"/>
        <v>0.27190598126742971</v>
      </c>
      <c r="M134" s="32">
        <f t="shared" si="16"/>
        <v>64122.291331926899</v>
      </c>
      <c r="N134" s="47">
        <v>0</v>
      </c>
      <c r="O134" s="27">
        <v>-1.4200000000000001E-2</v>
      </c>
      <c r="P134" s="38">
        <f t="shared" si="13"/>
        <v>0.23550476656060787</v>
      </c>
      <c r="Q134" s="31">
        <f t="shared" si="17"/>
        <v>55537.966399511577</v>
      </c>
      <c r="R134" s="47">
        <v>0</v>
      </c>
      <c r="S134" s="37">
        <f t="shared" si="14"/>
        <v>235825.23279934851</v>
      </c>
      <c r="T134" s="40">
        <f t="shared" si="18"/>
        <v>-3.4647957573537558E-2</v>
      </c>
    </row>
    <row r="135" spans="2:20" x14ac:dyDescent="0.35">
      <c r="B135" s="11" t="s">
        <v>139</v>
      </c>
      <c r="C135" s="20">
        <v>0.10249999999999999</v>
      </c>
      <c r="D135" s="38">
        <f t="shared" si="10"/>
        <v>0.26790777183996556</v>
      </c>
      <c r="E135" s="32">
        <f t="shared" si="19"/>
        <v>68425.043458509681</v>
      </c>
      <c r="F135" s="47">
        <v>0</v>
      </c>
      <c r="G135" s="20">
        <v>9.4999999999999998E-3</v>
      </c>
      <c r="H135" s="38">
        <f t="shared" si="11"/>
        <v>0.21383825772559439</v>
      </c>
      <c r="I135" s="32">
        <f t="shared" si="15"/>
        <v>54615.407300338171</v>
      </c>
      <c r="J135" s="47">
        <v>0</v>
      </c>
      <c r="K135" s="25">
        <v>0.1278</v>
      </c>
      <c r="L135" s="38">
        <f t="shared" si="12"/>
        <v>0.28314660173811296</v>
      </c>
      <c r="M135" s="32">
        <f t="shared" si="16"/>
        <v>72317.120164147156</v>
      </c>
      <c r="N135" s="47">
        <v>0</v>
      </c>
      <c r="O135" s="26">
        <v>8.1199999999999994E-2</v>
      </c>
      <c r="P135" s="38">
        <f t="shared" si="13"/>
        <v>0.23510736869632715</v>
      </c>
      <c r="Q135" s="31">
        <f t="shared" si="17"/>
        <v>60047.649271151917</v>
      </c>
      <c r="R135" s="47">
        <v>0</v>
      </c>
      <c r="S135" s="37">
        <f t="shared" si="14"/>
        <v>255405.22019414691</v>
      </c>
      <c r="T135" s="40">
        <f t="shared" si="18"/>
        <v>8.3027533408428722E-2</v>
      </c>
    </row>
    <row r="136" spans="2:20" x14ac:dyDescent="0.35">
      <c r="B136" s="10" t="s">
        <v>140</v>
      </c>
      <c r="C136" s="15">
        <v>-4.5999999999999999E-3</v>
      </c>
      <c r="D136" s="38">
        <f t="shared" si="10"/>
        <v>0.25410692745773378</v>
      </c>
      <c r="E136" s="32">
        <f t="shared" si="19"/>
        <v>68110.288258600543</v>
      </c>
      <c r="F136" s="47">
        <v>0</v>
      </c>
      <c r="G136" s="20">
        <v>0.1</v>
      </c>
      <c r="H136" s="38">
        <f t="shared" si="11"/>
        <v>0.22413601623699023</v>
      </c>
      <c r="I136" s="32">
        <f t="shared" si="15"/>
        <v>60076.94803037199</v>
      </c>
      <c r="J136" s="47">
        <v>0</v>
      </c>
      <c r="K136" s="25">
        <v>5.2200000000000003E-2</v>
      </c>
      <c r="L136" s="38">
        <f t="shared" si="12"/>
        <v>0.28388549778444455</v>
      </c>
      <c r="M136" s="32">
        <f t="shared" si="16"/>
        <v>76092.073836715645</v>
      </c>
      <c r="N136" s="47">
        <v>0</v>
      </c>
      <c r="O136" s="26">
        <v>6.1800000000000001E-2</v>
      </c>
      <c r="P136" s="38">
        <f t="shared" si="13"/>
        <v>0.23787155852083142</v>
      </c>
      <c r="Q136" s="31">
        <f t="shared" si="17"/>
        <v>63758.593996109106</v>
      </c>
      <c r="R136" s="47">
        <v>0</v>
      </c>
      <c r="S136" s="37">
        <f t="shared" si="14"/>
        <v>268037.9041217973</v>
      </c>
      <c r="T136" s="40">
        <f t="shared" si="18"/>
        <v>4.946133801825825E-2</v>
      </c>
    </row>
    <row r="137" spans="2:20" x14ac:dyDescent="0.35">
      <c r="B137" s="11" t="s">
        <v>141</v>
      </c>
      <c r="C137" s="20">
        <v>0.1043</v>
      </c>
      <c r="D137" s="38">
        <f t="shared" si="10"/>
        <v>0.24882513434967096</v>
      </c>
      <c r="E137" s="32">
        <f t="shared" si="19"/>
        <v>75214.191323972584</v>
      </c>
      <c r="F137" s="47">
        <v>0</v>
      </c>
      <c r="G137" s="20">
        <v>0.1145</v>
      </c>
      <c r="H137" s="38">
        <f t="shared" si="11"/>
        <v>0.22150441732935541</v>
      </c>
      <c r="I137" s="32">
        <f t="shared" si="15"/>
        <v>66955.758579849586</v>
      </c>
      <c r="J137" s="47">
        <v>0</v>
      </c>
      <c r="K137" s="25">
        <v>0.15409999999999999</v>
      </c>
      <c r="L137" s="38">
        <f t="shared" si="12"/>
        <v>0.29052085821917489</v>
      </c>
      <c r="M137" s="32">
        <f t="shared" si="16"/>
        <v>87817.862414953532</v>
      </c>
      <c r="N137" s="47">
        <v>0</v>
      </c>
      <c r="O137" s="26">
        <v>0.1338</v>
      </c>
      <c r="P137" s="38">
        <f t="shared" si="13"/>
        <v>0.23914959010179879</v>
      </c>
      <c r="Q137" s="31">
        <f t="shared" si="17"/>
        <v>72289.493872788502</v>
      </c>
      <c r="R137" s="47">
        <v>0</v>
      </c>
      <c r="S137" s="37">
        <f t="shared" si="14"/>
        <v>302277.30619156419</v>
      </c>
      <c r="T137" s="40">
        <f t="shared" si="18"/>
        <v>0.12774089613164707</v>
      </c>
    </row>
    <row r="138" spans="2:20" x14ac:dyDescent="0.35">
      <c r="B138" s="10" t="s">
        <v>142</v>
      </c>
      <c r="C138" s="20">
        <v>2.5499999999999998E-2</v>
      </c>
      <c r="D138" s="38">
        <f t="shared" si="10"/>
        <v>0.26311102214266313</v>
      </c>
      <c r="E138" s="32">
        <f t="shared" si="19"/>
        <v>77132.153202733884</v>
      </c>
      <c r="F138" s="47">
        <v>0</v>
      </c>
      <c r="G138" s="15">
        <v>-3.0099999999999998E-2</v>
      </c>
      <c r="H138" s="38">
        <f t="shared" si="11"/>
        <v>0.22152282474489146</v>
      </c>
      <c r="I138" s="32">
        <f t="shared" si="15"/>
        <v>64940.390246596115</v>
      </c>
      <c r="J138" s="47">
        <v>0</v>
      </c>
      <c r="K138" s="24">
        <v>-5.8900000000000001E-2</v>
      </c>
      <c r="L138" s="38">
        <f t="shared" si="12"/>
        <v>0.28191762085237815</v>
      </c>
      <c r="M138" s="32">
        <f t="shared" si="16"/>
        <v>82645.390318712773</v>
      </c>
      <c r="N138" s="47">
        <v>0</v>
      </c>
      <c r="O138" s="27">
        <v>-5.33E-2</v>
      </c>
      <c r="P138" s="38">
        <f t="shared" si="13"/>
        <v>0.23344853226006709</v>
      </c>
      <c r="Q138" s="31">
        <f t="shared" si="17"/>
        <v>68436.463849368869</v>
      </c>
      <c r="R138" s="47">
        <v>0</v>
      </c>
      <c r="S138" s="37">
        <f t="shared" si="14"/>
        <v>293154.39761741168</v>
      </c>
      <c r="T138" s="40">
        <f t="shared" si="18"/>
        <v>-3.0180593737232031E-2</v>
      </c>
    </row>
    <row r="139" spans="2:20" x14ac:dyDescent="0.35">
      <c r="B139" s="11" t="s">
        <v>143</v>
      </c>
      <c r="C139" s="20">
        <v>1E-4</v>
      </c>
      <c r="D139" s="38">
        <f t="shared" si="10"/>
        <v>0.26801441936702192</v>
      </c>
      <c r="E139" s="32">
        <f t="shared" si="19"/>
        <v>77139.866418054153</v>
      </c>
      <c r="F139" s="47">
        <v>0</v>
      </c>
      <c r="G139" s="15">
        <v>-6.7799999999999999E-2</v>
      </c>
      <c r="H139" s="38">
        <f t="shared" si="11"/>
        <v>0.21033099205369088</v>
      </c>
      <c r="I139" s="32">
        <f t="shared" si="15"/>
        <v>60537.4317878769</v>
      </c>
      <c r="J139" s="47">
        <v>0</v>
      </c>
      <c r="K139" s="24">
        <v>-1.12E-2</v>
      </c>
      <c r="L139" s="38">
        <f t="shared" si="12"/>
        <v>0.28392678865138371</v>
      </c>
      <c r="M139" s="32">
        <f t="shared" si="16"/>
        <v>81719.761947143183</v>
      </c>
      <c r="N139" s="47">
        <v>0</v>
      </c>
      <c r="O139" s="27">
        <v>-2.0000000000000001E-4</v>
      </c>
      <c r="P139" s="38">
        <f t="shared" si="13"/>
        <v>0.23772779992790327</v>
      </c>
      <c r="Q139" s="31">
        <f t="shared" si="17"/>
        <v>68422.776556598998</v>
      </c>
      <c r="R139" s="47">
        <v>0</v>
      </c>
      <c r="S139" s="37">
        <f t="shared" si="14"/>
        <v>287819.83670967328</v>
      </c>
      <c r="T139" s="40">
        <f t="shared" si="18"/>
        <v>-1.8197103475487975E-2</v>
      </c>
    </row>
    <row r="140" spans="2:20" x14ac:dyDescent="0.35">
      <c r="B140" s="10" t="s">
        <v>144</v>
      </c>
      <c r="C140" s="20">
        <v>1.18E-2</v>
      </c>
      <c r="D140" s="38">
        <f t="shared" si="10"/>
        <v>0.26529215422094915</v>
      </c>
      <c r="E140" s="32">
        <f t="shared" si="19"/>
        <v>78050.116841787196</v>
      </c>
      <c r="F140" s="47">
        <v>0</v>
      </c>
      <c r="G140" s="20">
        <v>2.6599999999999999E-2</v>
      </c>
      <c r="H140" s="38">
        <f t="shared" si="11"/>
        <v>0.21123997206544551</v>
      </c>
      <c r="I140" s="32">
        <f t="shared" si="15"/>
        <v>62147.727473434425</v>
      </c>
      <c r="J140" s="47">
        <v>0</v>
      </c>
      <c r="K140" s="25">
        <v>2.2499999999999999E-2</v>
      </c>
      <c r="L140" s="38">
        <f t="shared" si="12"/>
        <v>0.28401498741285214</v>
      </c>
      <c r="M140" s="32">
        <f t="shared" si="16"/>
        <v>83558.456590953909</v>
      </c>
      <c r="N140" s="47">
        <v>0</v>
      </c>
      <c r="O140" s="26">
        <v>2.9600000000000001E-2</v>
      </c>
      <c r="P140" s="38">
        <f t="shared" si="13"/>
        <v>0.23945288630075326</v>
      </c>
      <c r="Q140" s="31">
        <f t="shared" si="17"/>
        <v>70448.090742674322</v>
      </c>
      <c r="R140" s="47">
        <v>0</v>
      </c>
      <c r="S140" s="37">
        <f t="shared" si="14"/>
        <v>294204.39164884982</v>
      </c>
      <c r="T140" s="40">
        <f t="shared" si="18"/>
        <v>2.2182470159680889E-2</v>
      </c>
    </row>
    <row r="141" spans="2:20" x14ac:dyDescent="0.35">
      <c r="B141" s="9" t="s">
        <v>145</v>
      </c>
      <c r="C141" s="15">
        <v>-2.3800000000000002E-2</v>
      </c>
      <c r="D141" s="38">
        <f t="shared" si="10"/>
        <v>0.24842400167337261</v>
      </c>
      <c r="E141" s="32">
        <f t="shared" si="19"/>
        <v>76192.524060952666</v>
      </c>
      <c r="F141" s="47">
        <v>0</v>
      </c>
      <c r="G141" s="20">
        <v>8.3500000000000005E-2</v>
      </c>
      <c r="H141" s="38">
        <f t="shared" si="11"/>
        <v>0.21955097022145639</v>
      </c>
      <c r="I141" s="32">
        <f t="shared" si="15"/>
        <v>67337.062717466193</v>
      </c>
      <c r="J141" s="47">
        <v>0</v>
      </c>
      <c r="K141" s="25">
        <v>8.5599999999999996E-2</v>
      </c>
      <c r="L141" s="38">
        <f t="shared" si="12"/>
        <v>0.29576136132781256</v>
      </c>
      <c r="M141" s="32">
        <f t="shared" si="16"/>
        <v>90711.060475139559</v>
      </c>
      <c r="N141" s="47">
        <v>0</v>
      </c>
      <c r="O141" s="26">
        <v>2.86E-2</v>
      </c>
      <c r="P141" s="38">
        <f t="shared" si="13"/>
        <v>0.23626366677735849</v>
      </c>
      <c r="Q141" s="31">
        <f t="shared" si="17"/>
        <v>72462.906137914804</v>
      </c>
      <c r="R141" s="47">
        <v>0</v>
      </c>
      <c r="S141" s="37">
        <f t="shared" si="14"/>
        <v>306703.55339147319</v>
      </c>
      <c r="T141" s="40">
        <f t="shared" si="18"/>
        <v>4.2484619867747764E-2</v>
      </c>
    </row>
    <row r="142" spans="2:20" x14ac:dyDescent="0.35">
      <c r="B142" s="10" t="s">
        <v>146</v>
      </c>
      <c r="C142" s="15">
        <v>-2.1499999999999998E-2</v>
      </c>
      <c r="D142" s="38">
        <f t="shared" si="10"/>
        <v>0.23992412457746332</v>
      </c>
      <c r="E142" s="32">
        <f t="shared" si="19"/>
        <v>74554.384793642181</v>
      </c>
      <c r="F142" s="47">
        <v>0</v>
      </c>
      <c r="G142" s="20">
        <v>8.8200000000000001E-2</v>
      </c>
      <c r="H142" s="38">
        <f t="shared" si="11"/>
        <v>0.23581075992315337</v>
      </c>
      <c r="I142" s="32">
        <f t="shared" si="15"/>
        <v>73276.191649146713</v>
      </c>
      <c r="J142" s="47">
        <v>0</v>
      </c>
      <c r="K142" s="25">
        <v>1.0999999999999999E-2</v>
      </c>
      <c r="L142" s="38">
        <f t="shared" si="12"/>
        <v>0.29512916409151935</v>
      </c>
      <c r="M142" s="32">
        <f t="shared" si="16"/>
        <v>91708.882140366099</v>
      </c>
      <c r="N142" s="47">
        <v>0</v>
      </c>
      <c r="O142" s="27">
        <v>-1.7399999999999999E-2</v>
      </c>
      <c r="P142" s="38">
        <f t="shared" si="13"/>
        <v>0.22913595140786389</v>
      </c>
      <c r="Q142" s="31">
        <f t="shared" si="17"/>
        <v>71202.05157111508</v>
      </c>
      <c r="R142" s="47">
        <v>0</v>
      </c>
      <c r="S142" s="37">
        <f t="shared" si="14"/>
        <v>310741.5101542701</v>
      </c>
      <c r="T142" s="40">
        <f t="shared" si="18"/>
        <v>1.3165666710235113E-2</v>
      </c>
    </row>
    <row r="143" spans="2:20" x14ac:dyDescent="0.35">
      <c r="B143" s="11" t="s">
        <v>147</v>
      </c>
      <c r="C143" s="15">
        <v>-3.6799999999999999E-2</v>
      </c>
      <c r="D143" s="38">
        <f t="shared" si="10"/>
        <v>0.2522802796962923</v>
      </c>
      <c r="E143" s="32">
        <f t="shared" si="19"/>
        <v>71810.783433236153</v>
      </c>
      <c r="F143" s="47">
        <v>0</v>
      </c>
      <c r="G143" s="15">
        <v>-0.10100000000000001</v>
      </c>
      <c r="H143" s="38">
        <f t="shared" si="11"/>
        <v>0.23142816968735583</v>
      </c>
      <c r="I143" s="32">
        <f t="shared" si="15"/>
        <v>65875.296292582891</v>
      </c>
      <c r="J143" s="47">
        <v>0</v>
      </c>
      <c r="K143" s="24">
        <v>-9.9000000000000005E-2</v>
      </c>
      <c r="L143" s="38">
        <f t="shared" si="12"/>
        <v>0.29028849901245068</v>
      </c>
      <c r="M143" s="32">
        <f t="shared" si="16"/>
        <v>82629.702808469854</v>
      </c>
      <c r="N143" s="47">
        <v>0</v>
      </c>
      <c r="O143" s="27">
        <v>-9.6500000000000002E-2</v>
      </c>
      <c r="P143" s="38">
        <f t="shared" si="13"/>
        <v>0.22600305160390133</v>
      </c>
      <c r="Q143" s="31">
        <f t="shared" si="17"/>
        <v>64331.053594502475</v>
      </c>
      <c r="R143" s="47">
        <v>0</v>
      </c>
      <c r="S143" s="37">
        <f t="shared" si="14"/>
        <v>284646.83612879133</v>
      </c>
      <c r="T143" s="40">
        <f t="shared" si="18"/>
        <v>-8.3975501092608651E-2</v>
      </c>
    </row>
    <row r="144" spans="2:20" x14ac:dyDescent="0.35">
      <c r="B144" s="10" t="s">
        <v>148</v>
      </c>
      <c r="C144" s="15">
        <v>-3.2899999999999999E-2</v>
      </c>
      <c r="D144" s="38">
        <f t="shared" si="10"/>
        <v>0.25060258212610126</v>
      </c>
      <c r="E144" s="32">
        <f t="shared" si="19"/>
        <v>69448.208658282689</v>
      </c>
      <c r="F144" s="47">
        <v>0</v>
      </c>
      <c r="G144" s="20">
        <v>1.1900000000000001E-2</v>
      </c>
      <c r="H144" s="38">
        <f t="shared" si="11"/>
        <v>0.24053854019036602</v>
      </c>
      <c r="I144" s="32">
        <f t="shared" si="15"/>
        <v>66659.212318464633</v>
      </c>
      <c r="J144" s="47">
        <v>0</v>
      </c>
      <c r="K144" s="24">
        <v>-4.4600000000000001E-2</v>
      </c>
      <c r="L144" s="38">
        <f t="shared" si="12"/>
        <v>0.28486947890086289</v>
      </c>
      <c r="M144" s="32">
        <f t="shared" si="16"/>
        <v>78944.418063212099</v>
      </c>
      <c r="N144" s="47">
        <v>0</v>
      </c>
      <c r="O144" s="27">
        <v>-3.5099999999999999E-2</v>
      </c>
      <c r="P144" s="38">
        <f t="shared" si="13"/>
        <v>0.22398939878266974</v>
      </c>
      <c r="Q144" s="31">
        <f t="shared" si="17"/>
        <v>62073.033613335436</v>
      </c>
      <c r="R144" s="47">
        <v>0</v>
      </c>
      <c r="S144" s="37">
        <f t="shared" si="14"/>
        <v>277124.87265329488</v>
      </c>
      <c r="T144" s="40">
        <f t="shared" si="18"/>
        <v>-2.6425600149980411E-2</v>
      </c>
    </row>
    <row r="145" spans="2:20" x14ac:dyDescent="0.35">
      <c r="B145" s="11" t="s">
        <v>149</v>
      </c>
      <c r="C145" s="20">
        <v>3.9899999999999998E-2</v>
      </c>
      <c r="D145" s="38">
        <f t="shared" si="10"/>
        <v>0.25672925527597396</v>
      </c>
      <c r="E145" s="32">
        <f t="shared" si="19"/>
        <v>72219.192183748164</v>
      </c>
      <c r="F145" s="47">
        <v>0</v>
      </c>
      <c r="G145" s="15">
        <v>-3.7400000000000003E-2</v>
      </c>
      <c r="H145" s="38">
        <f t="shared" si="11"/>
        <v>0.22810183002726134</v>
      </c>
      <c r="I145" s="32">
        <f t="shared" si="15"/>
        <v>64166.157777754059</v>
      </c>
      <c r="J145" s="47">
        <v>0</v>
      </c>
      <c r="K145" s="25">
        <v>3.04E-2</v>
      </c>
      <c r="L145" s="38">
        <f t="shared" si="12"/>
        <v>0.28916785431245839</v>
      </c>
      <c r="M145" s="32">
        <f t="shared" si="16"/>
        <v>81344.328372333752</v>
      </c>
      <c r="N145" s="47">
        <v>0</v>
      </c>
      <c r="O145" s="26">
        <v>2.4199999999999999E-2</v>
      </c>
      <c r="P145" s="38">
        <f t="shared" si="13"/>
        <v>0.22600106038430631</v>
      </c>
      <c r="Q145" s="31">
        <f t="shared" si="17"/>
        <v>63575.201026778152</v>
      </c>
      <c r="R145" s="47">
        <v>0</v>
      </c>
      <c r="S145" s="37">
        <f t="shared" si="14"/>
        <v>281304.87936061411</v>
      </c>
      <c r="T145" s="40">
        <f t="shared" si="18"/>
        <v>1.5083477232838538E-2</v>
      </c>
    </row>
    <row r="146" spans="2:20" x14ac:dyDescent="0.35">
      <c r="B146" s="10" t="s">
        <v>150</v>
      </c>
      <c r="C146" s="15">
        <v>-9.3200000000000005E-2</v>
      </c>
      <c r="D146" s="38">
        <f t="shared" si="10"/>
        <v>0.24716859409813918</v>
      </c>
      <c r="E146" s="32">
        <f t="shared" si="19"/>
        <v>65488.363472222831</v>
      </c>
      <c r="F146" s="47">
        <v>0</v>
      </c>
      <c r="G146" s="15">
        <v>-1.4500000000000001E-2</v>
      </c>
      <c r="H146" s="38">
        <f t="shared" si="11"/>
        <v>0.23866669164271506</v>
      </c>
      <c r="I146" s="32">
        <f t="shared" si="15"/>
        <v>63235.748489976628</v>
      </c>
      <c r="J146" s="47">
        <v>0</v>
      </c>
      <c r="K146" s="24">
        <v>-3.32E-2</v>
      </c>
      <c r="L146" s="38">
        <f t="shared" si="12"/>
        <v>0.29681993731514211</v>
      </c>
      <c r="M146" s="32">
        <f t="shared" si="16"/>
        <v>78643.696670372272</v>
      </c>
      <c r="N146" s="47">
        <v>0</v>
      </c>
      <c r="O146" s="27">
        <v>-9.4200000000000006E-2</v>
      </c>
      <c r="P146" s="38">
        <f t="shared" si="13"/>
        <v>0.2173447769440037</v>
      </c>
      <c r="Q146" s="31">
        <f t="shared" si="17"/>
        <v>57586.417090055649</v>
      </c>
      <c r="R146" s="47">
        <v>0</v>
      </c>
      <c r="S146" s="37">
        <f t="shared" si="14"/>
        <v>264954.22572262737</v>
      </c>
      <c r="T146" s="40">
        <f t="shared" si="18"/>
        <v>-5.8124315778491309E-2</v>
      </c>
    </row>
    <row r="147" spans="2:20" x14ac:dyDescent="0.35">
      <c r="B147" s="11" t="s">
        <v>151</v>
      </c>
      <c r="C147" s="20">
        <v>4.9700000000000001E-2</v>
      </c>
      <c r="D147" s="38">
        <f t="shared" si="10"/>
        <v>0.25099671892570596</v>
      </c>
      <c r="E147" s="32">
        <f t="shared" si="19"/>
        <v>68743.135136792305</v>
      </c>
      <c r="F147" s="47">
        <v>0</v>
      </c>
      <c r="G147" s="20">
        <v>3.5900000000000001E-2</v>
      </c>
      <c r="H147" s="38">
        <f t="shared" si="11"/>
        <v>0.23917688529292991</v>
      </c>
      <c r="I147" s="32">
        <f t="shared" si="15"/>
        <v>65505.911860766792</v>
      </c>
      <c r="J147" s="47">
        <v>0</v>
      </c>
      <c r="K147" s="25">
        <v>3.3000000000000002E-2</v>
      </c>
      <c r="L147" s="38">
        <f t="shared" si="12"/>
        <v>0.29662172102298295</v>
      </c>
      <c r="M147" s="32">
        <f t="shared" si="16"/>
        <v>81238.938660494561</v>
      </c>
      <c r="N147" s="47">
        <v>0</v>
      </c>
      <c r="O147" s="26">
        <v>1.4E-2</v>
      </c>
      <c r="P147" s="38">
        <f t="shared" si="13"/>
        <v>0.21320467475838115</v>
      </c>
      <c r="Q147" s="31">
        <f t="shared" si="17"/>
        <v>58392.62692931643</v>
      </c>
      <c r="R147" s="47">
        <v>0</v>
      </c>
      <c r="S147" s="37">
        <f t="shared" si="14"/>
        <v>273880.61258737009</v>
      </c>
      <c r="T147" s="40">
        <f t="shared" si="18"/>
        <v>3.3690298165266919E-2</v>
      </c>
    </row>
    <row r="148" spans="2:20" x14ac:dyDescent="0.35">
      <c r="B148" s="10" t="s">
        <v>152</v>
      </c>
      <c r="C148" s="15">
        <v>-1.3899999999999999E-2</v>
      </c>
      <c r="D148" s="38">
        <f t="shared" si="10"/>
        <v>0.25353348462540037</v>
      </c>
      <c r="E148" s="32">
        <f t="shared" si="19"/>
        <v>67787.605558390889</v>
      </c>
      <c r="F148" s="47">
        <v>0</v>
      </c>
      <c r="G148" s="15">
        <v>-4.3200000000000002E-2</v>
      </c>
      <c r="H148" s="38">
        <f t="shared" si="11"/>
        <v>0.2344156998629997</v>
      </c>
      <c r="I148" s="32">
        <f t="shared" si="15"/>
        <v>62676.056468381663</v>
      </c>
      <c r="J148" s="47">
        <v>0</v>
      </c>
      <c r="K148" s="24">
        <v>-2.4400000000000002E-2</v>
      </c>
      <c r="L148" s="38">
        <f t="shared" si="12"/>
        <v>0.29642925627653993</v>
      </c>
      <c r="M148" s="32">
        <f t="shared" si="16"/>
        <v>79256.708557178499</v>
      </c>
      <c r="N148" s="47">
        <v>0</v>
      </c>
      <c r="O148" s="27">
        <v>-1.2699999999999999E-2</v>
      </c>
      <c r="P148" s="38">
        <f t="shared" si="13"/>
        <v>0.21562155923506005</v>
      </c>
      <c r="Q148" s="31">
        <f t="shared" si="17"/>
        <v>57651.040567314114</v>
      </c>
      <c r="R148" s="47">
        <v>0</v>
      </c>
      <c r="S148" s="37">
        <f t="shared" si="14"/>
        <v>267371.41115126514</v>
      </c>
      <c r="T148" s="40">
        <f t="shared" si="18"/>
        <v>-2.376656520011422E-2</v>
      </c>
    </row>
    <row r="149" spans="2:20" x14ac:dyDescent="0.35">
      <c r="B149" s="11" t="s">
        <v>153</v>
      </c>
      <c r="C149" s="20">
        <v>5.1000000000000004E-3</v>
      </c>
      <c r="D149" s="38">
        <f t="shared" ref="D149:D212" si="20">E149/S149</f>
        <v>0.25424347551378063</v>
      </c>
      <c r="E149" s="32">
        <f t="shared" si="19"/>
        <v>68133.322346738685</v>
      </c>
      <c r="F149" s="47">
        <v>0</v>
      </c>
      <c r="G149" s="20">
        <v>1.1599999999999999E-2</v>
      </c>
      <c r="H149" s="38">
        <f t="shared" ref="H149:H212" si="21">I149/S149</f>
        <v>0.2365923695273309</v>
      </c>
      <c r="I149" s="32">
        <f t="shared" si="15"/>
        <v>63403.098723414892</v>
      </c>
      <c r="J149" s="47">
        <v>0</v>
      </c>
      <c r="K149" s="24">
        <v>-1.06E-2</v>
      </c>
      <c r="L149" s="38">
        <f t="shared" ref="L149:L212" si="22">M149/S149</f>
        <v>0.29261608040864545</v>
      </c>
      <c r="M149" s="32">
        <f t="shared" si="16"/>
        <v>78416.587446472404</v>
      </c>
      <c r="N149" s="47">
        <v>0</v>
      </c>
      <c r="O149" s="26">
        <v>6.6E-3</v>
      </c>
      <c r="P149" s="38">
        <f t="shared" ref="P149:P212" si="23">Q149/S149</f>
        <v>0.21654807455024308</v>
      </c>
      <c r="Q149" s="31">
        <f t="shared" si="17"/>
        <v>58031.537435058388</v>
      </c>
      <c r="R149" s="47">
        <v>0</v>
      </c>
      <c r="S149" s="37">
        <f t="shared" ref="S149:S212" si="24">Q149+M149+I149+E149</f>
        <v>267984.54595168435</v>
      </c>
      <c r="T149" s="40">
        <f t="shared" si="18"/>
        <v>2.2931950644204946E-3</v>
      </c>
    </row>
    <row r="150" spans="2:20" x14ac:dyDescent="0.35">
      <c r="B150" s="10" t="s">
        <v>154</v>
      </c>
      <c r="C150" s="15">
        <v>-3.6700000000000003E-2</v>
      </c>
      <c r="D150" s="38">
        <f t="shared" si="20"/>
        <v>0.25575232125531233</v>
      </c>
      <c r="E150" s="32">
        <f t="shared" si="19"/>
        <v>65632.829416613371</v>
      </c>
      <c r="F150" s="47">
        <v>0</v>
      </c>
      <c r="G150" s="15">
        <v>-4.6600000000000003E-2</v>
      </c>
      <c r="H150" s="38">
        <f t="shared" si="21"/>
        <v>0.23555053152415736</v>
      </c>
      <c r="I150" s="32">
        <f t="shared" ref="I150:I213" si="25">((I149+J150)*G150)+I149+J150</f>
        <v>60448.514322903757</v>
      </c>
      <c r="J150" s="47">
        <v>0</v>
      </c>
      <c r="K150" s="24">
        <v>-6.2399999999999997E-2</v>
      </c>
      <c r="L150" s="38">
        <f t="shared" si="22"/>
        <v>0.28649958317201535</v>
      </c>
      <c r="M150" s="32">
        <f t="shared" ref="M150:M213" si="26">((M149+N150)*K150)+M149+N150</f>
        <v>73523.392389812521</v>
      </c>
      <c r="N150" s="47">
        <v>0</v>
      </c>
      <c r="O150" s="27">
        <v>-1.7399999999999999E-2</v>
      </c>
      <c r="P150" s="38">
        <f t="shared" si="23"/>
        <v>0.22219756404851487</v>
      </c>
      <c r="Q150" s="31">
        <f t="shared" ref="Q150:Q213" si="27">((Q149+R150)*O150)+Q149+R150</f>
        <v>57021.78868368837</v>
      </c>
      <c r="R150" s="47">
        <v>0</v>
      </c>
      <c r="S150" s="37">
        <f t="shared" si="24"/>
        <v>256626.52481301804</v>
      </c>
      <c r="T150" s="40">
        <f t="shared" ref="T150:T213" si="28">S150/S149-1</f>
        <v>-4.2383119886002962E-2</v>
      </c>
    </row>
    <row r="151" spans="2:20" x14ac:dyDescent="0.35">
      <c r="B151" s="11" t="s">
        <v>155</v>
      </c>
      <c r="C151" s="20">
        <v>9.7900000000000001E-2</v>
      </c>
      <c r="D151" s="38">
        <f t="shared" si="20"/>
        <v>0.2739702494332657</v>
      </c>
      <c r="E151" s="32">
        <f t="shared" ref="E151:E214" si="29">((E150+F151)*C151)+E150+F151</f>
        <v>72058.28341649982</v>
      </c>
      <c r="F151" s="47">
        <v>0</v>
      </c>
      <c r="G151" s="15">
        <v>-2.4799999999999999E-2</v>
      </c>
      <c r="H151" s="38">
        <f t="shared" si="21"/>
        <v>0.22412939410175653</v>
      </c>
      <c r="I151" s="32">
        <f t="shared" si="25"/>
        <v>58949.391167695743</v>
      </c>
      <c r="J151" s="47">
        <v>0</v>
      </c>
      <c r="K151" s="24">
        <v>-2.75E-2</v>
      </c>
      <c r="L151" s="38">
        <f t="shared" si="22"/>
        <v>0.27185331948311875</v>
      </c>
      <c r="M151" s="32">
        <f t="shared" si="26"/>
        <v>71501.499099092674</v>
      </c>
      <c r="N151" s="47">
        <v>0</v>
      </c>
      <c r="O151" s="26">
        <v>6.1100000000000002E-2</v>
      </c>
      <c r="P151" s="38">
        <f t="shared" si="23"/>
        <v>0.23004703698185908</v>
      </c>
      <c r="Q151" s="31">
        <f t="shared" si="27"/>
        <v>60505.819972261728</v>
      </c>
      <c r="R151" s="47">
        <v>0</v>
      </c>
      <c r="S151" s="37">
        <f t="shared" si="24"/>
        <v>263014.99365554994</v>
      </c>
      <c r="T151" s="40">
        <f t="shared" si="28"/>
        <v>2.4894031695229524E-2</v>
      </c>
    </row>
    <row r="152" spans="2:20" x14ac:dyDescent="0.35">
      <c r="B152" s="10" t="s">
        <v>156</v>
      </c>
      <c r="C152" s="15">
        <v>-2.5000000000000001E-2</v>
      </c>
      <c r="D152" s="38">
        <f t="shared" si="20"/>
        <v>0.27948735583534162</v>
      </c>
      <c r="E152" s="32">
        <f t="shared" si="29"/>
        <v>70256.82633108733</v>
      </c>
      <c r="F152" s="47">
        <v>0</v>
      </c>
      <c r="G152" s="15">
        <v>-6.0600000000000001E-2</v>
      </c>
      <c r="H152" s="38">
        <f t="shared" si="21"/>
        <v>0.22029443030934445</v>
      </c>
      <c r="I152" s="32">
        <f t="shared" si="25"/>
        <v>55377.058062933378</v>
      </c>
      <c r="J152" s="47">
        <v>0</v>
      </c>
      <c r="K152" s="24">
        <v>-5.1299999999999998E-2</v>
      </c>
      <c r="L152" s="38">
        <f t="shared" si="22"/>
        <v>0.26984705645048923</v>
      </c>
      <c r="M152" s="32">
        <f t="shared" si="26"/>
        <v>67833.472195309223</v>
      </c>
      <c r="N152" s="47">
        <v>0</v>
      </c>
      <c r="O152" s="27">
        <v>-4.2900000000000001E-2</v>
      </c>
      <c r="P152" s="38">
        <f t="shared" si="23"/>
        <v>0.23037115740482464</v>
      </c>
      <c r="Q152" s="31">
        <f t="shared" si="27"/>
        <v>57910.120295451699</v>
      </c>
      <c r="R152" s="47">
        <v>0</v>
      </c>
      <c r="S152" s="37">
        <f t="shared" si="24"/>
        <v>251377.47688478164</v>
      </c>
      <c r="T152" s="40">
        <f t="shared" si="28"/>
        <v>-4.4246590694403731E-2</v>
      </c>
    </row>
    <row r="153" spans="2:20" x14ac:dyDescent="0.35">
      <c r="B153" s="9" t="s">
        <v>157</v>
      </c>
      <c r="C153" s="15">
        <v>-2.24E-2</v>
      </c>
      <c r="D153" s="38">
        <f t="shared" si="20"/>
        <v>0.27923917077947957</v>
      </c>
      <c r="E153" s="32">
        <f t="shared" si="29"/>
        <v>68683.073421270979</v>
      </c>
      <c r="F153" s="47">
        <v>0</v>
      </c>
      <c r="G153" s="20">
        <v>1.04E-2</v>
      </c>
      <c r="H153" s="38">
        <f t="shared" si="21"/>
        <v>0.22748346587688228</v>
      </c>
      <c r="I153" s="32">
        <f t="shared" si="25"/>
        <v>55952.979466787889</v>
      </c>
      <c r="J153" s="47">
        <v>0</v>
      </c>
      <c r="K153" s="24">
        <v>-3.1699999999999999E-2</v>
      </c>
      <c r="L153" s="38">
        <f t="shared" si="22"/>
        <v>0.26704263133815576</v>
      </c>
      <c r="M153" s="32">
        <f t="shared" si="26"/>
        <v>65683.151126717916</v>
      </c>
      <c r="N153" s="47">
        <v>0</v>
      </c>
      <c r="O153" s="27">
        <v>-3.9100000000000003E-2</v>
      </c>
      <c r="P153" s="38">
        <f t="shared" si="23"/>
        <v>0.22623473200548236</v>
      </c>
      <c r="Q153" s="31">
        <f t="shared" si="27"/>
        <v>55645.83459189954</v>
      </c>
      <c r="R153" s="47">
        <v>0</v>
      </c>
      <c r="S153" s="37">
        <f t="shared" si="24"/>
        <v>245965.03860667633</v>
      </c>
      <c r="T153" s="40">
        <f t="shared" si="28"/>
        <v>-2.1531118639503632E-2</v>
      </c>
    </row>
    <row r="154" spans="2:20" x14ac:dyDescent="0.35">
      <c r="B154" s="10" t="s">
        <v>158</v>
      </c>
      <c r="C154" s="20">
        <v>3.1600000000000003E-2</v>
      </c>
      <c r="D154" s="38">
        <f t="shared" si="20"/>
        <v>0.28362883028113811</v>
      </c>
      <c r="E154" s="32">
        <f t="shared" si="29"/>
        <v>70853.458541383137</v>
      </c>
      <c r="F154" s="47">
        <v>0</v>
      </c>
      <c r="G154" s="20">
        <v>2.5600000000000001E-2</v>
      </c>
      <c r="H154" s="38">
        <f t="shared" si="21"/>
        <v>0.22971563183745108</v>
      </c>
      <c r="I154" s="32">
        <f t="shared" si="25"/>
        <v>57385.375741137657</v>
      </c>
      <c r="J154" s="47">
        <v>0</v>
      </c>
      <c r="K154" s="25">
        <v>8.0999999999999996E-3</v>
      </c>
      <c r="L154" s="38">
        <f t="shared" si="22"/>
        <v>0.26506166044667334</v>
      </c>
      <c r="M154" s="32">
        <f t="shared" si="26"/>
        <v>66215.184650844327</v>
      </c>
      <c r="N154" s="47">
        <v>0</v>
      </c>
      <c r="O154" s="27">
        <v>-5.1999999999999998E-3</v>
      </c>
      <c r="P154" s="38">
        <f t="shared" si="23"/>
        <v>0.22159387743473741</v>
      </c>
      <c r="Q154" s="31">
        <f t="shared" si="27"/>
        <v>55356.476252021661</v>
      </c>
      <c r="R154" s="47">
        <v>0</v>
      </c>
      <c r="S154" s="37">
        <f t="shared" si="24"/>
        <v>249810.4951853868</v>
      </c>
      <c r="T154" s="40">
        <f t="shared" si="28"/>
        <v>1.5634159230490274E-2</v>
      </c>
    </row>
    <row r="155" spans="2:20" x14ac:dyDescent="0.35">
      <c r="B155" s="11" t="s">
        <v>159</v>
      </c>
      <c r="C155" s="20">
        <v>1.34E-2</v>
      </c>
      <c r="D155" s="38">
        <f t="shared" si="20"/>
        <v>0.28417290765750158</v>
      </c>
      <c r="E155" s="32">
        <f t="shared" si="29"/>
        <v>71802.894885837668</v>
      </c>
      <c r="F155" s="47">
        <v>0</v>
      </c>
      <c r="G155" s="20">
        <v>1.43E-2</v>
      </c>
      <c r="H155" s="38">
        <f t="shared" si="21"/>
        <v>0.23036069068718681</v>
      </c>
      <c r="I155" s="32">
        <f t="shared" si="25"/>
        <v>58205.986614235924</v>
      </c>
      <c r="J155" s="47">
        <v>0</v>
      </c>
      <c r="K155" s="25">
        <v>5.3E-3</v>
      </c>
      <c r="L155" s="38">
        <f t="shared" si="22"/>
        <v>0.26344744678633242</v>
      </c>
      <c r="M155" s="32">
        <f t="shared" si="26"/>
        <v>66566.125129493797</v>
      </c>
      <c r="N155" s="47">
        <v>0</v>
      </c>
      <c r="O155" s="26">
        <v>1.34E-2</v>
      </c>
      <c r="P155" s="38">
        <f t="shared" si="23"/>
        <v>0.22201895486897921</v>
      </c>
      <c r="Q155" s="31">
        <f t="shared" si="27"/>
        <v>56098.253033798748</v>
      </c>
      <c r="R155" s="47">
        <v>0</v>
      </c>
      <c r="S155" s="37">
        <f t="shared" si="24"/>
        <v>252673.25966336613</v>
      </c>
      <c r="T155" s="40">
        <f t="shared" si="28"/>
        <v>1.1459744619035428E-2</v>
      </c>
    </row>
    <row r="156" spans="2:20" x14ac:dyDescent="0.35">
      <c r="B156" s="10" t="s">
        <v>160</v>
      </c>
      <c r="C156" s="20">
        <v>1.89E-2</v>
      </c>
      <c r="D156" s="38">
        <f t="shared" si="20"/>
        <v>0.28396901915613132</v>
      </c>
      <c r="E156" s="32">
        <f t="shared" si="29"/>
        <v>73159.969599179996</v>
      </c>
      <c r="F156" s="47">
        <v>0</v>
      </c>
      <c r="G156" s="20">
        <v>2.52E-2</v>
      </c>
      <c r="H156" s="38">
        <f t="shared" si="21"/>
        <v>0.2316187415505907</v>
      </c>
      <c r="I156" s="32">
        <f t="shared" si="25"/>
        <v>59672.777476914671</v>
      </c>
      <c r="J156" s="47">
        <v>0</v>
      </c>
      <c r="K156" s="25">
        <v>2.35E-2</v>
      </c>
      <c r="L156" s="38">
        <f t="shared" si="22"/>
        <v>0.26444695403374802</v>
      </c>
      <c r="M156" s="32">
        <f t="shared" si="26"/>
        <v>68130.429070036902</v>
      </c>
      <c r="N156" s="47">
        <v>0</v>
      </c>
      <c r="O156" s="26">
        <v>1.0200000000000001E-2</v>
      </c>
      <c r="P156" s="38">
        <f t="shared" si="23"/>
        <v>0.2199652852595301</v>
      </c>
      <c r="Q156" s="31">
        <f t="shared" si="27"/>
        <v>56670.455214743495</v>
      </c>
      <c r="R156" s="47">
        <v>0</v>
      </c>
      <c r="S156" s="37">
        <f t="shared" si="24"/>
        <v>257633.63136087504</v>
      </c>
      <c r="T156" s="40">
        <f t="shared" si="28"/>
        <v>1.9631565699186115E-2</v>
      </c>
    </row>
    <row r="157" spans="2:20" x14ac:dyDescent="0.35">
      <c r="B157" s="11" t="s">
        <v>161</v>
      </c>
      <c r="C157" s="20">
        <v>3.5400000000000001E-2</v>
      </c>
      <c r="D157" s="38">
        <f t="shared" si="20"/>
        <v>0.28504280650276292</v>
      </c>
      <c r="E157" s="32">
        <f t="shared" si="29"/>
        <v>75749.832522990968</v>
      </c>
      <c r="F157" s="47">
        <v>0</v>
      </c>
      <c r="G157" s="20">
        <v>2.4E-2</v>
      </c>
      <c r="H157" s="38">
        <f t="shared" si="21"/>
        <v>0.22993475347526643</v>
      </c>
      <c r="I157" s="32">
        <f t="shared" si="25"/>
        <v>61104.92413636062</v>
      </c>
      <c r="J157" s="47">
        <v>0</v>
      </c>
      <c r="K157" s="25">
        <v>4.07E-2</v>
      </c>
      <c r="L157" s="38">
        <f t="shared" si="22"/>
        <v>0.26680568983090891</v>
      </c>
      <c r="M157" s="32">
        <f t="shared" si="26"/>
        <v>70903.337533187398</v>
      </c>
      <c r="N157" s="47">
        <v>0</v>
      </c>
      <c r="O157" s="26">
        <v>2.3300000000000001E-2</v>
      </c>
      <c r="P157" s="38">
        <f t="shared" si="23"/>
        <v>0.2182167501910616</v>
      </c>
      <c r="Q157" s="31">
        <f t="shared" si="27"/>
        <v>57990.876821247017</v>
      </c>
      <c r="R157" s="47">
        <v>0</v>
      </c>
      <c r="S157" s="37">
        <f t="shared" si="24"/>
        <v>265748.97101378604</v>
      </c>
      <c r="T157" s="40">
        <f t="shared" si="28"/>
        <v>3.1499535251062083E-2</v>
      </c>
    </row>
    <row r="158" spans="2:20" x14ac:dyDescent="0.35">
      <c r="B158" s="10" t="s">
        <v>162</v>
      </c>
      <c r="C158" s="20">
        <v>1.9300000000000001E-2</v>
      </c>
      <c r="D158" s="38">
        <f t="shared" si="20"/>
        <v>0.28695989240185144</v>
      </c>
      <c r="E158" s="32">
        <f t="shared" si="29"/>
        <v>77211.804290684697</v>
      </c>
      <c r="F158" s="47">
        <v>0</v>
      </c>
      <c r="G158" s="15">
        <v>-7.3000000000000001E-3</v>
      </c>
      <c r="H158" s="38">
        <f t="shared" si="21"/>
        <v>0.22544039191127943</v>
      </c>
      <c r="I158" s="32">
        <f t="shared" si="25"/>
        <v>60658.858190165185</v>
      </c>
      <c r="J158" s="47">
        <v>0</v>
      </c>
      <c r="K158" s="25">
        <v>2.0299999999999999E-2</v>
      </c>
      <c r="L158" s="38">
        <f t="shared" si="22"/>
        <v>0.26886363434434213</v>
      </c>
      <c r="M158" s="32">
        <f t="shared" si="26"/>
        <v>72342.675285111109</v>
      </c>
      <c r="N158" s="47">
        <v>0</v>
      </c>
      <c r="O158" s="26">
        <v>1.49E-2</v>
      </c>
      <c r="P158" s="38">
        <f t="shared" si="23"/>
        <v>0.21873608134252698</v>
      </c>
      <c r="Q158" s="31">
        <f t="shared" si="27"/>
        <v>58854.940885883596</v>
      </c>
      <c r="R158" s="47">
        <v>0</v>
      </c>
      <c r="S158" s="37">
        <f t="shared" si="24"/>
        <v>269068.27865184459</v>
      </c>
      <c r="T158" s="40">
        <f t="shared" si="28"/>
        <v>1.2490387546548076E-2</v>
      </c>
    </row>
    <row r="159" spans="2:20" x14ac:dyDescent="0.35">
      <c r="B159" s="11" t="s">
        <v>163</v>
      </c>
      <c r="C159" s="15">
        <v>-3.39E-2</v>
      </c>
      <c r="D159" s="38">
        <f t="shared" si="20"/>
        <v>0.29012519422268401</v>
      </c>
      <c r="E159" s="32">
        <f t="shared" si="29"/>
        <v>74594.324125230487</v>
      </c>
      <c r="F159" s="47">
        <v>0</v>
      </c>
      <c r="G159" s="15">
        <v>-3.1099999999999999E-2</v>
      </c>
      <c r="H159" s="38">
        <f t="shared" si="21"/>
        <v>0.22858769476071947</v>
      </c>
      <c r="I159" s="32">
        <f t="shared" si="25"/>
        <v>58772.367700451046</v>
      </c>
      <c r="J159" s="47">
        <v>0</v>
      </c>
      <c r="K159" s="24">
        <v>-6.0400000000000002E-2</v>
      </c>
      <c r="L159" s="38">
        <f t="shared" si="22"/>
        <v>0.26437308217212202</v>
      </c>
      <c r="M159" s="32">
        <f t="shared" si="26"/>
        <v>67973.177697890394</v>
      </c>
      <c r="N159" s="47">
        <v>0</v>
      </c>
      <c r="O159" s="27">
        <v>-5.2400000000000002E-2</v>
      </c>
      <c r="P159" s="38">
        <f t="shared" si="23"/>
        <v>0.21691402884447453</v>
      </c>
      <c r="Q159" s="31">
        <f t="shared" si="27"/>
        <v>55770.941983463294</v>
      </c>
      <c r="R159" s="47">
        <v>0</v>
      </c>
      <c r="S159" s="37">
        <f t="shared" si="24"/>
        <v>257110.81150703522</v>
      </c>
      <c r="T159" s="40">
        <f t="shared" si="28"/>
        <v>-4.4440270717610253E-2</v>
      </c>
    </row>
    <row r="160" spans="2:20" x14ac:dyDescent="0.35">
      <c r="B160" s="10" t="s">
        <v>164</v>
      </c>
      <c r="C160" s="20">
        <v>9.7000000000000003E-3</v>
      </c>
      <c r="D160" s="38">
        <f t="shared" si="20"/>
        <v>0.28515103326680752</v>
      </c>
      <c r="E160" s="32">
        <f t="shared" si="29"/>
        <v>75317.889069245226</v>
      </c>
      <c r="F160" s="47">
        <v>0</v>
      </c>
      <c r="G160" s="20">
        <v>5.0299999999999997E-2</v>
      </c>
      <c r="H160" s="38">
        <f t="shared" si="21"/>
        <v>0.2337025023419973</v>
      </c>
      <c r="I160" s="32">
        <f t="shared" si="25"/>
        <v>61728.617795783735</v>
      </c>
      <c r="J160" s="47">
        <v>0</v>
      </c>
      <c r="K160" s="25">
        <v>4.1300000000000003E-2</v>
      </c>
      <c r="L160" s="38">
        <f t="shared" si="22"/>
        <v>0.26797251472404776</v>
      </c>
      <c r="M160" s="32">
        <f t="shared" si="26"/>
        <v>70780.469936813271</v>
      </c>
      <c r="N160" s="47">
        <v>0</v>
      </c>
      <c r="O160" s="26">
        <v>9.5999999999999992E-3</v>
      </c>
      <c r="P160" s="38">
        <f t="shared" si="23"/>
        <v>0.21317394966714739</v>
      </c>
      <c r="Q160" s="31">
        <f t="shared" si="27"/>
        <v>56306.343026504539</v>
      </c>
      <c r="R160" s="47">
        <v>0</v>
      </c>
      <c r="S160" s="37">
        <f t="shared" si="24"/>
        <v>264133.31982834678</v>
      </c>
      <c r="T160" s="40">
        <f t="shared" si="28"/>
        <v>2.7313158401039761E-2</v>
      </c>
    </row>
    <row r="161" spans="2:20" x14ac:dyDescent="0.35">
      <c r="B161" s="11" t="s">
        <v>165</v>
      </c>
      <c r="C161" s="20">
        <v>2.64E-2</v>
      </c>
      <c r="D161" s="38">
        <f t="shared" si="20"/>
        <v>0.29314596899306022</v>
      </c>
      <c r="E161" s="32">
        <f t="shared" si="29"/>
        <v>77306.281340673304</v>
      </c>
      <c r="F161" s="47">
        <v>0</v>
      </c>
      <c r="G161" s="15">
        <v>-2.4199999999999999E-2</v>
      </c>
      <c r="H161" s="38">
        <f t="shared" si="21"/>
        <v>0.22841073430964609</v>
      </c>
      <c r="I161" s="32">
        <f t="shared" si="25"/>
        <v>60234.785245125771</v>
      </c>
      <c r="J161" s="47">
        <v>0</v>
      </c>
      <c r="K161" s="24">
        <v>-1.8499999999999999E-2</v>
      </c>
      <c r="L161" s="38">
        <f t="shared" si="22"/>
        <v>0.26343464486315199</v>
      </c>
      <c r="M161" s="32">
        <f t="shared" si="26"/>
        <v>69471.031242982222</v>
      </c>
      <c r="N161" s="47">
        <v>0</v>
      </c>
      <c r="O161" s="26">
        <v>7.0000000000000001E-3</v>
      </c>
      <c r="P161" s="38">
        <f t="shared" si="23"/>
        <v>0.21500865183414175</v>
      </c>
      <c r="Q161" s="31">
        <f t="shared" si="27"/>
        <v>56700.487427690074</v>
      </c>
      <c r="R161" s="47">
        <v>0</v>
      </c>
      <c r="S161" s="37">
        <f t="shared" si="24"/>
        <v>263712.58525647136</v>
      </c>
      <c r="T161" s="40">
        <f t="shared" si="28"/>
        <v>-1.5928871531575295E-3</v>
      </c>
    </row>
    <row r="162" spans="2:20" x14ac:dyDescent="0.35">
      <c r="B162" s="10" t="s">
        <v>166</v>
      </c>
      <c r="C162" s="20">
        <v>5.6399999999999999E-2</v>
      </c>
      <c r="D162" s="38">
        <f t="shared" si="20"/>
        <v>0.2983814228085338</v>
      </c>
      <c r="E162" s="32">
        <f t="shared" si="29"/>
        <v>81666.355608287282</v>
      </c>
      <c r="F162" s="47">
        <v>0</v>
      </c>
      <c r="G162" s="20">
        <v>2.6100000000000002E-2</v>
      </c>
      <c r="H162" s="38">
        <f t="shared" si="21"/>
        <v>0.22582169296963514</v>
      </c>
      <c r="I162" s="32">
        <f t="shared" si="25"/>
        <v>61806.913140023556</v>
      </c>
      <c r="J162" s="47">
        <v>0</v>
      </c>
      <c r="K162" s="25">
        <v>3.1E-2</v>
      </c>
      <c r="L162" s="38">
        <f t="shared" si="22"/>
        <v>0.26169234327413027</v>
      </c>
      <c r="M162" s="32">
        <f t="shared" si="26"/>
        <v>71624.633211514665</v>
      </c>
      <c r="N162" s="47">
        <v>0</v>
      </c>
      <c r="O162" s="26">
        <v>3.3500000000000002E-2</v>
      </c>
      <c r="P162" s="38">
        <f t="shared" si="23"/>
        <v>0.21410454094770073</v>
      </c>
      <c r="Q162" s="31">
        <f t="shared" si="27"/>
        <v>58599.953756517694</v>
      </c>
      <c r="R162" s="47">
        <v>0</v>
      </c>
      <c r="S162" s="37">
        <f t="shared" si="24"/>
        <v>273697.85571634321</v>
      </c>
      <c r="T162" s="40">
        <f t="shared" si="28"/>
        <v>3.7864216643891835E-2</v>
      </c>
    </row>
    <row r="163" spans="2:20" x14ac:dyDescent="0.35">
      <c r="B163" s="11" t="s">
        <v>167</v>
      </c>
      <c r="C163" s="20">
        <v>1.47E-2</v>
      </c>
      <c r="D163" s="38">
        <f t="shared" si="20"/>
        <v>0.30358446587553495</v>
      </c>
      <c r="E163" s="32">
        <f t="shared" si="29"/>
        <v>82866.851035729109</v>
      </c>
      <c r="F163" s="47">
        <v>0</v>
      </c>
      <c r="G163" s="15">
        <v>-9.9000000000000008E-3</v>
      </c>
      <c r="H163" s="38">
        <f t="shared" si="21"/>
        <v>0.22418927056562771</v>
      </c>
      <c r="I163" s="32">
        <f t="shared" si="25"/>
        <v>61195.024699937327</v>
      </c>
      <c r="J163" s="47">
        <v>0</v>
      </c>
      <c r="K163" s="24">
        <v>-7.7000000000000002E-3</v>
      </c>
      <c r="L163" s="38">
        <f t="shared" si="22"/>
        <v>0.26037789510566089</v>
      </c>
      <c r="M163" s="32">
        <f t="shared" si="26"/>
        <v>71073.123535785999</v>
      </c>
      <c r="N163" s="47">
        <v>0</v>
      </c>
      <c r="O163" s="27">
        <v>-1.32E-2</v>
      </c>
      <c r="P163" s="38">
        <f t="shared" si="23"/>
        <v>0.21184836845317642</v>
      </c>
      <c r="Q163" s="31">
        <f t="shared" si="27"/>
        <v>57826.434366931659</v>
      </c>
      <c r="R163" s="47">
        <v>0</v>
      </c>
      <c r="S163" s="37">
        <f t="shared" si="24"/>
        <v>272961.4336383841</v>
      </c>
      <c r="T163" s="40">
        <f t="shared" si="28"/>
        <v>-2.6906388288344685E-3</v>
      </c>
    </row>
    <row r="164" spans="2:20" x14ac:dyDescent="0.35">
      <c r="B164" s="10" t="s">
        <v>168</v>
      </c>
      <c r="C164" s="20">
        <v>3.04E-2</v>
      </c>
      <c r="D164" s="38">
        <f t="shared" si="20"/>
        <v>0.30311766766045584</v>
      </c>
      <c r="E164" s="32">
        <f t="shared" si="29"/>
        <v>85386.003307215273</v>
      </c>
      <c r="F164" s="47">
        <v>0</v>
      </c>
      <c r="G164" s="20">
        <v>4.2900000000000001E-2</v>
      </c>
      <c r="H164" s="38">
        <f t="shared" si="21"/>
        <v>0.22656005769947446</v>
      </c>
      <c r="I164" s="32">
        <f t="shared" si="25"/>
        <v>63820.291259564641</v>
      </c>
      <c r="J164" s="47">
        <v>0</v>
      </c>
      <c r="K164" s="25">
        <v>3.4599999999999999E-2</v>
      </c>
      <c r="L164" s="38">
        <f t="shared" si="22"/>
        <v>0.26103722330138063</v>
      </c>
      <c r="M164" s="32">
        <f t="shared" si="26"/>
        <v>73532.2536101242</v>
      </c>
      <c r="N164" s="47">
        <v>0</v>
      </c>
      <c r="O164" s="26">
        <v>1.95E-2</v>
      </c>
      <c r="P164" s="38">
        <f t="shared" si="23"/>
        <v>0.20928505133868919</v>
      </c>
      <c r="Q164" s="31">
        <f t="shared" si="27"/>
        <v>58954.049837086823</v>
      </c>
      <c r="R164" s="47">
        <v>0</v>
      </c>
      <c r="S164" s="37">
        <f t="shared" si="24"/>
        <v>281692.59801399091</v>
      </c>
      <c r="T164" s="40">
        <f t="shared" si="28"/>
        <v>3.1986805825374276E-2</v>
      </c>
    </row>
    <row r="165" spans="2:20" x14ac:dyDescent="0.35">
      <c r="B165" s="9" t="s">
        <v>169</v>
      </c>
      <c r="C165" s="20">
        <v>1.44E-2</v>
      </c>
      <c r="D165" s="38">
        <f t="shared" si="20"/>
        <v>0.31507693419089922</v>
      </c>
      <c r="E165" s="32">
        <f t="shared" si="29"/>
        <v>86615.561754839175</v>
      </c>
      <c r="F165" s="47">
        <v>0</v>
      </c>
      <c r="G165" s="15">
        <v>-8.6999999999999994E-3</v>
      </c>
      <c r="H165" s="38">
        <f t="shared" si="21"/>
        <v>0.23013600651559438</v>
      </c>
      <c r="I165" s="32">
        <f t="shared" si="25"/>
        <v>63265.054725606431</v>
      </c>
      <c r="J165" s="47">
        <v>0</v>
      </c>
      <c r="K165" s="24">
        <v>-7.0800000000000002E-2</v>
      </c>
      <c r="L165" s="38">
        <f t="shared" si="22"/>
        <v>0.24854656310745177</v>
      </c>
      <c r="M165" s="32">
        <f t="shared" si="26"/>
        <v>68326.170054527407</v>
      </c>
      <c r="N165" s="47">
        <v>0</v>
      </c>
      <c r="O165" s="27">
        <v>-3.8300000000000001E-2</v>
      </c>
      <c r="P165" s="38">
        <f t="shared" si="23"/>
        <v>0.20624049618605472</v>
      </c>
      <c r="Q165" s="31">
        <f t="shared" si="27"/>
        <v>56696.109728326395</v>
      </c>
      <c r="R165" s="47">
        <v>0</v>
      </c>
      <c r="S165" s="37">
        <f t="shared" si="24"/>
        <v>274902.89626329939</v>
      </c>
      <c r="T165" s="40">
        <f t="shared" si="28"/>
        <v>-2.4103230963684386E-2</v>
      </c>
    </row>
    <row r="166" spans="2:20" x14ac:dyDescent="0.35">
      <c r="B166" s="10" t="s">
        <v>170</v>
      </c>
      <c r="C166" s="15">
        <v>-1.78E-2</v>
      </c>
      <c r="D166" s="38">
        <f t="shared" si="20"/>
        <v>0.31052132440093333</v>
      </c>
      <c r="E166" s="32">
        <f t="shared" si="29"/>
        <v>85073.804755603036</v>
      </c>
      <c r="F166" s="47">
        <v>0</v>
      </c>
      <c r="G166" s="20">
        <v>2E-3</v>
      </c>
      <c r="H166" s="38">
        <f t="shared" si="21"/>
        <v>0.23138072800910886</v>
      </c>
      <c r="I166" s="32">
        <f t="shared" si="25"/>
        <v>63391.584835057642</v>
      </c>
      <c r="J166" s="47">
        <v>0</v>
      </c>
      <c r="K166" s="24">
        <v>-1.11E-2</v>
      </c>
      <c r="L166" s="38">
        <f t="shared" si="22"/>
        <v>0.24662382436738747</v>
      </c>
      <c r="M166" s="32">
        <f t="shared" si="26"/>
        <v>67567.749566922153</v>
      </c>
      <c r="N166" s="47">
        <v>0</v>
      </c>
      <c r="O166" s="26">
        <v>2.1899999999999999E-2</v>
      </c>
      <c r="P166" s="38">
        <f t="shared" si="23"/>
        <v>0.21147412322257028</v>
      </c>
      <c r="Q166" s="31">
        <f t="shared" si="27"/>
        <v>57937.75453137674</v>
      </c>
      <c r="R166" s="47">
        <v>0</v>
      </c>
      <c r="S166" s="37">
        <f t="shared" si="24"/>
        <v>273970.89368895959</v>
      </c>
      <c r="T166" s="40">
        <f t="shared" si="28"/>
        <v>-3.3902973995848518E-3</v>
      </c>
    </row>
    <row r="167" spans="2:20" x14ac:dyDescent="0.35">
      <c r="B167" s="11" t="s">
        <v>171</v>
      </c>
      <c r="C167" s="15">
        <v>-6.1000000000000004E-3</v>
      </c>
      <c r="D167" s="38">
        <f t="shared" si="20"/>
        <v>0.30233634839403661</v>
      </c>
      <c r="E167" s="32">
        <f t="shared" si="29"/>
        <v>84554.854546593851</v>
      </c>
      <c r="F167" s="47">
        <v>0</v>
      </c>
      <c r="G167" s="20">
        <v>2.6599999999999999E-2</v>
      </c>
      <c r="H167" s="38">
        <f t="shared" si="21"/>
        <v>0.23269373259335785</v>
      </c>
      <c r="I167" s="32">
        <f t="shared" si="25"/>
        <v>65077.800991670178</v>
      </c>
      <c r="J167" s="47">
        <v>0</v>
      </c>
      <c r="K167" s="25">
        <v>4.8399999999999999E-2</v>
      </c>
      <c r="L167" s="38">
        <f t="shared" si="22"/>
        <v>0.25329013955609497</v>
      </c>
      <c r="M167" s="32">
        <f t="shared" si="26"/>
        <v>70838.028645961182</v>
      </c>
      <c r="N167" s="47">
        <v>0</v>
      </c>
      <c r="O167" s="26">
        <v>2.18E-2</v>
      </c>
      <c r="P167" s="38">
        <f t="shared" si="23"/>
        <v>0.21167977945651065</v>
      </c>
      <c r="Q167" s="31">
        <f t="shared" si="27"/>
        <v>59200.797580160754</v>
      </c>
      <c r="R167" s="47">
        <v>0</v>
      </c>
      <c r="S167" s="37">
        <f t="shared" si="24"/>
        <v>279671.48176438594</v>
      </c>
      <c r="T167" s="40">
        <f t="shared" si="28"/>
        <v>2.08072762718301E-2</v>
      </c>
    </row>
    <row r="168" spans="2:20" x14ac:dyDescent="0.35">
      <c r="B168" s="10" t="s">
        <v>172</v>
      </c>
      <c r="C168" s="20">
        <v>4.3499999999999997E-2</v>
      </c>
      <c r="D168" s="38">
        <f t="shared" si="20"/>
        <v>0.30520106518369033</v>
      </c>
      <c r="E168" s="32">
        <f t="shared" si="29"/>
        <v>88232.990719370689</v>
      </c>
      <c r="F168" s="47">
        <v>0</v>
      </c>
      <c r="G168" s="20">
        <v>3.32E-2</v>
      </c>
      <c r="H168" s="38">
        <f t="shared" si="21"/>
        <v>0.23257997089316304</v>
      </c>
      <c r="I168" s="32">
        <f t="shared" si="25"/>
        <v>67238.383984593631</v>
      </c>
      <c r="J168" s="47">
        <v>0</v>
      </c>
      <c r="K168" s="25">
        <v>1.6799999999999999E-2</v>
      </c>
      <c r="L168" s="38">
        <f t="shared" si="22"/>
        <v>0.2491477956401712</v>
      </c>
      <c r="M168" s="32">
        <f t="shared" si="26"/>
        <v>72028.107527213331</v>
      </c>
      <c r="N168" s="47">
        <v>0</v>
      </c>
      <c r="O168" s="26">
        <v>4.0500000000000001E-2</v>
      </c>
      <c r="P168" s="38">
        <f t="shared" si="23"/>
        <v>0.21307116828297562</v>
      </c>
      <c r="Q168" s="31">
        <f t="shared" si="27"/>
        <v>61598.429882157267</v>
      </c>
      <c r="R168" s="47">
        <v>0</v>
      </c>
      <c r="S168" s="37">
        <f t="shared" si="24"/>
        <v>289097.91211333487</v>
      </c>
      <c r="T168" s="40">
        <f t="shared" si="28"/>
        <v>3.3705368489771015E-2</v>
      </c>
    </row>
    <row r="169" spans="2:20" x14ac:dyDescent="0.35">
      <c r="B169" s="11" t="s">
        <v>173</v>
      </c>
      <c r="C169" s="20">
        <v>0.1012</v>
      </c>
      <c r="D169" s="38">
        <f t="shared" si="20"/>
        <v>0.30932154177261595</v>
      </c>
      <c r="E169" s="32">
        <f t="shared" si="29"/>
        <v>97162.169380171006</v>
      </c>
      <c r="F169" s="47">
        <v>0</v>
      </c>
      <c r="G169" s="20">
        <v>6.3500000000000001E-2</v>
      </c>
      <c r="H169" s="38">
        <f t="shared" si="21"/>
        <v>0.22765003663096484</v>
      </c>
      <c r="I169" s="32">
        <f t="shared" si="25"/>
        <v>71508.021367615322</v>
      </c>
      <c r="J169" s="47">
        <v>0</v>
      </c>
      <c r="K169" s="25">
        <v>9.7100000000000006E-2</v>
      </c>
      <c r="L169" s="38">
        <f t="shared" si="22"/>
        <v>0.251571351309404</v>
      </c>
      <c r="M169" s="32">
        <f t="shared" si="26"/>
        <v>79022.03676810574</v>
      </c>
      <c r="N169" s="47">
        <v>0</v>
      </c>
      <c r="O169" s="26">
        <v>7.8299999999999995E-2</v>
      </c>
      <c r="P169" s="38">
        <f t="shared" si="23"/>
        <v>0.21145707028701521</v>
      </c>
      <c r="Q169" s="31">
        <f t="shared" si="27"/>
        <v>66421.586941930174</v>
      </c>
      <c r="R169" s="47">
        <v>0</v>
      </c>
      <c r="S169" s="37">
        <f t="shared" si="24"/>
        <v>314113.81445782224</v>
      </c>
      <c r="T169" s="40">
        <f t="shared" si="28"/>
        <v>8.653089938152303E-2</v>
      </c>
    </row>
    <row r="170" spans="2:20" x14ac:dyDescent="0.35">
      <c r="B170" s="10" t="s">
        <v>174</v>
      </c>
      <c r="C170" s="20">
        <v>4.1799999999999997E-2</v>
      </c>
      <c r="D170" s="38">
        <f t="shared" si="20"/>
        <v>0.31251234473986822</v>
      </c>
      <c r="E170" s="32">
        <f t="shared" si="29"/>
        <v>101223.54806026215</v>
      </c>
      <c r="F170" s="47">
        <v>0</v>
      </c>
      <c r="G170" s="20">
        <v>4.0000000000000002E-4</v>
      </c>
      <c r="H170" s="38">
        <f t="shared" si="21"/>
        <v>0.22085847324540311</v>
      </c>
      <c r="I170" s="32">
        <f t="shared" si="25"/>
        <v>71536.624576162372</v>
      </c>
      <c r="J170" s="47">
        <v>0</v>
      </c>
      <c r="K170" s="25">
        <v>4.1099999999999998E-2</v>
      </c>
      <c r="L170" s="38">
        <f t="shared" si="22"/>
        <v>0.2539956548378593</v>
      </c>
      <c r="M170" s="32">
        <f t="shared" si="26"/>
        <v>82269.842479274885</v>
      </c>
      <c r="N170" s="47">
        <v>0</v>
      </c>
      <c r="O170" s="26">
        <v>3.6900000000000002E-2</v>
      </c>
      <c r="P170" s="38">
        <f t="shared" si="23"/>
        <v>0.21263352717686926</v>
      </c>
      <c r="Q170" s="31">
        <f t="shared" si="27"/>
        <v>68872.543500087399</v>
      </c>
      <c r="R170" s="47">
        <v>0</v>
      </c>
      <c r="S170" s="37">
        <f t="shared" si="24"/>
        <v>323902.55861578684</v>
      </c>
      <c r="T170" s="40">
        <f t="shared" si="28"/>
        <v>3.1163048893155132E-2</v>
      </c>
    </row>
    <row r="171" spans="2:20" x14ac:dyDescent="0.35">
      <c r="B171" s="11" t="s">
        <v>175</v>
      </c>
      <c r="C171" s="20">
        <v>0</v>
      </c>
      <c r="D171" s="38">
        <f t="shared" si="20"/>
        <v>0.3231335751072229</v>
      </c>
      <c r="E171" s="32">
        <f t="shared" si="29"/>
        <v>101223.54806026215</v>
      </c>
      <c r="F171" s="47">
        <v>0</v>
      </c>
      <c r="G171" s="15">
        <v>-5.6899999999999999E-2</v>
      </c>
      <c r="H171" s="38">
        <f t="shared" si="21"/>
        <v>0.21537074917263507</v>
      </c>
      <c r="I171" s="32">
        <f t="shared" si="25"/>
        <v>67466.190637778738</v>
      </c>
      <c r="J171" s="47">
        <v>0</v>
      </c>
      <c r="K171" s="24">
        <v>-5.0799999999999998E-2</v>
      </c>
      <c r="L171" s="38">
        <f t="shared" si="22"/>
        <v>0.24928659459716568</v>
      </c>
      <c r="M171" s="32">
        <f t="shared" si="26"/>
        <v>78090.534481327719</v>
      </c>
      <c r="N171" s="47">
        <v>0</v>
      </c>
      <c r="O171" s="27">
        <v>-3.4799999999999998E-2</v>
      </c>
      <c r="P171" s="38">
        <f t="shared" si="23"/>
        <v>0.21220908112297635</v>
      </c>
      <c r="Q171" s="31">
        <f t="shared" si="27"/>
        <v>66475.778986284364</v>
      </c>
      <c r="R171" s="47">
        <v>0</v>
      </c>
      <c r="S171" s="37">
        <f t="shared" si="24"/>
        <v>313256.05216565297</v>
      </c>
      <c r="T171" s="40">
        <f t="shared" si="28"/>
        <v>-3.286947313918176E-2</v>
      </c>
    </row>
    <row r="172" spans="2:20" x14ac:dyDescent="0.35">
      <c r="B172" s="10" t="s">
        <v>176</v>
      </c>
      <c r="C172" s="20">
        <v>0.14710000000000001</v>
      </c>
      <c r="D172" s="38">
        <f t="shared" si="20"/>
        <v>0.33007499056634959</v>
      </c>
      <c r="E172" s="32">
        <f t="shared" si="29"/>
        <v>116113.53197992672</v>
      </c>
      <c r="F172" s="47">
        <v>0</v>
      </c>
      <c r="G172" s="20">
        <v>9.3200000000000005E-2</v>
      </c>
      <c r="H172" s="38">
        <f t="shared" si="21"/>
        <v>0.20966000699325588</v>
      </c>
      <c r="I172" s="32">
        <f t="shared" si="25"/>
        <v>73754.039605219717</v>
      </c>
      <c r="J172" s="47">
        <v>0</v>
      </c>
      <c r="K172" s="25">
        <v>0.1255</v>
      </c>
      <c r="L172" s="38">
        <f t="shared" si="22"/>
        <v>0.24984673498268484</v>
      </c>
      <c r="M172" s="32">
        <f t="shared" si="26"/>
        <v>87890.896558734355</v>
      </c>
      <c r="N172" s="47">
        <v>0</v>
      </c>
      <c r="O172" s="26">
        <v>0.1135</v>
      </c>
      <c r="P172" s="38">
        <f t="shared" si="23"/>
        <v>0.21041826745770975</v>
      </c>
      <c r="Q172" s="31">
        <f t="shared" si="27"/>
        <v>74020.779901227637</v>
      </c>
      <c r="R172" s="47">
        <v>0</v>
      </c>
      <c r="S172" s="37">
        <f t="shared" si="24"/>
        <v>351779.2480451084</v>
      </c>
      <c r="T172" s="40">
        <f t="shared" si="28"/>
        <v>0.12297670105056402</v>
      </c>
    </row>
    <row r="173" spans="2:20" x14ac:dyDescent="0.35">
      <c r="B173" s="11" t="s">
        <v>177</v>
      </c>
      <c r="C173" s="15">
        <v>-2.8899999999999999E-2</v>
      </c>
      <c r="D173" s="38">
        <f t="shared" si="20"/>
        <v>0.33425572864385555</v>
      </c>
      <c r="E173" s="32">
        <f t="shared" si="29"/>
        <v>112757.85090570683</v>
      </c>
      <c r="F173" s="47">
        <v>0</v>
      </c>
      <c r="G173" s="15">
        <v>-4.2000000000000003E-2</v>
      </c>
      <c r="H173" s="38">
        <f t="shared" si="21"/>
        <v>0.20945145928664582</v>
      </c>
      <c r="I173" s="32">
        <f t="shared" si="25"/>
        <v>70656.369941800484</v>
      </c>
      <c r="J173" s="47">
        <v>0</v>
      </c>
      <c r="K173" s="24">
        <v>-6.2899999999999998E-2</v>
      </c>
      <c r="L173" s="38">
        <f t="shared" si="22"/>
        <v>0.24415290825075395</v>
      </c>
      <c r="M173" s="32">
        <f t="shared" si="26"/>
        <v>82362.559165189959</v>
      </c>
      <c r="N173" s="47">
        <v>0</v>
      </c>
      <c r="O173" s="27">
        <v>-3.32E-2</v>
      </c>
      <c r="P173" s="38">
        <f t="shared" si="23"/>
        <v>0.21213990381874481</v>
      </c>
      <c r="Q173" s="31">
        <f t="shared" si="27"/>
        <v>71563.290008506883</v>
      </c>
      <c r="R173" s="47">
        <v>0</v>
      </c>
      <c r="S173" s="37">
        <f t="shared" si="24"/>
        <v>337340.07002120413</v>
      </c>
      <c r="T173" s="40">
        <f t="shared" si="28"/>
        <v>-4.1046133631091108E-2</v>
      </c>
    </row>
    <row r="174" spans="2:20" x14ac:dyDescent="0.35">
      <c r="B174" s="10" t="s">
        <v>178</v>
      </c>
      <c r="C174" s="15">
        <v>-0.1426</v>
      </c>
      <c r="D174" s="38">
        <f t="shared" si="20"/>
        <v>0.31954119520391439</v>
      </c>
      <c r="E174" s="32">
        <f t="shared" si="29"/>
        <v>96678.58136655303</v>
      </c>
      <c r="F174" s="47">
        <v>0</v>
      </c>
      <c r="G174" s="15">
        <v>-5.96E-2</v>
      </c>
      <c r="H174" s="38">
        <f t="shared" si="21"/>
        <v>0.21961425575572113</v>
      </c>
      <c r="I174" s="32">
        <f t="shared" si="25"/>
        <v>66445.250293269171</v>
      </c>
      <c r="J174" s="47">
        <v>0</v>
      </c>
      <c r="K174" s="24">
        <v>-0.1077</v>
      </c>
      <c r="L174" s="38">
        <f t="shared" si="22"/>
        <v>0.24290547946192453</v>
      </c>
      <c r="M174" s="32">
        <f t="shared" si="26"/>
        <v>73492.111543099003</v>
      </c>
      <c r="N174" s="47">
        <v>0</v>
      </c>
      <c r="O174" s="27">
        <v>-7.8600000000000003E-2</v>
      </c>
      <c r="P174" s="38">
        <f t="shared" si="23"/>
        <v>0.21793906957844009</v>
      </c>
      <c r="Q174" s="31">
        <f t="shared" si="27"/>
        <v>65938.415413838244</v>
      </c>
      <c r="R174" s="47">
        <v>0</v>
      </c>
      <c r="S174" s="37">
        <f t="shared" si="24"/>
        <v>302554.35861675942</v>
      </c>
      <c r="T174" s="40">
        <f t="shared" si="28"/>
        <v>-0.1031176385368574</v>
      </c>
    </row>
    <row r="175" spans="2:20" x14ac:dyDescent="0.35">
      <c r="B175" s="11" t="s">
        <v>179</v>
      </c>
      <c r="C175" s="20">
        <v>6.0400000000000002E-2</v>
      </c>
      <c r="D175" s="38">
        <f t="shared" si="20"/>
        <v>0.3217827535666517</v>
      </c>
      <c r="E175" s="32">
        <f t="shared" si="29"/>
        <v>102517.96768109284</v>
      </c>
      <c r="F175" s="47">
        <v>0</v>
      </c>
      <c r="G175" s="20">
        <v>4.7899999999999998E-2</v>
      </c>
      <c r="H175" s="38">
        <f t="shared" si="21"/>
        <v>0.21854785968609927</v>
      </c>
      <c r="I175" s="32">
        <f t="shared" si="25"/>
        <v>69627.977782316768</v>
      </c>
      <c r="J175" s="47">
        <v>0</v>
      </c>
      <c r="K175" s="25">
        <v>5.7799999999999997E-2</v>
      </c>
      <c r="L175" s="38">
        <f t="shared" si="22"/>
        <v>0.24400968471994305</v>
      </c>
      <c r="M175" s="32">
        <f t="shared" si="26"/>
        <v>77739.955590290119</v>
      </c>
      <c r="N175" s="47">
        <v>0</v>
      </c>
      <c r="O175" s="26">
        <v>4.2000000000000003E-2</v>
      </c>
      <c r="P175" s="38">
        <f t="shared" si="23"/>
        <v>0.21565970202730589</v>
      </c>
      <c r="Q175" s="31">
        <f t="shared" si="27"/>
        <v>68707.828861219445</v>
      </c>
      <c r="R175" s="47">
        <v>0</v>
      </c>
      <c r="S175" s="37">
        <f t="shared" si="24"/>
        <v>318593.72991491918</v>
      </c>
      <c r="T175" s="40">
        <f t="shared" si="28"/>
        <v>5.30131886762093E-2</v>
      </c>
    </row>
    <row r="176" spans="2:20" x14ac:dyDescent="0.35">
      <c r="B176" s="10" t="s">
        <v>180</v>
      </c>
      <c r="C176" s="15">
        <v>-8.5000000000000006E-2</v>
      </c>
      <c r="D176" s="38">
        <f t="shared" si="20"/>
        <v>0.29402408970736005</v>
      </c>
      <c r="E176" s="32">
        <f t="shared" si="29"/>
        <v>93803.940428199945</v>
      </c>
      <c r="F176" s="47">
        <v>0</v>
      </c>
      <c r="G176" s="20">
        <v>5.7000000000000002E-2</v>
      </c>
      <c r="H176" s="38">
        <f t="shared" si="21"/>
        <v>0.23068566145100261</v>
      </c>
      <c r="I176" s="32">
        <f t="shared" si="25"/>
        <v>73596.77251590883</v>
      </c>
      <c r="J176" s="47">
        <v>0</v>
      </c>
      <c r="K176" s="25">
        <v>6.1499999999999999E-2</v>
      </c>
      <c r="L176" s="38">
        <f t="shared" si="22"/>
        <v>0.25865812113715358</v>
      </c>
      <c r="M176" s="32">
        <f t="shared" si="26"/>
        <v>82520.962859092964</v>
      </c>
      <c r="N176" s="47">
        <v>0</v>
      </c>
      <c r="O176" s="26">
        <v>5.8999999999999999E-3</v>
      </c>
      <c r="P176" s="38">
        <f t="shared" si="23"/>
        <v>0.21663212770448373</v>
      </c>
      <c r="Q176" s="31">
        <f t="shared" si="27"/>
        <v>69113.205051500641</v>
      </c>
      <c r="R176" s="47">
        <v>0</v>
      </c>
      <c r="S176" s="37">
        <f t="shared" si="24"/>
        <v>319034.88085470238</v>
      </c>
      <c r="T176" s="40">
        <f t="shared" si="28"/>
        <v>1.3846818011797879E-3</v>
      </c>
    </row>
    <row r="177" spans="2:20" x14ac:dyDescent="0.35">
      <c r="B177" s="9" t="s">
        <v>181</v>
      </c>
      <c r="C177" s="20">
        <v>2.4299999999999999E-2</v>
      </c>
      <c r="D177" s="38">
        <f t="shared" si="20"/>
        <v>0.30746267949795214</v>
      </c>
      <c r="E177" s="32">
        <f t="shared" si="29"/>
        <v>96083.376180605206</v>
      </c>
      <c r="F177" s="47">
        <v>0</v>
      </c>
      <c r="G177" s="15">
        <v>-2.1499999999999998E-2</v>
      </c>
      <c r="H177" s="38">
        <f t="shared" si="21"/>
        <v>0.23044312295604891</v>
      </c>
      <c r="I177" s="32">
        <f t="shared" si="25"/>
        <v>72014.441906816792</v>
      </c>
      <c r="J177" s="47">
        <v>0</v>
      </c>
      <c r="K177" s="24">
        <v>-4.6800000000000001E-2</v>
      </c>
      <c r="L177" s="38">
        <f t="shared" si="22"/>
        <v>0.25170536539552207</v>
      </c>
      <c r="M177" s="32">
        <f t="shared" si="26"/>
        <v>78658.981797287415</v>
      </c>
      <c r="N177" s="47">
        <v>0</v>
      </c>
      <c r="O177" s="27">
        <v>-4.87E-2</v>
      </c>
      <c r="P177" s="38">
        <f t="shared" si="23"/>
        <v>0.21038883215047682</v>
      </c>
      <c r="Q177" s="31">
        <f t="shared" si="27"/>
        <v>65747.391965492556</v>
      </c>
      <c r="R177" s="47">
        <v>0</v>
      </c>
      <c r="S177" s="37">
        <f t="shared" si="24"/>
        <v>312504.19185020198</v>
      </c>
      <c r="T177" s="40">
        <f t="shared" si="28"/>
        <v>-2.0470141029734767E-2</v>
      </c>
    </row>
    <row r="178" spans="2:20" x14ac:dyDescent="0.35">
      <c r="B178" s="10" t="s">
        <v>182</v>
      </c>
      <c r="C178" s="20">
        <v>4.0899999999999999E-2</v>
      </c>
      <c r="D178" s="38">
        <f t="shared" si="20"/>
        <v>0.31544739150866452</v>
      </c>
      <c r="E178" s="32">
        <f t="shared" si="29"/>
        <v>100013.18626639196</v>
      </c>
      <c r="F178" s="47">
        <v>0</v>
      </c>
      <c r="G178" s="20">
        <v>4.5999999999999999E-3</v>
      </c>
      <c r="H178" s="38">
        <f t="shared" si="21"/>
        <v>0.22818256106533513</v>
      </c>
      <c r="I178" s="32">
        <f t="shared" si="25"/>
        <v>72345.708339588149</v>
      </c>
      <c r="J178" s="47">
        <v>0</v>
      </c>
      <c r="K178" s="24">
        <v>-5.3E-3</v>
      </c>
      <c r="L178" s="38">
        <f t="shared" si="22"/>
        <v>0.24678008834375292</v>
      </c>
      <c r="M178" s="32">
        <f t="shared" si="26"/>
        <v>78242.089193761785</v>
      </c>
      <c r="N178" s="47">
        <v>0</v>
      </c>
      <c r="O178" s="26">
        <v>1.0699999999999999E-2</v>
      </c>
      <c r="P178" s="38">
        <f t="shared" si="23"/>
        <v>0.20958995908224748</v>
      </c>
      <c r="Q178" s="31">
        <f t="shared" si="27"/>
        <v>66450.889059523324</v>
      </c>
      <c r="R178" s="47">
        <v>0</v>
      </c>
      <c r="S178" s="37">
        <f t="shared" si="24"/>
        <v>317051.87285926519</v>
      </c>
      <c r="T178" s="40">
        <f t="shared" si="28"/>
        <v>1.4552384024477671E-2</v>
      </c>
    </row>
    <row r="179" spans="2:20" x14ac:dyDescent="0.35">
      <c r="B179" s="11" t="s">
        <v>183</v>
      </c>
      <c r="C179" s="20">
        <v>6.59E-2</v>
      </c>
      <c r="D179" s="38">
        <f t="shared" si="20"/>
        <v>0.3163092608318957</v>
      </c>
      <c r="E179" s="32">
        <f t="shared" si="29"/>
        <v>106604.05524134719</v>
      </c>
      <c r="F179" s="47">
        <v>0</v>
      </c>
      <c r="G179" s="20">
        <v>3.0300000000000001E-2</v>
      </c>
      <c r="H179" s="38">
        <f t="shared" si="21"/>
        <v>0.22116411131841218</v>
      </c>
      <c r="I179" s="32">
        <f t="shared" si="25"/>
        <v>74537.783302277676</v>
      </c>
      <c r="J179" s="47">
        <v>0</v>
      </c>
      <c r="K179" s="25">
        <v>0.1031</v>
      </c>
      <c r="L179" s="38">
        <f t="shared" si="22"/>
        <v>0.25609052149877293</v>
      </c>
      <c r="M179" s="32">
        <f t="shared" si="26"/>
        <v>86308.848589638626</v>
      </c>
      <c r="N179" s="47">
        <v>0</v>
      </c>
      <c r="O179" s="26">
        <v>4.7E-2</v>
      </c>
      <c r="P179" s="38">
        <f t="shared" si="23"/>
        <v>0.20643610635091922</v>
      </c>
      <c r="Q179" s="31">
        <f t="shared" si="27"/>
        <v>69574.080845320917</v>
      </c>
      <c r="R179" s="47">
        <v>0</v>
      </c>
      <c r="S179" s="37">
        <f t="shared" si="24"/>
        <v>337024.76797858439</v>
      </c>
      <c r="T179" s="40">
        <f t="shared" si="28"/>
        <v>6.2995669885807182E-2</v>
      </c>
    </row>
    <row r="180" spans="2:20" x14ac:dyDescent="0.35">
      <c r="B180" s="10" t="s">
        <v>184</v>
      </c>
      <c r="C180" s="20">
        <v>5.0999999999999997E-2</v>
      </c>
      <c r="D180" s="38">
        <f t="shared" si="20"/>
        <v>0.32701375252791082</v>
      </c>
      <c r="E180" s="32">
        <f t="shared" si="29"/>
        <v>112040.8620586559</v>
      </c>
      <c r="F180" s="47">
        <v>0</v>
      </c>
      <c r="G180" s="20">
        <v>4.4999999999999997E-3</v>
      </c>
      <c r="H180" s="38">
        <f t="shared" si="21"/>
        <v>0.21853247765064865</v>
      </c>
      <c r="I180" s="32">
        <f t="shared" si="25"/>
        <v>74873.203327137919</v>
      </c>
      <c r="J180" s="47">
        <v>0</v>
      </c>
      <c r="K180" s="24">
        <v>-1.11E-2</v>
      </c>
      <c r="L180" s="38">
        <f t="shared" si="22"/>
        <v>0.24911350678481389</v>
      </c>
      <c r="M180" s="32">
        <f t="shared" si="26"/>
        <v>85350.820370293644</v>
      </c>
      <c r="N180" s="47">
        <v>0</v>
      </c>
      <c r="O180" s="26">
        <v>1.12E-2</v>
      </c>
      <c r="P180" s="38">
        <f t="shared" si="23"/>
        <v>0.20534026303662667</v>
      </c>
      <c r="Q180" s="31">
        <f t="shared" si="27"/>
        <v>70353.310550788505</v>
      </c>
      <c r="R180" s="47">
        <v>0</v>
      </c>
      <c r="S180" s="37">
        <f t="shared" si="24"/>
        <v>342618.19630687597</v>
      </c>
      <c r="T180" s="40">
        <f t="shared" si="28"/>
        <v>1.6596490405853537E-2</v>
      </c>
    </row>
    <row r="181" spans="2:20" x14ac:dyDescent="0.35">
      <c r="B181" s="11" t="s">
        <v>185</v>
      </c>
      <c r="C181" s="15">
        <v>-5.6899999999999999E-2</v>
      </c>
      <c r="D181" s="38">
        <f t="shared" si="20"/>
        <v>0.30589014368493195</v>
      </c>
      <c r="E181" s="32">
        <f t="shared" si="29"/>
        <v>105665.73700751837</v>
      </c>
      <c r="F181" s="47">
        <v>0</v>
      </c>
      <c r="G181" s="20">
        <v>2.6700000000000002E-2</v>
      </c>
      <c r="H181" s="38">
        <f t="shared" si="21"/>
        <v>0.22253651013368769</v>
      </c>
      <c r="I181" s="32">
        <f t="shared" si="25"/>
        <v>76872.317855972506</v>
      </c>
      <c r="J181" s="47">
        <v>0</v>
      </c>
      <c r="K181" s="25">
        <v>7.6300000000000007E-2</v>
      </c>
      <c r="L181" s="38">
        <f t="shared" si="22"/>
        <v>0.26593306375951797</v>
      </c>
      <c r="M181" s="32">
        <f t="shared" si="26"/>
        <v>91863.087964547056</v>
      </c>
      <c r="N181" s="47">
        <v>0</v>
      </c>
      <c r="O181" s="26">
        <v>9.7000000000000003E-3</v>
      </c>
      <c r="P181" s="38">
        <f t="shared" si="23"/>
        <v>0.20564028242186244</v>
      </c>
      <c r="Q181" s="31">
        <f t="shared" si="27"/>
        <v>71035.737663131149</v>
      </c>
      <c r="R181" s="47">
        <v>0</v>
      </c>
      <c r="S181" s="37">
        <f t="shared" si="24"/>
        <v>345436.88049116905</v>
      </c>
      <c r="T181" s="40">
        <f t="shared" si="28"/>
        <v>8.2268957535707177E-3</v>
      </c>
    </row>
    <row r="182" spans="2:20" x14ac:dyDescent="0.35">
      <c r="B182" s="10" t="s">
        <v>186</v>
      </c>
      <c r="C182" s="20">
        <v>2.53E-2</v>
      </c>
      <c r="D182" s="38">
        <f t="shared" si="20"/>
        <v>0.31416680155033722</v>
      </c>
      <c r="E182" s="32">
        <f t="shared" si="29"/>
        <v>108339.08015380858</v>
      </c>
      <c r="F182" s="47">
        <v>0</v>
      </c>
      <c r="G182" s="20">
        <v>3.56E-2</v>
      </c>
      <c r="H182" s="38">
        <f t="shared" si="21"/>
        <v>0.23085387275950292</v>
      </c>
      <c r="I182" s="32">
        <f t="shared" si="25"/>
        <v>79608.972371645126</v>
      </c>
      <c r="J182" s="47">
        <v>0</v>
      </c>
      <c r="K182" s="24">
        <v>-3.3700000000000001E-2</v>
      </c>
      <c r="L182" s="38">
        <f t="shared" si="22"/>
        <v>0.25741163097036274</v>
      </c>
      <c r="M182" s="32">
        <f t="shared" si="26"/>
        <v>88767.301900141814</v>
      </c>
      <c r="N182" s="47">
        <v>0</v>
      </c>
      <c r="O182" s="27">
        <v>-4.0899999999999999E-2</v>
      </c>
      <c r="P182" s="38">
        <f t="shared" si="23"/>
        <v>0.19756769471979721</v>
      </c>
      <c r="Q182" s="31">
        <f t="shared" si="27"/>
        <v>68130.375992709087</v>
      </c>
      <c r="R182" s="47">
        <v>0</v>
      </c>
      <c r="S182" s="37">
        <f t="shared" si="24"/>
        <v>344845.73041830456</v>
      </c>
      <c r="T182" s="40">
        <f t="shared" si="28"/>
        <v>-1.7113114037619059E-3</v>
      </c>
    </row>
    <row r="183" spans="2:20" x14ac:dyDescent="0.35">
      <c r="B183" s="11" t="s">
        <v>187</v>
      </c>
      <c r="C183" s="20">
        <v>5.7000000000000002E-3</v>
      </c>
      <c r="D183" s="38">
        <f t="shared" si="20"/>
        <v>0.31676641729204691</v>
      </c>
      <c r="E183" s="32">
        <f t="shared" si="29"/>
        <v>108956.61291068529</v>
      </c>
      <c r="F183" s="47">
        <v>0</v>
      </c>
      <c r="G183" s="15">
        <v>-5.1000000000000004E-3</v>
      </c>
      <c r="H183" s="38">
        <f t="shared" si="21"/>
        <v>0.23026449980897437</v>
      </c>
      <c r="I183" s="32">
        <f t="shared" si="25"/>
        <v>79202.966612549732</v>
      </c>
      <c r="J183" s="47">
        <v>0</v>
      </c>
      <c r="K183" s="24">
        <v>-6.7000000000000002E-3</v>
      </c>
      <c r="L183" s="38">
        <f t="shared" si="22"/>
        <v>0.25634154273108739</v>
      </c>
      <c r="M183" s="32">
        <f t="shared" si="26"/>
        <v>88172.56097741086</v>
      </c>
      <c r="N183" s="47">
        <v>0</v>
      </c>
      <c r="O183" s="27">
        <v>-7.3000000000000001E-3</v>
      </c>
      <c r="P183" s="38">
        <f t="shared" si="23"/>
        <v>0.19662754016789133</v>
      </c>
      <c r="Q183" s="31">
        <f t="shared" si="27"/>
        <v>67633.024247962312</v>
      </c>
      <c r="R183" s="47">
        <v>0</v>
      </c>
      <c r="S183" s="37">
        <f t="shared" si="24"/>
        <v>343965.16474860819</v>
      </c>
      <c r="T183" s="40">
        <f t="shared" si="28"/>
        <v>-2.5535060811924248E-3</v>
      </c>
    </row>
    <row r="184" spans="2:20" x14ac:dyDescent="0.35">
      <c r="B184" s="10" t="s">
        <v>188</v>
      </c>
      <c r="C184" s="20">
        <v>7.9699999999999993E-2</v>
      </c>
      <c r="D184" s="38">
        <f t="shared" si="20"/>
        <v>0.29918534390990847</v>
      </c>
      <c r="E184" s="32">
        <f t="shared" si="29"/>
        <v>117640.45495966691</v>
      </c>
      <c r="F184" s="47">
        <v>0</v>
      </c>
      <c r="G184" s="20">
        <v>0.1837</v>
      </c>
      <c r="H184" s="38">
        <f t="shared" si="21"/>
        <v>0.23843319371974209</v>
      </c>
      <c r="I184" s="32">
        <f t="shared" si="25"/>
        <v>93752.55157927511</v>
      </c>
      <c r="J184" s="47">
        <v>0</v>
      </c>
      <c r="K184" s="25">
        <v>0.21859999999999999</v>
      </c>
      <c r="L184" s="38">
        <f t="shared" si="22"/>
        <v>0.2732613745226673</v>
      </c>
      <c r="M184" s="32">
        <f t="shared" si="26"/>
        <v>107447.08280707287</v>
      </c>
      <c r="N184" s="47">
        <v>0</v>
      </c>
      <c r="O184" s="26">
        <v>9.9500000000000005E-2</v>
      </c>
      <c r="P184" s="38">
        <f t="shared" si="23"/>
        <v>0.18912008784768225</v>
      </c>
      <c r="Q184" s="31">
        <f t="shared" si="27"/>
        <v>74362.510160634556</v>
      </c>
      <c r="R184" s="47">
        <v>0</v>
      </c>
      <c r="S184" s="37">
        <f t="shared" si="24"/>
        <v>393202.59950664942</v>
      </c>
      <c r="T184" s="40">
        <f t="shared" si="28"/>
        <v>0.14314657356080551</v>
      </c>
    </row>
    <row r="185" spans="2:20" x14ac:dyDescent="0.35">
      <c r="B185" s="11" t="s">
        <v>189</v>
      </c>
      <c r="C185" s="20">
        <v>1.4999999999999999E-2</v>
      </c>
      <c r="D185" s="38">
        <f t="shared" si="20"/>
        <v>0.30746857542265393</v>
      </c>
      <c r="E185" s="32">
        <f t="shared" si="29"/>
        <v>119405.06178406191</v>
      </c>
      <c r="F185" s="47">
        <v>0</v>
      </c>
      <c r="G185" s="15">
        <v>-3.3700000000000001E-2</v>
      </c>
      <c r="H185" s="38">
        <f t="shared" si="21"/>
        <v>0.2332776189801751</v>
      </c>
      <c r="I185" s="32">
        <f t="shared" si="25"/>
        <v>90593.090591053537</v>
      </c>
      <c r="J185" s="47">
        <v>0</v>
      </c>
      <c r="K185" s="24">
        <v>-3.0599999999999999E-2</v>
      </c>
      <c r="L185" s="38">
        <f t="shared" si="22"/>
        <v>0.26821041754927233</v>
      </c>
      <c r="M185" s="32">
        <f t="shared" si="26"/>
        <v>104159.20207317645</v>
      </c>
      <c r="N185" s="47">
        <v>0</v>
      </c>
      <c r="O185" s="27">
        <v>-2.3E-3</v>
      </c>
      <c r="P185" s="38">
        <f t="shared" si="23"/>
        <v>0.19104338804789875</v>
      </c>
      <c r="Q185" s="31">
        <f t="shared" si="27"/>
        <v>74191.476387265095</v>
      </c>
      <c r="R185" s="47">
        <v>0</v>
      </c>
      <c r="S185" s="37">
        <f t="shared" si="24"/>
        <v>388348.83083555696</v>
      </c>
      <c r="T185" s="40">
        <f t="shared" si="28"/>
        <v>-1.2344192732149928E-2</v>
      </c>
    </row>
    <row r="186" spans="2:20" x14ac:dyDescent="0.35">
      <c r="B186" s="10" t="s">
        <v>190</v>
      </c>
      <c r="C186" s="15">
        <v>-2.1499999999999998E-2</v>
      </c>
      <c r="D186" s="38">
        <f t="shared" si="20"/>
        <v>0.31087382674717701</v>
      </c>
      <c r="E186" s="32">
        <f t="shared" si="29"/>
        <v>116837.85295570458</v>
      </c>
      <c r="F186" s="47">
        <v>0</v>
      </c>
      <c r="G186" s="15">
        <v>-1.4800000000000001E-2</v>
      </c>
      <c r="H186" s="38">
        <f t="shared" si="21"/>
        <v>0.2374761889225229</v>
      </c>
      <c r="I186" s="32">
        <f t="shared" si="25"/>
        <v>89252.312850305942</v>
      </c>
      <c r="J186" s="47">
        <v>0</v>
      </c>
      <c r="K186" s="24">
        <v>-5.3400000000000003E-2</v>
      </c>
      <c r="L186" s="38">
        <f t="shared" si="22"/>
        <v>0.26234013395432942</v>
      </c>
      <c r="M186" s="32">
        <f t="shared" si="26"/>
        <v>98597.100682468823</v>
      </c>
      <c r="N186" s="47">
        <v>0</v>
      </c>
      <c r="O186" s="27">
        <v>-4.1000000000000002E-2</v>
      </c>
      <c r="P186" s="38">
        <f t="shared" si="23"/>
        <v>0.18930985037597084</v>
      </c>
      <c r="Q186" s="31">
        <f t="shared" si="27"/>
        <v>71149.625855387232</v>
      </c>
      <c r="R186" s="47">
        <v>0</v>
      </c>
      <c r="S186" s="37">
        <f t="shared" si="24"/>
        <v>375836.89234386652</v>
      </c>
      <c r="T186" s="40">
        <f t="shared" si="28"/>
        <v>-3.2218298339588669E-2</v>
      </c>
    </row>
    <row r="187" spans="2:20" x14ac:dyDescent="0.35">
      <c r="B187" s="11" t="s">
        <v>191</v>
      </c>
      <c r="C187" s="20">
        <v>8.6199999999999999E-2</v>
      </c>
      <c r="D187" s="38">
        <f t="shared" si="20"/>
        <v>0.32104759696960078</v>
      </c>
      <c r="E187" s="32">
        <f t="shared" si="29"/>
        <v>126909.27588048633</v>
      </c>
      <c r="F187" s="47">
        <v>0</v>
      </c>
      <c r="G187" s="20">
        <v>1.6400000000000001E-2</v>
      </c>
      <c r="H187" s="38">
        <f t="shared" si="21"/>
        <v>0.22948811194270505</v>
      </c>
      <c r="I187" s="32">
        <f t="shared" si="25"/>
        <v>90716.050781050959</v>
      </c>
      <c r="J187" s="47">
        <v>0</v>
      </c>
      <c r="K187" s="25">
        <v>4.4299999999999999E-2</v>
      </c>
      <c r="L187" s="38">
        <f t="shared" si="22"/>
        <v>0.26047466002989039</v>
      </c>
      <c r="M187" s="32">
        <f t="shared" si="26"/>
        <v>102964.95224270219</v>
      </c>
      <c r="N187" s="47">
        <v>0</v>
      </c>
      <c r="O187" s="26">
        <v>0.05</v>
      </c>
      <c r="P187" s="38">
        <f t="shared" si="23"/>
        <v>0.18898963105780386</v>
      </c>
      <c r="Q187" s="31">
        <f t="shared" si="27"/>
        <v>74707.107148156589</v>
      </c>
      <c r="R187" s="47">
        <v>0</v>
      </c>
      <c r="S187" s="37">
        <f t="shared" si="24"/>
        <v>395297.38605239603</v>
      </c>
      <c r="T187" s="40">
        <f t="shared" si="28"/>
        <v>5.177909381691137E-2</v>
      </c>
    </row>
    <row r="188" spans="2:20" x14ac:dyDescent="0.35">
      <c r="B188" s="10" t="s">
        <v>192</v>
      </c>
      <c r="C188" s="15">
        <v>-1.34E-2</v>
      </c>
      <c r="D188" s="38">
        <f t="shared" si="20"/>
        <v>0.32754536722518407</v>
      </c>
      <c r="E188" s="32">
        <f t="shared" si="29"/>
        <v>125208.6915836878</v>
      </c>
      <c r="F188" s="47">
        <v>0</v>
      </c>
      <c r="G188" s="15">
        <v>-5.7000000000000002E-3</v>
      </c>
      <c r="H188" s="38">
        <f t="shared" si="21"/>
        <v>0.23596009307551069</v>
      </c>
      <c r="I188" s="32">
        <f t="shared" si="25"/>
        <v>90198.969291598973</v>
      </c>
      <c r="J188" s="47">
        <v>0</v>
      </c>
      <c r="K188" s="24">
        <v>-7.4499999999999997E-2</v>
      </c>
      <c r="L188" s="38">
        <f t="shared" si="22"/>
        <v>0.2492888358099275</v>
      </c>
      <c r="M188" s="32">
        <f t="shared" si="26"/>
        <v>95294.063300620881</v>
      </c>
      <c r="N188" s="47">
        <v>0</v>
      </c>
      <c r="O188" s="27">
        <v>-4.2099999999999999E-2</v>
      </c>
      <c r="P188" s="38">
        <f t="shared" si="23"/>
        <v>0.18720570388937779</v>
      </c>
      <c r="Q188" s="31">
        <f t="shared" si="27"/>
        <v>71561.937937219191</v>
      </c>
      <c r="R188" s="47">
        <v>0</v>
      </c>
      <c r="S188" s="37">
        <f t="shared" si="24"/>
        <v>382263.66211312683</v>
      </c>
      <c r="T188" s="40">
        <f t="shared" si="28"/>
        <v>-3.2971945677226389E-2</v>
      </c>
    </row>
    <row r="189" spans="2:20" x14ac:dyDescent="0.35">
      <c r="B189" s="9" t="s">
        <v>193</v>
      </c>
      <c r="C189" s="20">
        <v>5.3900000000000003E-2</v>
      </c>
      <c r="D189" s="38">
        <f t="shared" si="20"/>
        <v>0.31743418707471288</v>
      </c>
      <c r="E189" s="32">
        <f t="shared" si="29"/>
        <v>131957.44006004857</v>
      </c>
      <c r="F189" s="47">
        <v>0</v>
      </c>
      <c r="G189" s="20">
        <v>0.1061</v>
      </c>
      <c r="H189" s="38">
        <f t="shared" si="21"/>
        <v>0.24000250966865538</v>
      </c>
      <c r="I189" s="32">
        <f t="shared" si="25"/>
        <v>99769.079933437621</v>
      </c>
      <c r="J189" s="47">
        <v>0</v>
      </c>
      <c r="K189" s="25">
        <v>0.13689999999999999</v>
      </c>
      <c r="L189" s="38">
        <f t="shared" si="22"/>
        <v>0.26062011246724448</v>
      </c>
      <c r="M189" s="32">
        <f t="shared" si="26"/>
        <v>108339.82056647589</v>
      </c>
      <c r="N189" s="47">
        <v>0</v>
      </c>
      <c r="O189" s="26">
        <v>5.6899999999999999E-2</v>
      </c>
      <c r="P189" s="38">
        <f t="shared" si="23"/>
        <v>0.18194319078938709</v>
      </c>
      <c r="Q189" s="31">
        <f t="shared" si="27"/>
        <v>75633.81220584696</v>
      </c>
      <c r="R189" s="47">
        <v>0</v>
      </c>
      <c r="S189" s="37">
        <f t="shared" si="24"/>
        <v>415700.15276580909</v>
      </c>
      <c r="T189" s="40">
        <f t="shared" si="28"/>
        <v>8.7469707342433978E-2</v>
      </c>
    </row>
    <row r="190" spans="2:20" x14ac:dyDescent="0.35">
      <c r="B190" s="10" t="s">
        <v>194</v>
      </c>
      <c r="C190" s="15">
        <v>-3.15E-2</v>
      </c>
      <c r="D190" s="38">
        <f t="shared" si="20"/>
        <v>0.29382885777475848</v>
      </c>
      <c r="E190" s="32">
        <f t="shared" si="29"/>
        <v>127800.78069815703</v>
      </c>
      <c r="F190" s="47">
        <v>0</v>
      </c>
      <c r="G190" s="20">
        <v>5.4699999999999999E-2</v>
      </c>
      <c r="H190" s="38">
        <f t="shared" si="21"/>
        <v>0.24192784294925221</v>
      </c>
      <c r="I190" s="32">
        <f t="shared" si="25"/>
        <v>105226.44860579666</v>
      </c>
      <c r="J190" s="47">
        <v>0</v>
      </c>
      <c r="K190" s="25">
        <v>0.12559999999999999</v>
      </c>
      <c r="L190" s="38">
        <f t="shared" si="22"/>
        <v>0.28037102956910959</v>
      </c>
      <c r="M190" s="32">
        <f t="shared" si="26"/>
        <v>121947.30202962525</v>
      </c>
      <c r="N190" s="47">
        <v>0</v>
      </c>
      <c r="O190" s="26">
        <v>5.74E-2</v>
      </c>
      <c r="P190" s="38">
        <f t="shared" si="23"/>
        <v>0.18387226970687978</v>
      </c>
      <c r="Q190" s="31">
        <f t="shared" si="27"/>
        <v>79975.19302646257</v>
      </c>
      <c r="R190" s="47">
        <v>0</v>
      </c>
      <c r="S190" s="37">
        <f t="shared" si="24"/>
        <v>434949.72436004149</v>
      </c>
      <c r="T190" s="40">
        <f t="shared" si="28"/>
        <v>4.630638566321843E-2</v>
      </c>
    </row>
    <row r="191" spans="2:20" x14ac:dyDescent="0.35">
      <c r="B191" s="11" t="s">
        <v>195</v>
      </c>
      <c r="C191" s="20">
        <v>1.2800000000000001E-2</v>
      </c>
      <c r="D191" s="38">
        <f t="shared" si="20"/>
        <v>0.26251796621490436</v>
      </c>
      <c r="E191" s="32">
        <f t="shared" si="29"/>
        <v>129436.63069109344</v>
      </c>
      <c r="F191" s="47">
        <v>0</v>
      </c>
      <c r="G191" s="20">
        <v>0.14990000000000001</v>
      </c>
      <c r="H191" s="38">
        <f t="shared" si="21"/>
        <v>0.24540692784635551</v>
      </c>
      <c r="I191" s="32">
        <f t="shared" si="25"/>
        <v>120999.89325180558</v>
      </c>
      <c r="J191" s="47">
        <v>0</v>
      </c>
      <c r="K191" s="25">
        <v>0.2296</v>
      </c>
      <c r="L191" s="38">
        <f t="shared" si="22"/>
        <v>0.30411502860684064</v>
      </c>
      <c r="M191" s="32">
        <f t="shared" si="26"/>
        <v>149946.4025756272</v>
      </c>
      <c r="N191" s="47">
        <v>0</v>
      </c>
      <c r="O191" s="26">
        <v>0.1588</v>
      </c>
      <c r="P191" s="38">
        <f t="shared" si="23"/>
        <v>0.18796007733189946</v>
      </c>
      <c r="Q191" s="31">
        <f t="shared" si="27"/>
        <v>92675.25367906483</v>
      </c>
      <c r="R191" s="47">
        <v>0</v>
      </c>
      <c r="S191" s="37">
        <f t="shared" si="24"/>
        <v>493058.18019759108</v>
      </c>
      <c r="T191" s="40">
        <f t="shared" si="28"/>
        <v>0.13359809785612997</v>
      </c>
    </row>
    <row r="192" spans="2:20" x14ac:dyDescent="0.35">
      <c r="B192" s="10" t="s">
        <v>196</v>
      </c>
      <c r="C192" s="20">
        <v>0.1575</v>
      </c>
      <c r="D192" s="38">
        <f t="shared" si="20"/>
        <v>0.28077859156865792</v>
      </c>
      <c r="E192" s="32">
        <f t="shared" si="29"/>
        <v>149822.90002494067</v>
      </c>
      <c r="F192" s="47">
        <v>0</v>
      </c>
      <c r="G192" s="20">
        <v>9.9000000000000005E-2</v>
      </c>
      <c r="H192" s="38">
        <f t="shared" si="21"/>
        <v>0.24921172519085671</v>
      </c>
      <c r="I192" s="32">
        <f t="shared" si="25"/>
        <v>132978.88268373432</v>
      </c>
      <c r="J192" s="47">
        <v>0</v>
      </c>
      <c r="K192" s="25">
        <v>3.8199999999999998E-2</v>
      </c>
      <c r="L192" s="38">
        <f t="shared" si="22"/>
        <v>0.29174462766524606</v>
      </c>
      <c r="M192" s="32">
        <f t="shared" si="26"/>
        <v>155674.35515401617</v>
      </c>
      <c r="N192" s="47">
        <v>0</v>
      </c>
      <c r="O192" s="26">
        <v>2.64E-2</v>
      </c>
      <c r="P192" s="38">
        <f t="shared" si="23"/>
        <v>0.17826505557523945</v>
      </c>
      <c r="Q192" s="31">
        <f t="shared" si="27"/>
        <v>95121.880376192144</v>
      </c>
      <c r="R192" s="47">
        <v>0</v>
      </c>
      <c r="S192" s="37">
        <f t="shared" si="24"/>
        <v>533598.01823888323</v>
      </c>
      <c r="T192" s="40">
        <f t="shared" si="28"/>
        <v>8.2221205669979813E-2</v>
      </c>
    </row>
    <row r="193" spans="2:20" x14ac:dyDescent="0.35">
      <c r="B193" s="11" t="s">
        <v>197</v>
      </c>
      <c r="C193" s="20">
        <v>5.8900000000000001E-2</v>
      </c>
      <c r="D193" s="38">
        <f t="shared" si="20"/>
        <v>0.28953069027647865</v>
      </c>
      <c r="E193" s="32">
        <f t="shared" si="29"/>
        <v>158647.46883640968</v>
      </c>
      <c r="F193" s="47">
        <v>0</v>
      </c>
      <c r="G193" s="20">
        <v>3.9600000000000003E-2</v>
      </c>
      <c r="H193" s="38">
        <f t="shared" si="21"/>
        <v>0.25229602533171247</v>
      </c>
      <c r="I193" s="32">
        <f t="shared" si="25"/>
        <v>138244.84643801019</v>
      </c>
      <c r="J193" s="47">
        <v>0</v>
      </c>
      <c r="K193" s="24">
        <v>-6.1000000000000004E-3</v>
      </c>
      <c r="L193" s="38">
        <f t="shared" si="22"/>
        <v>0.28237173629851059</v>
      </c>
      <c r="M193" s="32">
        <f t="shared" si="26"/>
        <v>154724.74158757666</v>
      </c>
      <c r="N193" s="47">
        <v>0</v>
      </c>
      <c r="O193" s="26">
        <v>1.2699999999999999E-2</v>
      </c>
      <c r="P193" s="38">
        <f t="shared" si="23"/>
        <v>0.17580154809329834</v>
      </c>
      <c r="Q193" s="31">
        <f t="shared" si="27"/>
        <v>96329.928256969783</v>
      </c>
      <c r="R193" s="47">
        <v>0</v>
      </c>
      <c r="S193" s="37">
        <f t="shared" si="24"/>
        <v>547946.98511896632</v>
      </c>
      <c r="T193" s="40">
        <f t="shared" si="28"/>
        <v>2.6890967337999561E-2</v>
      </c>
    </row>
    <row r="194" spans="2:20" x14ac:dyDescent="0.35">
      <c r="B194" s="10" t="s">
        <v>198</v>
      </c>
      <c r="C194" s="20">
        <v>1.8200000000000001E-2</v>
      </c>
      <c r="D194" s="38">
        <f t="shared" si="20"/>
        <v>0.2909048903173434</v>
      </c>
      <c r="E194" s="32">
        <f t="shared" si="29"/>
        <v>161534.85276923233</v>
      </c>
      <c r="F194" s="47">
        <v>0</v>
      </c>
      <c r="G194" s="20">
        <v>3.0200000000000001E-2</v>
      </c>
      <c r="H194" s="38">
        <f t="shared" si="21"/>
        <v>0.25648104701127561</v>
      </c>
      <c r="I194" s="32">
        <f t="shared" si="25"/>
        <v>142419.84080043811</v>
      </c>
      <c r="J194" s="47">
        <v>0</v>
      </c>
      <c r="K194" s="25">
        <v>1.9E-3</v>
      </c>
      <c r="L194" s="38">
        <f t="shared" si="22"/>
        <v>0.27917011442044937</v>
      </c>
      <c r="M194" s="32">
        <f t="shared" si="26"/>
        <v>155018.71859659307</v>
      </c>
      <c r="N194" s="47">
        <v>0</v>
      </c>
      <c r="O194" s="27">
        <v>-2.0000000000000001E-4</v>
      </c>
      <c r="P194" s="38">
        <f t="shared" si="23"/>
        <v>0.17344394825093157</v>
      </c>
      <c r="Q194" s="31">
        <f t="shared" si="27"/>
        <v>96310.66227131839</v>
      </c>
      <c r="R194" s="47">
        <v>0</v>
      </c>
      <c r="S194" s="37">
        <f t="shared" si="24"/>
        <v>555284.07443758193</v>
      </c>
      <c r="T194" s="40">
        <f t="shared" si="28"/>
        <v>1.3390144517398284E-2</v>
      </c>
    </row>
    <row r="195" spans="2:20" x14ac:dyDescent="0.35">
      <c r="B195" s="11" t="s">
        <v>199</v>
      </c>
      <c r="C195" s="20">
        <v>6.1999999999999998E-3</v>
      </c>
      <c r="D195" s="38">
        <f t="shared" si="20"/>
        <v>0.29070631164859939</v>
      </c>
      <c r="E195" s="32">
        <f t="shared" si="29"/>
        <v>162536.36885640156</v>
      </c>
      <c r="F195" s="47">
        <v>0</v>
      </c>
      <c r="G195" s="20">
        <v>5.6899999999999999E-2</v>
      </c>
      <c r="H195" s="38">
        <f t="shared" si="21"/>
        <v>0.26922060862747466</v>
      </c>
      <c r="I195" s="32">
        <f t="shared" si="25"/>
        <v>150523.52974198305</v>
      </c>
      <c r="J195" s="47">
        <v>0</v>
      </c>
      <c r="K195" s="24">
        <v>-5.3E-3</v>
      </c>
      <c r="L195" s="38">
        <f t="shared" si="22"/>
        <v>0.27579105008637445</v>
      </c>
      <c r="M195" s="32">
        <f t="shared" si="26"/>
        <v>154197.11938803113</v>
      </c>
      <c r="N195" s="47">
        <v>0</v>
      </c>
      <c r="O195" s="27">
        <v>-4.6300000000000001E-2</v>
      </c>
      <c r="P195" s="38">
        <f t="shared" si="23"/>
        <v>0.16428202963755151</v>
      </c>
      <c r="Q195" s="31">
        <f t="shared" si="27"/>
        <v>91851.478608156351</v>
      </c>
      <c r="R195" s="47">
        <v>0</v>
      </c>
      <c r="S195" s="37">
        <f t="shared" si="24"/>
        <v>559108.49659457209</v>
      </c>
      <c r="T195" s="40">
        <f t="shared" si="28"/>
        <v>6.8873254844625809E-3</v>
      </c>
    </row>
    <row r="196" spans="2:20" x14ac:dyDescent="0.35">
      <c r="B196" s="10" t="s">
        <v>200</v>
      </c>
      <c r="C196" s="20">
        <v>0.11890000000000001</v>
      </c>
      <c r="D196" s="38">
        <f t="shared" si="20"/>
        <v>0.30948426458460243</v>
      </c>
      <c r="E196" s="32">
        <f t="shared" si="29"/>
        <v>181861.9431134277</v>
      </c>
      <c r="F196" s="47">
        <v>0</v>
      </c>
      <c r="G196" s="20">
        <v>4.1599999999999998E-2</v>
      </c>
      <c r="H196" s="38">
        <f t="shared" si="21"/>
        <v>0.26681000484557321</v>
      </c>
      <c r="I196" s="32">
        <f t="shared" si="25"/>
        <v>156785.30857924954</v>
      </c>
      <c r="J196" s="47">
        <v>0</v>
      </c>
      <c r="K196" s="24">
        <v>-8.2000000000000007E-3</v>
      </c>
      <c r="L196" s="38">
        <f t="shared" si="22"/>
        <v>0.2602538184262721</v>
      </c>
      <c r="M196" s="32">
        <f t="shared" si="26"/>
        <v>152932.70300904929</v>
      </c>
      <c r="N196" s="47">
        <v>0</v>
      </c>
      <c r="O196" s="26">
        <v>4.5699999999999998E-2</v>
      </c>
      <c r="P196" s="38">
        <f t="shared" si="23"/>
        <v>0.16345191214355215</v>
      </c>
      <c r="Q196" s="31">
        <f t="shared" si="27"/>
        <v>96049.09118054909</v>
      </c>
      <c r="R196" s="47">
        <v>0</v>
      </c>
      <c r="S196" s="37">
        <f t="shared" si="24"/>
        <v>587629.04588227568</v>
      </c>
      <c r="T196" s="40">
        <f t="shared" si="28"/>
        <v>5.1010759917649251E-2</v>
      </c>
    </row>
    <row r="197" spans="2:20" x14ac:dyDescent="0.35">
      <c r="B197" s="11" t="s">
        <v>201</v>
      </c>
      <c r="C197" s="20">
        <v>4.1999999999999997E-3</v>
      </c>
      <c r="D197" s="38">
        <f t="shared" si="20"/>
        <v>0.30389540626811684</v>
      </c>
      <c r="E197" s="32">
        <f t="shared" si="29"/>
        <v>182625.7632745041</v>
      </c>
      <c r="F197" s="47">
        <v>0</v>
      </c>
      <c r="G197" s="20">
        <v>1.6999999999999999E-3</v>
      </c>
      <c r="H197" s="38">
        <f t="shared" si="21"/>
        <v>0.26133954465890546</v>
      </c>
      <c r="I197" s="32">
        <f t="shared" si="25"/>
        <v>157051.84360383428</v>
      </c>
      <c r="J197" s="47">
        <v>0</v>
      </c>
      <c r="K197" s="25">
        <v>5.21E-2</v>
      </c>
      <c r="L197" s="38">
        <f t="shared" si="22"/>
        <v>0.26774383295070375</v>
      </c>
      <c r="M197" s="32">
        <f t="shared" si="26"/>
        <v>160900.49683582076</v>
      </c>
      <c r="N197" s="47">
        <v>0</v>
      </c>
      <c r="O197" s="26">
        <v>4.4999999999999998E-2</v>
      </c>
      <c r="P197" s="38">
        <f t="shared" si="23"/>
        <v>0.167021216122274</v>
      </c>
      <c r="Q197" s="31">
        <f t="shared" si="27"/>
        <v>100371.3002836738</v>
      </c>
      <c r="R197" s="47">
        <v>0</v>
      </c>
      <c r="S197" s="37">
        <f t="shared" si="24"/>
        <v>600949.40399783291</v>
      </c>
      <c r="T197" s="40">
        <f t="shared" si="28"/>
        <v>2.2667970905961399E-2</v>
      </c>
    </row>
    <row r="198" spans="2:20" x14ac:dyDescent="0.35">
      <c r="B198" s="10" t="s">
        <v>202</v>
      </c>
      <c r="C198" s="15">
        <v>-2.3E-3</v>
      </c>
      <c r="D198" s="38">
        <f t="shared" si="20"/>
        <v>0.30112403307572272</v>
      </c>
      <c r="E198" s="32">
        <f t="shared" si="29"/>
        <v>182205.72401897275</v>
      </c>
      <c r="F198" s="47">
        <v>0</v>
      </c>
      <c r="G198" s="20">
        <v>2.2100000000000002E-2</v>
      </c>
      <c r="H198" s="38">
        <f t="shared" si="21"/>
        <v>0.2652893583707665</v>
      </c>
      <c r="I198" s="32">
        <f t="shared" si="25"/>
        <v>160522.68934747903</v>
      </c>
      <c r="J198" s="47">
        <v>0</v>
      </c>
      <c r="K198" s="24">
        <v>-9.5999999999999992E-3</v>
      </c>
      <c r="L198" s="38">
        <f t="shared" si="22"/>
        <v>0.26336097357399574</v>
      </c>
      <c r="M198" s="32">
        <f t="shared" si="26"/>
        <v>159355.85206619688</v>
      </c>
      <c r="N198" s="47">
        <v>0</v>
      </c>
      <c r="O198" s="26">
        <v>2.6200000000000001E-2</v>
      </c>
      <c r="P198" s="38">
        <f t="shared" si="23"/>
        <v>0.17022563497951507</v>
      </c>
      <c r="Q198" s="31">
        <f t="shared" si="27"/>
        <v>103001.02835110606</v>
      </c>
      <c r="R198" s="47">
        <v>0</v>
      </c>
      <c r="S198" s="37">
        <f t="shared" si="24"/>
        <v>605085.29378375469</v>
      </c>
      <c r="T198" s="40">
        <f t="shared" si="28"/>
        <v>6.8822595686219845E-3</v>
      </c>
    </row>
    <row r="199" spans="2:20" x14ac:dyDescent="0.35">
      <c r="B199" s="11" t="s">
        <v>203</v>
      </c>
      <c r="C199" s="20">
        <v>2.4199999999999999E-2</v>
      </c>
      <c r="D199" s="38">
        <f t="shared" si="20"/>
        <v>0.32628312990400099</v>
      </c>
      <c r="E199" s="32">
        <f t="shared" si="29"/>
        <v>186615.10254023189</v>
      </c>
      <c r="F199" s="47">
        <v>0</v>
      </c>
      <c r="G199" s="15">
        <v>-0.12509999999999999</v>
      </c>
      <c r="H199" s="38">
        <f t="shared" si="21"/>
        <v>0.24555154757027831</v>
      </c>
      <c r="I199" s="32">
        <f t="shared" si="25"/>
        <v>140441.30091010939</v>
      </c>
      <c r="J199" s="47">
        <v>0</v>
      </c>
      <c r="K199" s="24">
        <v>-6.0900000000000003E-2</v>
      </c>
      <c r="L199" s="38">
        <f t="shared" si="22"/>
        <v>0.26165418731716833</v>
      </c>
      <c r="M199" s="32">
        <f t="shared" si="26"/>
        <v>149651.08067536549</v>
      </c>
      <c r="N199" s="47">
        <v>0</v>
      </c>
      <c r="O199" s="27">
        <v>-7.5399999999999995E-2</v>
      </c>
      <c r="P199" s="38">
        <f t="shared" si="23"/>
        <v>0.16651113520855235</v>
      </c>
      <c r="Q199" s="31">
        <f t="shared" si="27"/>
        <v>95234.750813432664</v>
      </c>
      <c r="R199" s="47">
        <v>0</v>
      </c>
      <c r="S199" s="37">
        <f t="shared" si="24"/>
        <v>571942.23493913945</v>
      </c>
      <c r="T199" s="40">
        <f t="shared" si="28"/>
        <v>-5.4774193299862106E-2</v>
      </c>
    </row>
    <row r="200" spans="2:20" x14ac:dyDescent="0.35">
      <c r="B200" s="10" t="s">
        <v>204</v>
      </c>
      <c r="C200" s="20">
        <v>8.6999999999999994E-3</v>
      </c>
      <c r="D200" s="38">
        <f t="shared" si="20"/>
        <v>0.33011905677231718</v>
      </c>
      <c r="E200" s="32">
        <f t="shared" si="29"/>
        <v>188238.65393233192</v>
      </c>
      <c r="F200" s="47">
        <v>0</v>
      </c>
      <c r="G200" s="20">
        <v>3.8899999999999997E-2</v>
      </c>
      <c r="H200" s="38">
        <f t="shared" si="21"/>
        <v>0.25587648545554786</v>
      </c>
      <c r="I200" s="32">
        <f t="shared" si="25"/>
        <v>145904.46751551266</v>
      </c>
      <c r="J200" s="47">
        <v>0</v>
      </c>
      <c r="K200" s="24">
        <v>-4.1399999999999999E-2</v>
      </c>
      <c r="L200" s="38">
        <f t="shared" si="22"/>
        <v>0.25158171247652866</v>
      </c>
      <c r="M200" s="32">
        <f t="shared" si="26"/>
        <v>143455.52593540537</v>
      </c>
      <c r="N200" s="47">
        <v>0</v>
      </c>
      <c r="O200" s="27">
        <v>-2.75E-2</v>
      </c>
      <c r="P200" s="38">
        <f t="shared" si="23"/>
        <v>0.16242274529560638</v>
      </c>
      <c r="Q200" s="31">
        <f t="shared" si="27"/>
        <v>92615.795166063268</v>
      </c>
      <c r="R200" s="47">
        <v>0</v>
      </c>
      <c r="S200" s="37">
        <f t="shared" si="24"/>
        <v>570214.44254931319</v>
      </c>
      <c r="T200" s="40">
        <f t="shared" si="28"/>
        <v>-3.0209211425173965E-3</v>
      </c>
    </row>
    <row r="201" spans="2:20" x14ac:dyDescent="0.35">
      <c r="B201" s="9" t="s">
        <v>205</v>
      </c>
      <c r="C201" s="20">
        <v>3.56E-2</v>
      </c>
      <c r="D201" s="38">
        <f t="shared" si="20"/>
        <v>0.33300956459858194</v>
      </c>
      <c r="E201" s="32">
        <f t="shared" si="29"/>
        <v>194939.95001232292</v>
      </c>
      <c r="F201" s="47">
        <v>0</v>
      </c>
      <c r="G201" s="20">
        <v>1.9E-2</v>
      </c>
      <c r="H201" s="38">
        <f t="shared" si="21"/>
        <v>0.2539794807478164</v>
      </c>
      <c r="I201" s="32">
        <f t="shared" si="25"/>
        <v>148676.6523983074</v>
      </c>
      <c r="J201" s="47">
        <v>0</v>
      </c>
      <c r="K201" s="25">
        <v>9.1999999999999998E-3</v>
      </c>
      <c r="L201" s="38">
        <f t="shared" si="22"/>
        <v>0.24731495622363489</v>
      </c>
      <c r="M201" s="32">
        <f t="shared" si="26"/>
        <v>144775.31677401109</v>
      </c>
      <c r="N201" s="47">
        <v>0</v>
      </c>
      <c r="O201" s="26">
        <v>4.7300000000000002E-2</v>
      </c>
      <c r="P201" s="38">
        <f t="shared" si="23"/>
        <v>0.16569599842996668</v>
      </c>
      <c r="Q201" s="31">
        <f t="shared" si="27"/>
        <v>96996.522277418058</v>
      </c>
      <c r="R201" s="47">
        <v>0</v>
      </c>
      <c r="S201" s="37">
        <f t="shared" si="24"/>
        <v>585388.44146205951</v>
      </c>
      <c r="T201" s="40">
        <f t="shared" si="28"/>
        <v>2.6611039252016244E-2</v>
      </c>
    </row>
    <row r="202" spans="2:20" x14ac:dyDescent="0.35">
      <c r="B202" s="10" t="s">
        <v>206</v>
      </c>
      <c r="C202" s="20">
        <v>4.2700000000000002E-2</v>
      </c>
      <c r="D202" s="38">
        <f t="shared" si="20"/>
        <v>0.34918714145057389</v>
      </c>
      <c r="E202" s="32">
        <f t="shared" si="29"/>
        <v>203263.88587784913</v>
      </c>
      <c r="F202" s="47">
        <v>0</v>
      </c>
      <c r="G202" s="15">
        <v>-4.6600000000000003E-2</v>
      </c>
      <c r="H202" s="38">
        <f t="shared" si="21"/>
        <v>0.24350951764463941</v>
      </c>
      <c r="I202" s="32">
        <f t="shared" si="25"/>
        <v>141748.32039654627</v>
      </c>
      <c r="J202" s="47">
        <v>0</v>
      </c>
      <c r="K202" s="24">
        <v>-4.3099999999999999E-2</v>
      </c>
      <c r="L202" s="38">
        <f t="shared" si="22"/>
        <v>0.237990212783592</v>
      </c>
      <c r="M202" s="32">
        <f t="shared" si="26"/>
        <v>138535.50062105121</v>
      </c>
      <c r="N202" s="47">
        <v>0</v>
      </c>
      <c r="O202" s="26">
        <v>1.61E-2</v>
      </c>
      <c r="P202" s="38">
        <f t="shared" si="23"/>
        <v>0.1693131281211947</v>
      </c>
      <c r="Q202" s="31">
        <f t="shared" si="27"/>
        <v>98558.166286084495</v>
      </c>
      <c r="R202" s="47">
        <v>0</v>
      </c>
      <c r="S202" s="37">
        <f t="shared" si="24"/>
        <v>582105.87318153109</v>
      </c>
      <c r="T202" s="40">
        <f t="shared" si="28"/>
        <v>-5.6075044330050616E-3</v>
      </c>
    </row>
    <row r="203" spans="2:20" x14ac:dyDescent="0.35">
      <c r="B203" s="11" t="s">
        <v>207</v>
      </c>
      <c r="C203" s="20">
        <v>8.7999999999999995E-2</v>
      </c>
      <c r="D203" s="38">
        <f t="shared" si="20"/>
        <v>0.36455066921954365</v>
      </c>
      <c r="E203" s="32">
        <f t="shared" si="29"/>
        <v>221151.10783509986</v>
      </c>
      <c r="F203" s="47">
        <v>0</v>
      </c>
      <c r="G203" s="20">
        <v>2.86E-2</v>
      </c>
      <c r="H203" s="38">
        <f t="shared" si="21"/>
        <v>0.24034396531123589</v>
      </c>
      <c r="I203" s="32">
        <f t="shared" si="25"/>
        <v>145802.3223598875</v>
      </c>
      <c r="J203" s="47">
        <v>0</v>
      </c>
      <c r="K203" s="24">
        <v>-1.23E-2</v>
      </c>
      <c r="L203" s="38">
        <f t="shared" si="22"/>
        <v>0.22555627450385438</v>
      </c>
      <c r="M203" s="32">
        <f t="shared" si="26"/>
        <v>136831.51396341229</v>
      </c>
      <c r="N203" s="47">
        <v>0</v>
      </c>
      <c r="O203" s="26">
        <v>4.36E-2</v>
      </c>
      <c r="P203" s="38">
        <f t="shared" si="23"/>
        <v>0.16954909096536599</v>
      </c>
      <c r="Q203" s="31">
        <f t="shared" si="27"/>
        <v>102855.30233615778</v>
      </c>
      <c r="R203" s="47">
        <v>0</v>
      </c>
      <c r="S203" s="37">
        <f t="shared" si="24"/>
        <v>606640.24649455748</v>
      </c>
      <c r="T203" s="40">
        <f t="shared" si="28"/>
        <v>4.2147613421133157E-2</v>
      </c>
    </row>
    <row r="204" spans="2:20" x14ac:dyDescent="0.35">
      <c r="B204" s="10" t="s">
        <v>208</v>
      </c>
      <c r="C204" s="16">
        <v>-2.7E-2</v>
      </c>
      <c r="D204" s="38">
        <f t="shared" si="20"/>
        <v>0.37136702943462419</v>
      </c>
      <c r="E204" s="32">
        <f t="shared" si="29"/>
        <v>215180.02792355217</v>
      </c>
      <c r="F204" s="47">
        <v>0</v>
      </c>
      <c r="G204" s="16">
        <v>-4.2200000000000001E-2</v>
      </c>
      <c r="H204" s="38">
        <f t="shared" si="21"/>
        <v>0.24101310535455728</v>
      </c>
      <c r="I204" s="32">
        <f t="shared" si="25"/>
        <v>139649.46435630025</v>
      </c>
      <c r="J204" s="47">
        <v>0</v>
      </c>
      <c r="K204" s="24">
        <v>-5.3600000000000002E-2</v>
      </c>
      <c r="L204" s="38">
        <f t="shared" si="22"/>
        <v>0.22349213692217473</v>
      </c>
      <c r="M204" s="32">
        <f t="shared" si="26"/>
        <v>129497.34481497339</v>
      </c>
      <c r="N204" s="47">
        <v>0</v>
      </c>
      <c r="O204" s="27">
        <v>-7.5399999999999995E-2</v>
      </c>
      <c r="P204" s="38">
        <f t="shared" si="23"/>
        <v>0.16412772828864389</v>
      </c>
      <c r="Q204" s="31">
        <f t="shared" si="27"/>
        <v>95100.012540011478</v>
      </c>
      <c r="R204" s="47">
        <v>0</v>
      </c>
      <c r="S204" s="37">
        <f t="shared" si="24"/>
        <v>579426.84963483724</v>
      </c>
      <c r="T204" s="40">
        <f t="shared" si="28"/>
        <v>-4.4859201177257169E-2</v>
      </c>
    </row>
    <row r="205" spans="2:20" x14ac:dyDescent="0.35">
      <c r="B205" s="11" t="s">
        <v>209</v>
      </c>
      <c r="C205" s="16">
        <v>-1.29E-2</v>
      </c>
      <c r="D205" s="38">
        <f t="shared" si="20"/>
        <v>0.36610655047739343</v>
      </c>
      <c r="E205" s="32">
        <f t="shared" si="29"/>
        <v>212404.20556333836</v>
      </c>
      <c r="F205" s="47">
        <v>0</v>
      </c>
      <c r="G205" s="18">
        <v>5.6000000000000001E-2</v>
      </c>
      <c r="H205" s="38">
        <f t="shared" si="21"/>
        <v>0.2541836316937014</v>
      </c>
      <c r="I205" s="32">
        <f t="shared" si="25"/>
        <v>147469.83436025307</v>
      </c>
      <c r="J205" s="47">
        <v>0</v>
      </c>
      <c r="K205" s="24">
        <v>-1.9699999999999999E-2</v>
      </c>
      <c r="L205" s="38">
        <f t="shared" si="22"/>
        <v>0.21880853303571021</v>
      </c>
      <c r="M205" s="32">
        <f t="shared" si="26"/>
        <v>126946.24712211841</v>
      </c>
      <c r="N205" s="47">
        <v>0</v>
      </c>
      <c r="O205" s="27">
        <v>-1.84E-2</v>
      </c>
      <c r="P205" s="38">
        <f t="shared" si="23"/>
        <v>0.1609012847931951</v>
      </c>
      <c r="Q205" s="31">
        <f t="shared" si="27"/>
        <v>93350.172309275265</v>
      </c>
      <c r="R205" s="47">
        <v>0</v>
      </c>
      <c r="S205" s="37">
        <f t="shared" si="24"/>
        <v>580170.45935498504</v>
      </c>
      <c r="T205" s="40">
        <f t="shared" si="28"/>
        <v>1.2833539222707468E-3</v>
      </c>
    </row>
    <row r="206" spans="2:20" x14ac:dyDescent="0.35">
      <c r="B206" s="10" t="s">
        <v>210</v>
      </c>
      <c r="C206" s="16">
        <v>-3.3300000000000003E-2</v>
      </c>
      <c r="D206" s="38">
        <f t="shared" si="20"/>
        <v>0.37433707907588332</v>
      </c>
      <c r="E206" s="32">
        <f t="shared" si="29"/>
        <v>205331.1455180792</v>
      </c>
      <c r="F206" s="47">
        <v>0</v>
      </c>
      <c r="G206" s="17">
        <v>-0.1202</v>
      </c>
      <c r="H206" s="38">
        <f t="shared" si="21"/>
        <v>0.23653486660643641</v>
      </c>
      <c r="I206" s="32">
        <f t="shared" si="25"/>
        <v>129743.96027015065</v>
      </c>
      <c r="J206" s="47">
        <v>0</v>
      </c>
      <c r="K206" s="24">
        <v>-1.3899999999999999E-2</v>
      </c>
      <c r="L206" s="38">
        <f t="shared" si="22"/>
        <v>0.22821744687088916</v>
      </c>
      <c r="M206" s="32">
        <f t="shared" si="26"/>
        <v>125181.69428712096</v>
      </c>
      <c r="N206" s="47">
        <v>0</v>
      </c>
      <c r="O206" s="27">
        <v>-5.45E-2</v>
      </c>
      <c r="P206" s="38">
        <f t="shared" si="23"/>
        <v>0.1609106074467912</v>
      </c>
      <c r="Q206" s="31">
        <f t="shared" si="27"/>
        <v>88262.587918419769</v>
      </c>
      <c r="R206" s="47">
        <v>0</v>
      </c>
      <c r="S206" s="37">
        <f t="shared" si="24"/>
        <v>548519.38799377054</v>
      </c>
      <c r="T206" s="40">
        <f t="shared" si="28"/>
        <v>-5.4554779290905575E-2</v>
      </c>
    </row>
    <row r="207" spans="2:20" x14ac:dyDescent="0.35">
      <c r="B207" s="11" t="s">
        <v>211</v>
      </c>
      <c r="C207" s="20">
        <v>4.8800000000000003E-2</v>
      </c>
      <c r="D207" s="38">
        <f t="shared" si="20"/>
        <v>0.37440951517246229</v>
      </c>
      <c r="E207" s="32">
        <f t="shared" si="29"/>
        <v>215351.30541936145</v>
      </c>
      <c r="F207" s="47">
        <v>0</v>
      </c>
      <c r="G207" s="18">
        <v>5.0999999999999997E-2</v>
      </c>
      <c r="H207" s="38">
        <f t="shared" si="21"/>
        <v>0.23707689720388658</v>
      </c>
      <c r="I207" s="32">
        <f t="shared" si="25"/>
        <v>136360.90224392834</v>
      </c>
      <c r="J207" s="47">
        <v>0</v>
      </c>
      <c r="K207" s="25">
        <v>6.2199999999999998E-2</v>
      </c>
      <c r="L207" s="38">
        <f t="shared" si="22"/>
        <v>0.23117799400369565</v>
      </c>
      <c r="M207" s="32">
        <f t="shared" si="26"/>
        <v>132967.99567177988</v>
      </c>
      <c r="N207" s="47">
        <v>0</v>
      </c>
      <c r="O207" s="26">
        <v>2.53E-2</v>
      </c>
      <c r="P207" s="38">
        <f t="shared" si="23"/>
        <v>0.15733559361995542</v>
      </c>
      <c r="Q207" s="31">
        <f t="shared" si="27"/>
        <v>90495.631392755793</v>
      </c>
      <c r="R207" s="47">
        <v>0</v>
      </c>
      <c r="S207" s="37">
        <f t="shared" si="24"/>
        <v>575175.83472782548</v>
      </c>
      <c r="T207" s="40">
        <f t="shared" si="28"/>
        <v>4.8597091219604538E-2</v>
      </c>
    </row>
    <row r="208" spans="2:20" x14ac:dyDescent="0.35">
      <c r="B208" s="10" t="s">
        <v>212</v>
      </c>
      <c r="C208" s="20">
        <v>4.9799999999999997E-2</v>
      </c>
      <c r="D208" s="38">
        <f t="shared" si="20"/>
        <v>0.38157525687376348</v>
      </c>
      <c r="E208" s="32">
        <f t="shared" si="29"/>
        <v>226075.80042924566</v>
      </c>
      <c r="F208" s="47">
        <v>0</v>
      </c>
      <c r="G208" s="18">
        <v>1.9800000000000002E-2</v>
      </c>
      <c r="H208" s="38">
        <f t="shared" si="21"/>
        <v>0.23470968028104755</v>
      </c>
      <c r="I208" s="32">
        <f t="shared" si="25"/>
        <v>139060.84810835813</v>
      </c>
      <c r="J208" s="47">
        <v>0</v>
      </c>
      <c r="K208" s="25">
        <v>1.55E-2</v>
      </c>
      <c r="L208" s="38">
        <f t="shared" si="22"/>
        <v>0.22790464575041097</v>
      </c>
      <c r="M208" s="32">
        <f t="shared" si="26"/>
        <v>135028.99960469248</v>
      </c>
      <c r="N208" s="47">
        <v>0</v>
      </c>
      <c r="O208" s="26">
        <v>2.01E-2</v>
      </c>
      <c r="P208" s="38">
        <f t="shared" si="23"/>
        <v>0.155810417094778</v>
      </c>
      <c r="Q208" s="31">
        <f t="shared" si="27"/>
        <v>92314.593583750189</v>
      </c>
      <c r="R208" s="47">
        <v>0</v>
      </c>
      <c r="S208" s="37">
        <f t="shared" si="24"/>
        <v>592480.24172604643</v>
      </c>
      <c r="T208" s="40">
        <f t="shared" si="28"/>
        <v>3.0085420759043968E-2</v>
      </c>
    </row>
    <row r="209" spans="2:20" x14ac:dyDescent="0.35">
      <c r="B209" s="11" t="s">
        <v>213</v>
      </c>
      <c r="C209" s="16">
        <v>-5.1000000000000004E-3</v>
      </c>
      <c r="D209" s="38">
        <f t="shared" si="20"/>
        <v>0.37559970083478594</v>
      </c>
      <c r="E209" s="32">
        <f t="shared" si="29"/>
        <v>224922.8138470565</v>
      </c>
      <c r="F209" s="47">
        <v>0</v>
      </c>
      <c r="G209" s="18">
        <v>1.18E-2</v>
      </c>
      <c r="H209" s="38">
        <f t="shared" si="21"/>
        <v>0.23495856358992917</v>
      </c>
      <c r="I209" s="32">
        <f t="shared" si="25"/>
        <v>140701.76611603674</v>
      </c>
      <c r="J209" s="47">
        <v>0</v>
      </c>
      <c r="K209" s="25">
        <v>1.29E-2</v>
      </c>
      <c r="L209" s="38">
        <f t="shared" si="22"/>
        <v>0.22839434722442545</v>
      </c>
      <c r="M209" s="32">
        <f t="shared" si="26"/>
        <v>136770.87369959301</v>
      </c>
      <c r="N209" s="47">
        <v>0</v>
      </c>
      <c r="O209" s="26">
        <v>4.4699999999999997E-2</v>
      </c>
      <c r="P209" s="38">
        <f t="shared" si="23"/>
        <v>0.16104738835085938</v>
      </c>
      <c r="Q209" s="31">
        <f t="shared" si="27"/>
        <v>96441.05591694382</v>
      </c>
      <c r="R209" s="47">
        <v>0</v>
      </c>
      <c r="S209" s="37">
        <f t="shared" si="24"/>
        <v>598836.5095796301</v>
      </c>
      <c r="T209" s="40">
        <f t="shared" si="28"/>
        <v>1.0728235991577018E-2</v>
      </c>
    </row>
    <row r="210" spans="2:20" x14ac:dyDescent="0.35">
      <c r="B210" s="10" t="s">
        <v>214</v>
      </c>
      <c r="C210" s="20">
        <v>0.1147</v>
      </c>
      <c r="D210" s="38">
        <f t="shared" si="20"/>
        <v>0.38806158270972635</v>
      </c>
      <c r="E210" s="32">
        <f t="shared" si="29"/>
        <v>250721.46059531387</v>
      </c>
      <c r="F210" s="47">
        <v>0</v>
      </c>
      <c r="G210" s="18">
        <v>5.8299999999999998E-2</v>
      </c>
      <c r="H210" s="38">
        <f t="shared" si="21"/>
        <v>0.23047163693007855</v>
      </c>
      <c r="I210" s="32">
        <f t="shared" si="25"/>
        <v>148904.67908060169</v>
      </c>
      <c r="J210" s="47">
        <v>0</v>
      </c>
      <c r="K210" s="25">
        <v>6.6900000000000001E-2</v>
      </c>
      <c r="L210" s="38">
        <f t="shared" si="22"/>
        <v>0.22585331939608783</v>
      </c>
      <c r="M210" s="32">
        <f t="shared" si="26"/>
        <v>145920.84515009579</v>
      </c>
      <c r="N210" s="47">
        <v>0</v>
      </c>
      <c r="O210" s="26">
        <v>4.2500000000000003E-2</v>
      </c>
      <c r="P210" s="38">
        <f t="shared" si="23"/>
        <v>0.15561346096410719</v>
      </c>
      <c r="Q210" s="31">
        <f t="shared" si="27"/>
        <v>100539.80079341393</v>
      </c>
      <c r="R210" s="47">
        <v>0</v>
      </c>
      <c r="S210" s="37">
        <f t="shared" si="24"/>
        <v>646086.78561942535</v>
      </c>
      <c r="T210" s="40">
        <f t="shared" si="28"/>
        <v>7.8903465777268478E-2</v>
      </c>
    </row>
    <row r="211" spans="2:20" x14ac:dyDescent="0.35">
      <c r="B211" s="11" t="s">
        <v>215</v>
      </c>
      <c r="C211" s="16">
        <v>-1.6500000000000001E-2</v>
      </c>
      <c r="D211" s="38">
        <f t="shared" si="20"/>
        <v>0.38423375290931561</v>
      </c>
      <c r="E211" s="32">
        <f t="shared" si="29"/>
        <v>246584.55649549118</v>
      </c>
      <c r="F211" s="47">
        <v>0</v>
      </c>
      <c r="G211" s="17">
        <v>-1.3100000000000001E-2</v>
      </c>
      <c r="H211" s="38">
        <f t="shared" si="21"/>
        <v>0.22898716125341273</v>
      </c>
      <c r="I211" s="32">
        <f t="shared" si="25"/>
        <v>146954.02778464582</v>
      </c>
      <c r="J211" s="47">
        <v>0</v>
      </c>
      <c r="K211" s="25">
        <v>1.7899999999999999E-2</v>
      </c>
      <c r="L211" s="38">
        <f t="shared" si="22"/>
        <v>0.23144728465848979</v>
      </c>
      <c r="M211" s="32">
        <f t="shared" si="26"/>
        <v>148532.82827828251</v>
      </c>
      <c r="N211" s="47">
        <v>0</v>
      </c>
      <c r="O211" s="27">
        <v>-8.5000000000000006E-3</v>
      </c>
      <c r="P211" s="38">
        <f t="shared" si="23"/>
        <v>0.1553318011787819</v>
      </c>
      <c r="Q211" s="31">
        <f t="shared" si="27"/>
        <v>99685.212486669916</v>
      </c>
      <c r="R211" s="47">
        <v>0</v>
      </c>
      <c r="S211" s="37">
        <f t="shared" si="24"/>
        <v>641756.6250450894</v>
      </c>
      <c r="T211" s="40">
        <f t="shared" si="28"/>
        <v>-6.7021345594996395E-3</v>
      </c>
    </row>
    <row r="212" spans="2:20" x14ac:dyDescent="0.35">
      <c r="B212" s="10" t="s">
        <v>216</v>
      </c>
      <c r="C212" s="20">
        <v>3.8300000000000001E-2</v>
      </c>
      <c r="D212" s="38">
        <f t="shared" si="20"/>
        <v>0.39363074488058425</v>
      </c>
      <c r="E212" s="32">
        <f t="shared" si="29"/>
        <v>256028.74500926849</v>
      </c>
      <c r="F212" s="47">
        <v>0</v>
      </c>
      <c r="G212" s="18">
        <v>2.5899999999999999E-2</v>
      </c>
      <c r="H212" s="38">
        <f t="shared" si="21"/>
        <v>0.23178579055450896</v>
      </c>
      <c r="I212" s="32">
        <f t="shared" si="25"/>
        <v>150760.13710426816</v>
      </c>
      <c r="J212" s="47">
        <v>0</v>
      </c>
      <c r="K212" s="24">
        <v>-2.7400000000000001E-2</v>
      </c>
      <c r="L212" s="38">
        <f t="shared" si="22"/>
        <v>0.22210431733233357</v>
      </c>
      <c r="M212" s="32">
        <f t="shared" si="26"/>
        <v>144463.02878345756</v>
      </c>
      <c r="N212" s="47">
        <v>0</v>
      </c>
      <c r="O212" s="27">
        <v>-5.1000000000000004E-3</v>
      </c>
      <c r="P212" s="38">
        <f t="shared" si="23"/>
        <v>0.15247914723257319</v>
      </c>
      <c r="Q212" s="31">
        <f t="shared" si="27"/>
        <v>99176.817902987896</v>
      </c>
      <c r="R212" s="47">
        <v>0</v>
      </c>
      <c r="S212" s="37">
        <f t="shared" si="24"/>
        <v>650428.72879998211</v>
      </c>
      <c r="T212" s="40">
        <f t="shared" si="28"/>
        <v>1.3513072427235873E-2</v>
      </c>
    </row>
    <row r="213" spans="2:20" x14ac:dyDescent="0.35">
      <c r="B213" s="9" t="s">
        <v>217</v>
      </c>
      <c r="C213" s="16">
        <v>-8.7300000000000003E-2</v>
      </c>
      <c r="D213" s="38">
        <f t="shared" ref="D213:D265" si="30">E213/S213</f>
        <v>0.24356833289888755</v>
      </c>
      <c r="E213" s="32">
        <f t="shared" si="29"/>
        <v>148411.56863095934</v>
      </c>
      <c r="F213" s="48">
        <v>-93421.57</v>
      </c>
      <c r="G213" s="17">
        <v>-5.3800000000000001E-2</v>
      </c>
      <c r="H213" s="38">
        <f t="shared" ref="H213:H265" si="31">I213/S213</f>
        <v>0.25250833741446915</v>
      </c>
      <c r="I213" s="32">
        <f t="shared" si="25"/>
        <v>153858.91097605854</v>
      </c>
      <c r="J213" s="49">
        <v>11847.04</v>
      </c>
      <c r="K213" s="24">
        <v>-7.4300000000000005E-2</v>
      </c>
      <c r="L213" s="38">
        <f t="shared" ref="L213:L265" si="32">M213/S213</f>
        <v>0.2468249007498278</v>
      </c>
      <c r="M213" s="32">
        <f t="shared" si="26"/>
        <v>150395.86739984664</v>
      </c>
      <c r="N213" s="49">
        <v>18004.150000000001</v>
      </c>
      <c r="O213" s="27">
        <v>-3.6600000000000001E-2</v>
      </c>
      <c r="P213" s="38">
        <f t="shared" ref="P213:P265" si="33">Q213/S213</f>
        <v>0.25709842893681545</v>
      </c>
      <c r="Q213" s="31">
        <f t="shared" si="27"/>
        <v>156655.75519173854</v>
      </c>
      <c r="R213" s="49">
        <v>63430.36</v>
      </c>
      <c r="S213" s="37">
        <f t="shared" ref="S213:S265" si="34">Q213+M213+I213+E213</f>
        <v>609322.1021986031</v>
      </c>
      <c r="T213" s="40">
        <f t="shared" si="28"/>
        <v>-6.3199278846768125E-2</v>
      </c>
    </row>
    <row r="214" spans="2:20" x14ac:dyDescent="0.35">
      <c r="B214" s="10" t="s">
        <v>218</v>
      </c>
      <c r="C214" s="16">
        <v>-6.83E-2</v>
      </c>
      <c r="D214" s="38">
        <f t="shared" si="30"/>
        <v>0.23505438077038177</v>
      </c>
      <c r="E214" s="32">
        <f t="shared" si="29"/>
        <v>138275.05849346484</v>
      </c>
      <c r="F214" s="47">
        <v>0</v>
      </c>
      <c r="G214" s="18">
        <v>2.1899999999999999E-2</v>
      </c>
      <c r="H214" s="38">
        <f t="shared" si="31"/>
        <v>0.26727328536350237</v>
      </c>
      <c r="I214" s="32">
        <f t="shared" ref="I214:I265" si="35">((I213+J214)*G214)+I213+J214</f>
        <v>157228.42112643423</v>
      </c>
      <c r="J214" s="47">
        <v>0</v>
      </c>
      <c r="K214" s="24">
        <v>-5.5100000000000003E-2</v>
      </c>
      <c r="L214" s="38">
        <f t="shared" si="32"/>
        <v>0.2415718084936529</v>
      </c>
      <c r="M214" s="32">
        <f t="shared" ref="M214:M265" si="36">((M213+N214)*K214)+M213+N214</f>
        <v>142109.05510611509</v>
      </c>
      <c r="N214" s="47">
        <v>0</v>
      </c>
      <c r="O214" s="27">
        <v>-3.8300000000000001E-2</v>
      </c>
      <c r="P214" s="38">
        <f t="shared" si="33"/>
        <v>0.25610052537246308</v>
      </c>
      <c r="Q214" s="31">
        <f t="shared" ref="Q214:Q265" si="37">((Q213+R214)*O214)+Q213+R214</f>
        <v>150655.83976789497</v>
      </c>
      <c r="R214" s="47">
        <v>0</v>
      </c>
      <c r="S214" s="37">
        <f t="shared" si="34"/>
        <v>588268.37449390907</v>
      </c>
      <c r="T214" s="40">
        <f t="shared" ref="T214:T265" si="38">S214/S213-1</f>
        <v>-3.4552706407212752E-2</v>
      </c>
    </row>
    <row r="215" spans="2:20" x14ac:dyDescent="0.35">
      <c r="B215" s="11" t="s">
        <v>219</v>
      </c>
      <c r="C215" s="16">
        <v>-4.2900000000000001E-2</v>
      </c>
      <c r="D215" s="38">
        <f t="shared" si="30"/>
        <v>0.24372559066535951</v>
      </c>
      <c r="E215" s="32">
        <f t="shared" ref="E215:E265" si="39">((E214+F215)*C215)+E214+F215</f>
        <v>132343.05848409521</v>
      </c>
      <c r="F215" s="47">
        <v>0</v>
      </c>
      <c r="G215" s="17">
        <v>-6.25E-2</v>
      </c>
      <c r="H215" s="38">
        <f t="shared" si="31"/>
        <v>0.27145778068679871</v>
      </c>
      <c r="I215" s="32">
        <f t="shared" si="35"/>
        <v>147401.6448060321</v>
      </c>
      <c r="J215" s="47">
        <v>0</v>
      </c>
      <c r="K215" s="24">
        <v>-0.12740000000000001</v>
      </c>
      <c r="L215" s="38">
        <f t="shared" si="32"/>
        <v>0.22836888155935892</v>
      </c>
      <c r="M215" s="32">
        <f t="shared" si="36"/>
        <v>124004.36148559602</v>
      </c>
      <c r="N215" s="47">
        <v>0</v>
      </c>
      <c r="O215" s="27">
        <v>-7.5700000000000003E-2</v>
      </c>
      <c r="P215" s="38">
        <f t="shared" si="33"/>
        <v>0.25644774708848278</v>
      </c>
      <c r="Q215" s="31">
        <f t="shared" si="37"/>
        <v>139251.19269746533</v>
      </c>
      <c r="R215" s="47">
        <v>0</v>
      </c>
      <c r="S215" s="37">
        <f t="shared" si="34"/>
        <v>543000.25747318869</v>
      </c>
      <c r="T215" s="40">
        <f t="shared" si="38"/>
        <v>-7.695147144305492E-2</v>
      </c>
    </row>
    <row r="216" spans="2:20" x14ac:dyDescent="0.35">
      <c r="B216" s="10" t="s">
        <v>220</v>
      </c>
      <c r="C216" s="16">
        <v>-5.5800000000000002E-2</v>
      </c>
      <c r="D216" s="38">
        <f t="shared" si="30"/>
        <v>0.23374971780840839</v>
      </c>
      <c r="E216" s="32">
        <f t="shared" si="39"/>
        <v>124958.31582068269</v>
      </c>
      <c r="F216" s="47">
        <v>0</v>
      </c>
      <c r="G216" s="18">
        <v>1.35E-2</v>
      </c>
      <c r="H216" s="38">
        <f t="shared" si="31"/>
        <v>0.27945508390068335</v>
      </c>
      <c r="I216" s="32">
        <f t="shared" si="35"/>
        <v>149391.56701091354</v>
      </c>
      <c r="J216" s="47">
        <v>0</v>
      </c>
      <c r="K216" s="24">
        <v>-6.3799999999999996E-2</v>
      </c>
      <c r="L216" s="38">
        <f t="shared" si="32"/>
        <v>0.21716584858457205</v>
      </c>
      <c r="M216" s="32">
        <f t="shared" si="36"/>
        <v>116092.883222815</v>
      </c>
      <c r="N216" s="47">
        <v>0</v>
      </c>
      <c r="O216" s="26">
        <v>3.5099999999999999E-2</v>
      </c>
      <c r="P216" s="38">
        <f t="shared" si="33"/>
        <v>0.26962934970633623</v>
      </c>
      <c r="Q216" s="31">
        <f t="shared" si="37"/>
        <v>144138.90956114637</v>
      </c>
      <c r="R216" s="47">
        <v>0</v>
      </c>
      <c r="S216" s="37">
        <f t="shared" si="34"/>
        <v>534581.67561555759</v>
      </c>
      <c r="T216" s="40">
        <f t="shared" si="38"/>
        <v>-1.5503826640536733E-2</v>
      </c>
    </row>
    <row r="217" spans="2:20" x14ac:dyDescent="0.35">
      <c r="B217" s="11" t="s">
        <v>221</v>
      </c>
      <c r="C217" s="16">
        <v>-3.7400000000000003E-2</v>
      </c>
      <c r="D217" s="38">
        <f t="shared" si="30"/>
        <v>0.23704029013160355</v>
      </c>
      <c r="E217" s="32">
        <f t="shared" si="39"/>
        <v>120284.87480898916</v>
      </c>
      <c r="F217" s="47">
        <v>0</v>
      </c>
      <c r="G217" s="17">
        <v>-6.7400000000000002E-2</v>
      </c>
      <c r="H217" s="38">
        <f t="shared" si="31"/>
        <v>0.27455707748633351</v>
      </c>
      <c r="I217" s="32">
        <f t="shared" si="35"/>
        <v>139322.57539437796</v>
      </c>
      <c r="J217" s="47">
        <v>0</v>
      </c>
      <c r="K217" s="24">
        <v>-6.0699999999999997E-2</v>
      </c>
      <c r="L217" s="38">
        <f t="shared" si="32"/>
        <v>0.21489240634461518</v>
      </c>
      <c r="M217" s="32">
        <f t="shared" si="36"/>
        <v>109046.04521119012</v>
      </c>
      <c r="N217" s="47">
        <v>0</v>
      </c>
      <c r="O217" s="27">
        <v>-3.7100000000000001E-2</v>
      </c>
      <c r="P217" s="38">
        <f t="shared" si="33"/>
        <v>0.27351022603744779</v>
      </c>
      <c r="Q217" s="31">
        <f t="shared" si="37"/>
        <v>138791.35601642783</v>
      </c>
      <c r="R217" s="47">
        <v>0</v>
      </c>
      <c r="S217" s="37">
        <f t="shared" si="34"/>
        <v>507444.85143098509</v>
      </c>
      <c r="T217" s="40">
        <f t="shared" si="38"/>
        <v>-5.0762727984129064E-2</v>
      </c>
    </row>
    <row r="218" spans="2:20" x14ac:dyDescent="0.35">
      <c r="B218" s="10" t="s">
        <v>222</v>
      </c>
      <c r="C218" s="16">
        <v>-1.2999999999999999E-3</v>
      </c>
      <c r="D218" s="38">
        <f t="shared" si="30"/>
        <v>0.22323217732290612</v>
      </c>
      <c r="E218" s="32">
        <f t="shared" si="39"/>
        <v>120128.50447173747</v>
      </c>
      <c r="F218" s="47">
        <v>0</v>
      </c>
      <c r="G218" s="18">
        <v>7.2800000000000004E-2</v>
      </c>
      <c r="H218" s="38">
        <f t="shared" si="31"/>
        <v>0.27774802759201572</v>
      </c>
      <c r="I218" s="32">
        <f t="shared" si="35"/>
        <v>149465.25888308868</v>
      </c>
      <c r="J218" s="47">
        <v>0</v>
      </c>
      <c r="K218" s="25">
        <v>7.4399999999999994E-2</v>
      </c>
      <c r="L218" s="38">
        <f t="shared" si="32"/>
        <v>0.217714143881726</v>
      </c>
      <c r="M218" s="32">
        <f t="shared" si="36"/>
        <v>117159.07097490267</v>
      </c>
      <c r="N218" s="47">
        <v>0</v>
      </c>
      <c r="O218" s="26">
        <v>9.0700000000000003E-2</v>
      </c>
      <c r="P218" s="38">
        <f t="shared" si="33"/>
        <v>0.28130565120335232</v>
      </c>
      <c r="Q218" s="31">
        <f t="shared" si="37"/>
        <v>151379.73200711783</v>
      </c>
      <c r="R218" s="47">
        <v>0</v>
      </c>
      <c r="S218" s="37">
        <f t="shared" si="34"/>
        <v>538132.56633684656</v>
      </c>
      <c r="T218" s="40">
        <f t="shared" si="38"/>
        <v>6.0474975397469599E-2</v>
      </c>
    </row>
    <row r="219" spans="2:20" x14ac:dyDescent="0.35">
      <c r="B219" s="11" t="s">
        <v>223</v>
      </c>
      <c r="C219" s="20">
        <v>9.1499999999999998E-2</v>
      </c>
      <c r="D219" s="38">
        <f t="shared" si="30"/>
        <v>0.23911150685875843</v>
      </c>
      <c r="E219" s="32">
        <f t="shared" si="39"/>
        <v>131120.26263090144</v>
      </c>
      <c r="F219" s="47">
        <v>0</v>
      </c>
      <c r="G219" s="17">
        <v>-2.29E-2</v>
      </c>
      <c r="H219" s="38">
        <f t="shared" si="31"/>
        <v>0.26632377486828135</v>
      </c>
      <c r="I219" s="32">
        <f t="shared" si="35"/>
        <v>146042.50445466596</v>
      </c>
      <c r="J219" s="47">
        <v>0</v>
      </c>
      <c r="K219" s="25">
        <v>2.2599999999999999E-2</v>
      </c>
      <c r="L219" s="38">
        <f t="shared" si="32"/>
        <v>0.21848034530627322</v>
      </c>
      <c r="M219" s="32">
        <f t="shared" si="36"/>
        <v>119806.86597893547</v>
      </c>
      <c r="N219" s="47">
        <v>0</v>
      </c>
      <c r="O219" s="26">
        <v>1E-4</v>
      </c>
      <c r="P219" s="38">
        <f t="shared" si="33"/>
        <v>0.2760843729666872</v>
      </c>
      <c r="Q219" s="31">
        <f t="shared" si="37"/>
        <v>151394.86998031853</v>
      </c>
      <c r="R219" s="47">
        <v>0</v>
      </c>
      <c r="S219" s="37">
        <f t="shared" si="34"/>
        <v>548364.50304482132</v>
      </c>
      <c r="T219" s="40">
        <f t="shared" si="38"/>
        <v>1.9013784610036E-2</v>
      </c>
    </row>
    <row r="220" spans="2:20" x14ac:dyDescent="0.35">
      <c r="B220" s="10" t="s">
        <v>224</v>
      </c>
      <c r="C220" s="16">
        <v>-5.3699999999999998E-2</v>
      </c>
      <c r="D220" s="38">
        <f t="shared" si="30"/>
        <v>0.23566180529089742</v>
      </c>
      <c r="E220" s="32">
        <f t="shared" si="39"/>
        <v>124079.10452762204</v>
      </c>
      <c r="F220" s="47">
        <v>0</v>
      </c>
      <c r="G220" s="17">
        <v>-4.2200000000000001E-2</v>
      </c>
      <c r="H220" s="38">
        <f t="shared" si="31"/>
        <v>0.26567130828337604</v>
      </c>
      <c r="I220" s="32">
        <f t="shared" si="35"/>
        <v>139879.51076667907</v>
      </c>
      <c r="J220" s="47">
        <v>0</v>
      </c>
      <c r="K220" s="24">
        <v>-5.8400000000000001E-2</v>
      </c>
      <c r="L220" s="38">
        <f t="shared" si="32"/>
        <v>0.21425881922985976</v>
      </c>
      <c r="M220" s="32">
        <f t="shared" si="36"/>
        <v>112810.14500576563</v>
      </c>
      <c r="N220" s="47">
        <v>0</v>
      </c>
      <c r="O220" s="27">
        <v>-1.09E-2</v>
      </c>
      <c r="P220" s="38">
        <f t="shared" si="33"/>
        <v>0.28440806719586692</v>
      </c>
      <c r="Q220" s="31">
        <f t="shared" si="37"/>
        <v>149744.66589753306</v>
      </c>
      <c r="R220" s="47">
        <v>0</v>
      </c>
      <c r="S220" s="37">
        <f t="shared" si="34"/>
        <v>526513.42619759974</v>
      </c>
      <c r="T220" s="40">
        <f t="shared" si="38"/>
        <v>-3.9847723048979988E-2</v>
      </c>
    </row>
    <row r="221" spans="2:20" x14ac:dyDescent="0.35">
      <c r="B221" s="11" t="s">
        <v>225</v>
      </c>
      <c r="C221" s="16">
        <v>-4.4900000000000002E-2</v>
      </c>
      <c r="D221" s="38">
        <f t="shared" si="30"/>
        <v>0.22435232092132995</v>
      </c>
      <c r="E221" s="32">
        <f t="shared" si="39"/>
        <v>118507.9527343318</v>
      </c>
      <c r="F221" s="47">
        <v>0</v>
      </c>
      <c r="G221" s="18">
        <v>2.2599999999999999E-2</v>
      </c>
      <c r="H221" s="38">
        <f t="shared" si="31"/>
        <v>0.27079644841302003</v>
      </c>
      <c r="I221" s="32">
        <f t="shared" si="35"/>
        <v>143040.78771000603</v>
      </c>
      <c r="J221" s="47">
        <v>0</v>
      </c>
      <c r="K221" s="24">
        <v>-3.5299999999999998E-2</v>
      </c>
      <c r="L221" s="38">
        <f t="shared" si="32"/>
        <v>0.20602670033419909</v>
      </c>
      <c r="M221" s="32">
        <f t="shared" si="36"/>
        <v>108827.94688706211</v>
      </c>
      <c r="N221" s="47">
        <v>0</v>
      </c>
      <c r="O221" s="26">
        <v>5.4100000000000002E-2</v>
      </c>
      <c r="P221" s="38">
        <f t="shared" si="33"/>
        <v>0.29882453033145084</v>
      </c>
      <c r="Q221" s="31">
        <f t="shared" si="37"/>
        <v>157845.85232258961</v>
      </c>
      <c r="R221" s="47">
        <v>0</v>
      </c>
      <c r="S221" s="37">
        <f t="shared" si="34"/>
        <v>528222.5396539896</v>
      </c>
      <c r="T221" s="40">
        <f t="shared" si="38"/>
        <v>3.2460966261256274E-3</v>
      </c>
    </row>
    <row r="222" spans="2:20" x14ac:dyDescent="0.35">
      <c r="B222" s="10" t="s">
        <v>226</v>
      </c>
      <c r="C222" s="20">
        <v>5.96E-2</v>
      </c>
      <c r="D222" s="38">
        <f t="shared" si="30"/>
        <v>0.24213410050804621</v>
      </c>
      <c r="E222" s="32">
        <f t="shared" si="39"/>
        <v>125571.02671729798</v>
      </c>
      <c r="F222" s="47">
        <v>0</v>
      </c>
      <c r="G222" s="17">
        <v>-3.5299999999999998E-2</v>
      </c>
      <c r="H222" s="38">
        <f t="shared" si="31"/>
        <v>0.2660839525603495</v>
      </c>
      <c r="I222" s="32">
        <f t="shared" si="35"/>
        <v>137991.44790384281</v>
      </c>
      <c r="J222" s="47">
        <v>0</v>
      </c>
      <c r="K222" s="24">
        <v>-7.9500000000000001E-2</v>
      </c>
      <c r="L222" s="38">
        <f t="shared" si="32"/>
        <v>0.19316602388215362</v>
      </c>
      <c r="M222" s="32">
        <f t="shared" si="36"/>
        <v>100176.12510954066</v>
      </c>
      <c r="N222" s="47">
        <v>0</v>
      </c>
      <c r="O222" s="27">
        <v>-1.89E-2</v>
      </c>
      <c r="P222" s="38">
        <f t="shared" si="33"/>
        <v>0.29861592304945067</v>
      </c>
      <c r="Q222" s="31">
        <f t="shared" si="37"/>
        <v>154862.56571369266</v>
      </c>
      <c r="R222" s="47">
        <v>0</v>
      </c>
      <c r="S222" s="37">
        <f t="shared" si="34"/>
        <v>518601.16544437408</v>
      </c>
      <c r="T222" s="40">
        <f t="shared" si="38"/>
        <v>-1.8214622601901764E-2</v>
      </c>
    </row>
    <row r="223" spans="2:20" x14ac:dyDescent="0.35">
      <c r="B223" s="11" t="s">
        <v>227</v>
      </c>
      <c r="C223" s="20">
        <v>4.8500000000000001E-2</v>
      </c>
      <c r="D223" s="38">
        <f t="shared" si="30"/>
        <v>0.24331775129592734</v>
      </c>
      <c r="E223" s="32">
        <f t="shared" si="39"/>
        <v>131661.22151308693</v>
      </c>
      <c r="F223" s="47">
        <v>0</v>
      </c>
      <c r="G223" s="18">
        <v>7.7399999999999997E-2</v>
      </c>
      <c r="H223" s="38">
        <f t="shared" si="31"/>
        <v>0.27475465358426537</v>
      </c>
      <c r="I223" s="32">
        <f t="shared" si="35"/>
        <v>148671.98597160025</v>
      </c>
      <c r="J223" s="47">
        <v>0</v>
      </c>
      <c r="K223" s="25">
        <v>6.3600000000000004E-2</v>
      </c>
      <c r="L223" s="38">
        <f t="shared" si="32"/>
        <v>0.19690578313911733</v>
      </c>
      <c r="M223" s="32">
        <f t="shared" si="36"/>
        <v>106547.32666650745</v>
      </c>
      <c r="N223" s="47">
        <v>0</v>
      </c>
      <c r="O223" s="27">
        <v>-4.1000000000000003E-3</v>
      </c>
      <c r="P223" s="38">
        <f t="shared" si="33"/>
        <v>0.28502181198068999</v>
      </c>
      <c r="Q223" s="31">
        <f t="shared" si="37"/>
        <v>154227.62919426651</v>
      </c>
      <c r="R223" s="47">
        <v>0</v>
      </c>
      <c r="S223" s="37">
        <f t="shared" si="34"/>
        <v>541108.16334546113</v>
      </c>
      <c r="T223" s="40">
        <f t="shared" si="38"/>
        <v>4.3399435637213601E-2</v>
      </c>
    </row>
    <row r="224" spans="2:20" x14ac:dyDescent="0.35">
      <c r="B224" s="10" t="s">
        <v>228</v>
      </c>
      <c r="C224" s="16">
        <v>-5.6000000000000001E-2</v>
      </c>
      <c r="D224" s="38">
        <f t="shared" si="30"/>
        <v>0.23188246883405988</v>
      </c>
      <c r="E224" s="32">
        <f t="shared" si="39"/>
        <v>124288.19310835405</v>
      </c>
      <c r="F224" s="47">
        <v>0</v>
      </c>
      <c r="G224" s="18">
        <v>3.4200000000000001E-2</v>
      </c>
      <c r="H224" s="38">
        <f t="shared" si="31"/>
        <v>0.28686113837962451</v>
      </c>
      <c r="I224" s="32">
        <f t="shared" si="35"/>
        <v>153756.56789182898</v>
      </c>
      <c r="J224" s="47">
        <v>0</v>
      </c>
      <c r="K224" s="24">
        <v>-2.7799999999999998E-2</v>
      </c>
      <c r="L224" s="38">
        <f t="shared" si="32"/>
        <v>0.19325743697349301</v>
      </c>
      <c r="M224" s="32">
        <f t="shared" si="36"/>
        <v>103585.31098517854</v>
      </c>
      <c r="N224" s="47">
        <v>0</v>
      </c>
      <c r="O224" s="26">
        <v>8.9999999999999998E-4</v>
      </c>
      <c r="P224" s="38">
        <f t="shared" si="33"/>
        <v>0.28799895581282275</v>
      </c>
      <c r="Q224" s="31">
        <f t="shared" si="37"/>
        <v>154366.43406054136</v>
      </c>
      <c r="R224" s="47">
        <v>0</v>
      </c>
      <c r="S224" s="37">
        <f t="shared" si="34"/>
        <v>535996.50604590285</v>
      </c>
      <c r="T224" s="40">
        <f t="shared" si="38"/>
        <v>-9.4466460604750724E-3</v>
      </c>
    </row>
    <row r="225" spans="2:20" x14ac:dyDescent="0.35">
      <c r="B225" s="9" t="s">
        <v>229</v>
      </c>
      <c r="C225" s="20">
        <v>2.76E-2</v>
      </c>
      <c r="D225" s="38">
        <f t="shared" si="30"/>
        <v>0.23525092168908027</v>
      </c>
      <c r="E225" s="32">
        <f t="shared" si="39"/>
        <v>127718.54723814463</v>
      </c>
      <c r="F225" s="47">
        <v>0</v>
      </c>
      <c r="G225" s="18">
        <v>2.3900000000000001E-2</v>
      </c>
      <c r="H225" s="38">
        <f t="shared" si="31"/>
        <v>0.28998035883785278</v>
      </c>
      <c r="I225" s="32">
        <f t="shared" si="35"/>
        <v>157431.34986444368</v>
      </c>
      <c r="J225" s="47">
        <v>0</v>
      </c>
      <c r="K225" s="25">
        <v>4.19E-2</v>
      </c>
      <c r="L225" s="38">
        <f t="shared" si="32"/>
        <v>0.19879322348113942</v>
      </c>
      <c r="M225" s="32">
        <f t="shared" si="36"/>
        <v>107925.53551545752</v>
      </c>
      <c r="N225" s="47">
        <v>0</v>
      </c>
      <c r="O225" s="27">
        <v>-2.9399999999999999E-2</v>
      </c>
      <c r="P225" s="38">
        <f t="shared" si="33"/>
        <v>0.27597549599192739</v>
      </c>
      <c r="Q225" s="31">
        <f t="shared" si="37"/>
        <v>149828.06089916144</v>
      </c>
      <c r="R225" s="47">
        <v>0</v>
      </c>
      <c r="S225" s="37">
        <f t="shared" si="34"/>
        <v>542903.49351720733</v>
      </c>
      <c r="T225" s="40">
        <f t="shared" si="38"/>
        <v>1.2886254655385621E-2</v>
      </c>
    </row>
    <row r="226" spans="2:20" x14ac:dyDescent="0.35">
      <c r="B226" s="10" t="s">
        <v>230</v>
      </c>
      <c r="C226" s="16">
        <v>-0.01</v>
      </c>
      <c r="D226" s="38">
        <f t="shared" si="30"/>
        <v>0.23658939216808098</v>
      </c>
      <c r="E226" s="32">
        <f t="shared" si="39"/>
        <v>126441.36176576318</v>
      </c>
      <c r="F226" s="47">
        <v>0</v>
      </c>
      <c r="G226" s="17">
        <v>-3.6999999999999998E-2</v>
      </c>
      <c r="H226" s="38">
        <f t="shared" si="31"/>
        <v>0.28367666354534732</v>
      </c>
      <c r="I226" s="32">
        <f t="shared" si="35"/>
        <v>151606.38991945927</v>
      </c>
      <c r="J226" s="47">
        <v>0</v>
      </c>
      <c r="K226" s="24">
        <v>-3.5299999999999998E-2</v>
      </c>
      <c r="L226" s="38">
        <f t="shared" si="32"/>
        <v>0.19481509058681215</v>
      </c>
      <c r="M226" s="32">
        <f t="shared" si="36"/>
        <v>104115.76411176188</v>
      </c>
      <c r="N226" s="47">
        <v>0</v>
      </c>
      <c r="O226" s="26">
        <v>1.6299999999999999E-2</v>
      </c>
      <c r="P226" s="38">
        <f t="shared" si="33"/>
        <v>0.28491885369975961</v>
      </c>
      <c r="Q226" s="31">
        <f t="shared" si="37"/>
        <v>152270.25829181776</v>
      </c>
      <c r="R226" s="47">
        <v>0</v>
      </c>
      <c r="S226" s="37">
        <f t="shared" si="34"/>
        <v>534433.77408880205</v>
      </c>
      <c r="T226" s="40">
        <f t="shared" si="38"/>
        <v>-1.5600782698107385E-2</v>
      </c>
    </row>
    <row r="227" spans="2:20" x14ac:dyDescent="0.35">
      <c r="B227" s="11" t="s">
        <v>231</v>
      </c>
      <c r="C227" s="20">
        <v>1.38E-2</v>
      </c>
      <c r="D227" s="38">
        <f t="shared" si="30"/>
        <v>0.23556340424698152</v>
      </c>
      <c r="E227" s="32">
        <f t="shared" si="39"/>
        <v>128186.25255813071</v>
      </c>
      <c r="F227" s="47">
        <v>0</v>
      </c>
      <c r="G227" s="18">
        <v>5.5500000000000001E-2</v>
      </c>
      <c r="H227" s="38">
        <f t="shared" si="31"/>
        <v>0.29406417204460134</v>
      </c>
      <c r="I227" s="32">
        <f t="shared" si="35"/>
        <v>160020.54455998924</v>
      </c>
      <c r="J227" s="47">
        <v>0</v>
      </c>
      <c r="K227" s="25">
        <v>2.4299999999999999E-2</v>
      </c>
      <c r="L227" s="38">
        <f t="shared" si="32"/>
        <v>0.19597922413417557</v>
      </c>
      <c r="M227" s="32">
        <f t="shared" si="36"/>
        <v>106645.77717967769</v>
      </c>
      <c r="N227" s="47">
        <v>0</v>
      </c>
      <c r="O227" s="27">
        <v>-1.9400000000000001E-2</v>
      </c>
      <c r="P227" s="38">
        <f t="shared" si="33"/>
        <v>0.27439319957424146</v>
      </c>
      <c r="Q227" s="31">
        <f t="shared" si="37"/>
        <v>149316.2152809565</v>
      </c>
      <c r="R227" s="47">
        <v>0</v>
      </c>
      <c r="S227" s="37">
        <f t="shared" si="34"/>
        <v>544168.78957875422</v>
      </c>
      <c r="T227" s="40">
        <f t="shared" si="38"/>
        <v>1.8215569378170704E-2</v>
      </c>
    </row>
    <row r="228" spans="2:20" x14ac:dyDescent="0.35">
      <c r="B228" s="10" t="s">
        <v>232</v>
      </c>
      <c r="C228" s="16">
        <v>-8.6E-3</v>
      </c>
      <c r="D228" s="38">
        <f t="shared" si="30"/>
        <v>0.23744437109860908</v>
      </c>
      <c r="E228" s="32">
        <f t="shared" si="39"/>
        <v>127083.85078613079</v>
      </c>
      <c r="F228" s="47">
        <v>0</v>
      </c>
      <c r="G228" s="17">
        <v>-1.2500000000000001E-2</v>
      </c>
      <c r="H228" s="38">
        <f t="shared" si="31"/>
        <v>0.29524623006170853</v>
      </c>
      <c r="I228" s="32">
        <f t="shared" si="35"/>
        <v>158020.28775298939</v>
      </c>
      <c r="J228" s="47">
        <v>0</v>
      </c>
      <c r="K228" s="24">
        <v>-2.2100000000000002E-2</v>
      </c>
      <c r="L228" s="38">
        <f t="shared" si="32"/>
        <v>0.19485413313163188</v>
      </c>
      <c r="M228" s="32">
        <f t="shared" si="36"/>
        <v>104288.90550400682</v>
      </c>
      <c r="N228" s="47">
        <v>0</v>
      </c>
      <c r="O228" s="27">
        <v>-2.3400000000000001E-2</v>
      </c>
      <c r="P228" s="38">
        <f t="shared" si="33"/>
        <v>0.27245526570805045</v>
      </c>
      <c r="Q228" s="31">
        <f t="shared" si="37"/>
        <v>145822.21584338212</v>
      </c>
      <c r="R228" s="47">
        <v>0</v>
      </c>
      <c r="S228" s="37">
        <f t="shared" si="34"/>
        <v>535215.25988650916</v>
      </c>
      <c r="T228" s="40">
        <f t="shared" si="38"/>
        <v>-1.6453589150484116E-2</v>
      </c>
    </row>
    <row r="229" spans="2:20" x14ac:dyDescent="0.35">
      <c r="B229" s="11" t="s">
        <v>233</v>
      </c>
      <c r="C229" s="20">
        <v>1.43E-2</v>
      </c>
      <c r="D229" s="38">
        <f t="shared" si="30"/>
        <v>0.24038518374768189</v>
      </c>
      <c r="E229" s="32">
        <f t="shared" si="39"/>
        <v>128901.14985237246</v>
      </c>
      <c r="F229" s="47">
        <v>0</v>
      </c>
      <c r="G229" s="21">
        <v>-1.9E-3</v>
      </c>
      <c r="H229" s="38">
        <f t="shared" si="31"/>
        <v>0.2941289744316592</v>
      </c>
      <c r="I229" s="32">
        <f t="shared" si="35"/>
        <v>157720.0492062587</v>
      </c>
      <c r="J229" s="47">
        <v>0</v>
      </c>
      <c r="K229" s="24">
        <v>-2.12E-2</v>
      </c>
      <c r="L229" s="38">
        <f t="shared" si="32"/>
        <v>0.19036319053029974</v>
      </c>
      <c r="M229" s="32">
        <f t="shared" si="36"/>
        <v>102077.98070732187</v>
      </c>
      <c r="N229" s="47">
        <v>0</v>
      </c>
      <c r="O229" s="26">
        <v>1.17E-2</v>
      </c>
      <c r="P229" s="38">
        <f t="shared" si="33"/>
        <v>0.27512265129035918</v>
      </c>
      <c r="Q229" s="31">
        <f t="shared" si="37"/>
        <v>147528.33576874968</v>
      </c>
      <c r="R229" s="47">
        <v>0</v>
      </c>
      <c r="S229" s="37">
        <f t="shared" si="34"/>
        <v>536227.51553470269</v>
      </c>
      <c r="T229" s="40">
        <f t="shared" si="38"/>
        <v>1.8913056559863861E-3</v>
      </c>
    </row>
    <row r="230" spans="2:20" x14ac:dyDescent="0.35">
      <c r="B230" s="10" t="s">
        <v>234</v>
      </c>
      <c r="C230" s="20">
        <v>2.6700000000000002E-2</v>
      </c>
      <c r="D230" s="38">
        <f t="shared" si="30"/>
        <v>0.25361974829241785</v>
      </c>
      <c r="E230" s="32">
        <f t="shared" si="39"/>
        <v>132342.81055343081</v>
      </c>
      <c r="F230" s="47">
        <v>0</v>
      </c>
      <c r="G230" s="17">
        <v>-5.7000000000000002E-2</v>
      </c>
      <c r="H230" s="38">
        <f t="shared" si="31"/>
        <v>0.28502392105273872</v>
      </c>
      <c r="I230" s="32">
        <f t="shared" si="35"/>
        <v>148730.00640150195</v>
      </c>
      <c r="J230" s="47">
        <v>0</v>
      </c>
      <c r="K230" s="24">
        <v>-3.61E-2</v>
      </c>
      <c r="L230" s="38">
        <f t="shared" si="32"/>
        <v>0.18855878204356466</v>
      </c>
      <c r="M230" s="32">
        <f t="shared" si="36"/>
        <v>98392.965603787554</v>
      </c>
      <c r="N230" s="47">
        <v>0</v>
      </c>
      <c r="O230" s="27">
        <v>-3.5099999999999999E-2</v>
      </c>
      <c r="P230" s="38">
        <f t="shared" si="33"/>
        <v>0.27279754861127881</v>
      </c>
      <c r="Q230" s="31">
        <f t="shared" si="37"/>
        <v>142350.09118326657</v>
      </c>
      <c r="R230" s="47">
        <v>0</v>
      </c>
      <c r="S230" s="37">
        <f t="shared" si="34"/>
        <v>521815.87374198687</v>
      </c>
      <c r="T230" s="40">
        <f t="shared" si="38"/>
        <v>-2.6875983374976875E-2</v>
      </c>
    </row>
    <row r="231" spans="2:20" x14ac:dyDescent="0.35">
      <c r="B231" s="11" t="s">
        <v>235</v>
      </c>
      <c r="C231" s="20">
        <v>5.1000000000000004E-3</v>
      </c>
      <c r="D231" s="38">
        <f t="shared" si="30"/>
        <v>0.25907573532653988</v>
      </c>
      <c r="E231" s="32">
        <f t="shared" si="39"/>
        <v>133017.75888725332</v>
      </c>
      <c r="F231" s="47">
        <v>0</v>
      </c>
      <c r="G231" s="21">
        <v>-1.8E-3</v>
      </c>
      <c r="H231" s="38">
        <f t="shared" si="31"/>
        <v>0.28915671028406886</v>
      </c>
      <c r="I231" s="32">
        <f t="shared" si="35"/>
        <v>148462.29238997924</v>
      </c>
      <c r="J231" s="47">
        <v>0</v>
      </c>
      <c r="K231" s="24">
        <v>-5.2600000000000001E-2</v>
      </c>
      <c r="L231" s="38">
        <f t="shared" si="32"/>
        <v>0.18155764631182697</v>
      </c>
      <c r="M231" s="32">
        <f t="shared" si="36"/>
        <v>93217.495613028324</v>
      </c>
      <c r="N231" s="47">
        <v>0</v>
      </c>
      <c r="O231" s="27">
        <v>-2.5399999999999999E-2</v>
      </c>
      <c r="P231" s="38">
        <f t="shared" si="33"/>
        <v>0.27020990807756423</v>
      </c>
      <c r="Q231" s="31">
        <f t="shared" si="37"/>
        <v>138734.3988672116</v>
      </c>
      <c r="R231" s="47">
        <v>0</v>
      </c>
      <c r="S231" s="37">
        <f t="shared" si="34"/>
        <v>513431.94575747254</v>
      </c>
      <c r="T231" s="40">
        <f t="shared" si="38"/>
        <v>-1.6066832011821464E-2</v>
      </c>
    </row>
    <row r="232" spans="2:20" x14ac:dyDescent="0.35">
      <c r="B232" s="10" t="s">
        <v>236</v>
      </c>
      <c r="C232" s="18">
        <v>1.4999999999999999E-2</v>
      </c>
      <c r="D232" s="38">
        <f t="shared" si="30"/>
        <v>0.25818986886597517</v>
      </c>
      <c r="E232" s="32">
        <f t="shared" si="39"/>
        <v>135013.02527056212</v>
      </c>
      <c r="F232" s="47">
        <v>0</v>
      </c>
      <c r="G232" s="18">
        <v>1.9900000000000001E-2</v>
      </c>
      <c r="H232" s="38">
        <f t="shared" si="31"/>
        <v>0.28955914272316252</v>
      </c>
      <c r="I232" s="32">
        <f t="shared" si="35"/>
        <v>151416.69200853983</v>
      </c>
      <c r="J232" s="47">
        <v>0</v>
      </c>
      <c r="K232" s="24">
        <v>-1.9E-3</v>
      </c>
      <c r="L232" s="38">
        <f t="shared" si="32"/>
        <v>0.17792419713255811</v>
      </c>
      <c r="M232" s="32">
        <f t="shared" si="36"/>
        <v>93040.382371363565</v>
      </c>
      <c r="N232" s="47">
        <v>0</v>
      </c>
      <c r="O232" s="26">
        <v>3.4000000000000002E-2</v>
      </c>
      <c r="P232" s="38">
        <f t="shared" si="33"/>
        <v>0.27432679127830423</v>
      </c>
      <c r="Q232" s="31">
        <f t="shared" si="37"/>
        <v>143451.36842869679</v>
      </c>
      <c r="R232" s="47">
        <v>0</v>
      </c>
      <c r="S232" s="37">
        <f t="shared" si="34"/>
        <v>522921.4680791623</v>
      </c>
      <c r="T232" s="40">
        <f t="shared" si="38"/>
        <v>1.8482531911195643E-2</v>
      </c>
    </row>
    <row r="233" spans="2:20" x14ac:dyDescent="0.35">
      <c r="B233" s="11" t="s">
        <v>237</v>
      </c>
      <c r="C233" s="17">
        <v>-2.1299999999999999E-2</v>
      </c>
      <c r="D233" s="38">
        <f t="shared" si="30"/>
        <v>0.25612931757512253</v>
      </c>
      <c r="E233" s="32">
        <f t="shared" si="39"/>
        <v>132137.24783229915</v>
      </c>
      <c r="F233" s="47">
        <v>0</v>
      </c>
      <c r="G233" s="17">
        <v>-1.9900000000000001E-2</v>
      </c>
      <c r="H233" s="38">
        <f t="shared" si="31"/>
        <v>0.28765914049759284</v>
      </c>
      <c r="I233" s="32">
        <f t="shared" si="35"/>
        <v>148403.49983756989</v>
      </c>
      <c r="J233" s="47">
        <v>0</v>
      </c>
      <c r="K233" s="24">
        <v>-5.5800000000000002E-2</v>
      </c>
      <c r="L233" s="38">
        <f t="shared" si="32"/>
        <v>0.17028230409447848</v>
      </c>
      <c r="M233" s="32">
        <f t="shared" si="36"/>
        <v>87848.729035041484</v>
      </c>
      <c r="N233" s="47">
        <v>0</v>
      </c>
      <c r="O233" s="26">
        <v>2.8299999999999999E-2</v>
      </c>
      <c r="P233" s="38">
        <f t="shared" si="33"/>
        <v>0.28592923783280616</v>
      </c>
      <c r="Q233" s="31">
        <f t="shared" si="37"/>
        <v>147511.0421552289</v>
      </c>
      <c r="R233" s="47">
        <v>0</v>
      </c>
      <c r="S233" s="37">
        <f t="shared" si="34"/>
        <v>515900.51886013942</v>
      </c>
      <c r="T233" s="40">
        <f t="shared" si="38"/>
        <v>-1.3426393153856964E-2</v>
      </c>
    </row>
    <row r="234" spans="2:20" x14ac:dyDescent="0.35">
      <c r="B234" s="10" t="s">
        <v>238</v>
      </c>
      <c r="C234" s="17">
        <v>-1.9300000000000001E-2</v>
      </c>
      <c r="D234" s="38">
        <f t="shared" si="30"/>
        <v>0.24910208732419997</v>
      </c>
      <c r="E234" s="32">
        <f t="shared" si="39"/>
        <v>129586.99894913578</v>
      </c>
      <c r="F234" s="47">
        <v>0</v>
      </c>
      <c r="G234" s="18">
        <v>7.6200000000000004E-2</v>
      </c>
      <c r="H234" s="38">
        <f t="shared" si="31"/>
        <v>0.30701038423957655</v>
      </c>
      <c r="I234" s="32">
        <f t="shared" si="35"/>
        <v>159711.84652519273</v>
      </c>
      <c r="J234" s="47">
        <v>0</v>
      </c>
      <c r="K234" s="24">
        <v>-5.5100000000000003E-2</v>
      </c>
      <c r="L234" s="38">
        <f t="shared" si="32"/>
        <v>0.15956486384809718</v>
      </c>
      <c r="M234" s="32">
        <f t="shared" si="36"/>
        <v>83008.264065210693</v>
      </c>
      <c r="N234" s="47">
        <v>0</v>
      </c>
      <c r="O234" s="26">
        <v>2.7000000000000001E-3</v>
      </c>
      <c r="P234" s="38">
        <f t="shared" si="33"/>
        <v>0.28432266458812633</v>
      </c>
      <c r="Q234" s="31">
        <f t="shared" si="37"/>
        <v>147909.32196904803</v>
      </c>
      <c r="R234" s="47">
        <v>0</v>
      </c>
      <c r="S234" s="37">
        <f t="shared" si="34"/>
        <v>520216.43150858721</v>
      </c>
      <c r="T234" s="40">
        <f t="shared" si="38"/>
        <v>8.3657846632594346E-3</v>
      </c>
    </row>
    <row r="235" spans="2:20" x14ac:dyDescent="0.35">
      <c r="B235" s="11" t="s">
        <v>239</v>
      </c>
      <c r="C235" s="18">
        <v>5.8500000000000003E-2</v>
      </c>
      <c r="D235" s="38">
        <f t="shared" si="30"/>
        <v>0.25946833510503964</v>
      </c>
      <c r="E235" s="32">
        <f t="shared" si="39"/>
        <v>137167.83838766022</v>
      </c>
      <c r="F235" s="47">
        <v>0</v>
      </c>
      <c r="G235" s="21">
        <v>-2.3999999999999998E-3</v>
      </c>
      <c r="H235" s="38">
        <f t="shared" si="31"/>
        <v>0.30138778156591378</v>
      </c>
      <c r="I235" s="32">
        <f t="shared" si="35"/>
        <v>159328.53809353226</v>
      </c>
      <c r="J235" s="47">
        <v>0</v>
      </c>
      <c r="K235" s="25">
        <v>6.4600000000000005E-2</v>
      </c>
      <c r="L235" s="38">
        <f t="shared" si="32"/>
        <v>0.16716288734337931</v>
      </c>
      <c r="M235" s="32">
        <f t="shared" si="36"/>
        <v>88370.597923823298</v>
      </c>
      <c r="N235" s="47">
        <v>0</v>
      </c>
      <c r="O235" s="27">
        <v>-2.7900000000000001E-2</v>
      </c>
      <c r="P235" s="38">
        <f t="shared" si="33"/>
        <v>0.27198099598566722</v>
      </c>
      <c r="Q235" s="31">
        <f t="shared" si="37"/>
        <v>143782.65188611159</v>
      </c>
      <c r="R235" s="47">
        <v>0</v>
      </c>
      <c r="S235" s="37">
        <f t="shared" si="34"/>
        <v>528649.62629112741</v>
      </c>
      <c r="T235" s="40">
        <f t="shared" si="38"/>
        <v>1.6210935048869057E-2</v>
      </c>
    </row>
    <row r="236" spans="2:20" x14ac:dyDescent="0.35">
      <c r="B236" s="10" t="s">
        <v>240</v>
      </c>
      <c r="C236" s="18">
        <v>3.2800000000000003E-2</v>
      </c>
      <c r="D236" s="38">
        <f t="shared" si="30"/>
        <v>0.26371471108812133</v>
      </c>
      <c r="E236" s="32">
        <f t="shared" si="39"/>
        <v>141666.94348677548</v>
      </c>
      <c r="F236" s="47">
        <v>0</v>
      </c>
      <c r="G236" s="22">
        <v>1.9E-3</v>
      </c>
      <c r="H236" s="38">
        <f t="shared" si="31"/>
        <v>0.29715550562578524</v>
      </c>
      <c r="I236" s="32">
        <f t="shared" si="35"/>
        <v>159631.26231590996</v>
      </c>
      <c r="J236" s="47">
        <v>0</v>
      </c>
      <c r="K236" s="25">
        <v>6.8099999999999994E-2</v>
      </c>
      <c r="L236" s="38">
        <f t="shared" si="32"/>
        <v>0.17570557510313262</v>
      </c>
      <c r="M236" s="32">
        <f t="shared" si="36"/>
        <v>94388.635642435664</v>
      </c>
      <c r="N236" s="47">
        <v>0</v>
      </c>
      <c r="O236" s="27">
        <v>-1.5800000000000002E-2</v>
      </c>
      <c r="P236" s="38">
        <f t="shared" si="33"/>
        <v>0.26342420818296086</v>
      </c>
      <c r="Q236" s="31">
        <f t="shared" si="37"/>
        <v>141510.88598631104</v>
      </c>
      <c r="R236" s="47">
        <v>0</v>
      </c>
      <c r="S236" s="37">
        <f t="shared" si="34"/>
        <v>537197.72743143211</v>
      </c>
      <c r="T236" s="40">
        <f t="shared" si="38"/>
        <v>1.616969106793098E-2</v>
      </c>
    </row>
    <row r="237" spans="2:20" x14ac:dyDescent="0.35">
      <c r="B237" s="9" t="s">
        <v>241</v>
      </c>
      <c r="C237" s="18">
        <v>3.73E-2</v>
      </c>
      <c r="D237" s="38">
        <f t="shared" si="30"/>
        <v>0.26845414313769861</v>
      </c>
      <c r="E237" s="32">
        <f t="shared" si="39"/>
        <v>146951.12047883219</v>
      </c>
      <c r="F237" s="47">
        <v>0</v>
      </c>
      <c r="G237" s="18">
        <v>9.4000000000000004E-3</v>
      </c>
      <c r="H237" s="38">
        <f t="shared" si="31"/>
        <v>0.29435977170668814</v>
      </c>
      <c r="I237" s="32">
        <f t="shared" si="35"/>
        <v>161131.7961816795</v>
      </c>
      <c r="J237" s="47">
        <v>0</v>
      </c>
      <c r="K237" s="24">
        <v>-1.9E-3</v>
      </c>
      <c r="L237" s="38">
        <f t="shared" si="32"/>
        <v>0.1721040035784773</v>
      </c>
      <c r="M237" s="32">
        <f t="shared" si="36"/>
        <v>94209.297234715035</v>
      </c>
      <c r="N237" s="47">
        <v>0</v>
      </c>
      <c r="O237" s="26">
        <v>2.5399999999999999E-2</v>
      </c>
      <c r="P237" s="38">
        <f t="shared" si="33"/>
        <v>0.26508208157713598</v>
      </c>
      <c r="Q237" s="31">
        <f t="shared" si="37"/>
        <v>145105.26249036336</v>
      </c>
      <c r="R237" s="47">
        <v>0</v>
      </c>
      <c r="S237" s="37">
        <f t="shared" si="34"/>
        <v>547397.47638559004</v>
      </c>
      <c r="T237" s="40">
        <f t="shared" si="38"/>
        <v>1.8986954771620601E-2</v>
      </c>
    </row>
    <row r="238" spans="2:20" x14ac:dyDescent="0.35">
      <c r="B238" s="10" t="s">
        <v>242</v>
      </c>
      <c r="C238" s="18">
        <v>5.4699999999999999E-2</v>
      </c>
      <c r="D238" s="38">
        <f t="shared" si="30"/>
        <v>0.27948512591846497</v>
      </c>
      <c r="E238" s="32">
        <f t="shared" si="39"/>
        <v>154989.34676902433</v>
      </c>
      <c r="F238" s="47">
        <v>0</v>
      </c>
      <c r="G238" s="22">
        <v>5.3E-3</v>
      </c>
      <c r="H238" s="38">
        <f t="shared" si="31"/>
        <v>0.29210149712162853</v>
      </c>
      <c r="I238" s="32">
        <f t="shared" si="35"/>
        <v>161985.79470144241</v>
      </c>
      <c r="J238" s="47">
        <v>0</v>
      </c>
      <c r="K238" s="24">
        <v>-2.29E-2</v>
      </c>
      <c r="L238" s="38">
        <f t="shared" si="32"/>
        <v>0.16599294473120854</v>
      </c>
      <c r="M238" s="32">
        <f t="shared" si="36"/>
        <v>92051.904328040066</v>
      </c>
      <c r="N238" s="47">
        <v>0</v>
      </c>
      <c r="O238" s="26">
        <v>2.8999999999999998E-3</v>
      </c>
      <c r="P238" s="38">
        <f t="shared" si="33"/>
        <v>0.26242043222869799</v>
      </c>
      <c r="Q238" s="31">
        <f t="shared" si="37"/>
        <v>145526.06775158542</v>
      </c>
      <c r="R238" s="47">
        <v>0</v>
      </c>
      <c r="S238" s="37">
        <f t="shared" si="34"/>
        <v>554553.11355009221</v>
      </c>
      <c r="T238" s="40">
        <f t="shared" si="38"/>
        <v>1.3072104774304316E-2</v>
      </c>
    </row>
    <row r="239" spans="2:20" x14ac:dyDescent="0.35">
      <c r="B239" s="11" t="s">
        <v>243</v>
      </c>
      <c r="C239" s="18">
        <v>3.6400000000000002E-2</v>
      </c>
      <c r="D239" s="38">
        <f t="shared" si="30"/>
        <v>0.2780439399011625</v>
      </c>
      <c r="E239" s="32">
        <f t="shared" si="39"/>
        <v>160630.95899141682</v>
      </c>
      <c r="F239" s="47">
        <v>0</v>
      </c>
      <c r="G239" s="18">
        <v>9.7699999999999995E-2</v>
      </c>
      <c r="H239" s="38">
        <f t="shared" si="31"/>
        <v>0.3077831051138093</v>
      </c>
      <c r="I239" s="32">
        <f t="shared" si="35"/>
        <v>177811.80684377335</v>
      </c>
      <c r="J239" s="47">
        <v>0</v>
      </c>
      <c r="K239" s="25">
        <v>9.9000000000000008E-3</v>
      </c>
      <c r="L239" s="38">
        <f t="shared" si="32"/>
        <v>0.16091455601834853</v>
      </c>
      <c r="M239" s="32">
        <f t="shared" si="36"/>
        <v>92963.218180887663</v>
      </c>
      <c r="N239" s="47">
        <v>0</v>
      </c>
      <c r="O239" s="26">
        <v>5.4000000000000003E-3</v>
      </c>
      <c r="P239" s="38">
        <f t="shared" si="33"/>
        <v>0.25325839896667957</v>
      </c>
      <c r="Q239" s="31">
        <f t="shared" si="37"/>
        <v>146311.90851744398</v>
      </c>
      <c r="R239" s="47">
        <v>0</v>
      </c>
      <c r="S239" s="37">
        <f t="shared" si="34"/>
        <v>577717.89253352187</v>
      </c>
      <c r="T239" s="40">
        <f t="shared" si="38"/>
        <v>4.1771975339089273E-2</v>
      </c>
    </row>
    <row r="240" spans="2:20" x14ac:dyDescent="0.35">
      <c r="B240" s="10" t="s">
        <v>244</v>
      </c>
      <c r="C240" s="17">
        <v>-1.7500000000000002E-2</v>
      </c>
      <c r="D240" s="38">
        <f t="shared" si="30"/>
        <v>0.27057542217960606</v>
      </c>
      <c r="E240" s="32">
        <f t="shared" si="39"/>
        <v>157819.91720906703</v>
      </c>
      <c r="F240" s="47">
        <v>0</v>
      </c>
      <c r="G240" s="18">
        <v>4.9599999999999998E-2</v>
      </c>
      <c r="H240" s="38">
        <f t="shared" si="31"/>
        <v>0.31997124464181936</v>
      </c>
      <c r="I240" s="32">
        <f t="shared" si="35"/>
        <v>186631.27246322451</v>
      </c>
      <c r="J240" s="47">
        <v>0</v>
      </c>
      <c r="K240" s="24">
        <v>-4.4200000000000003E-2</v>
      </c>
      <c r="L240" s="38">
        <f t="shared" si="32"/>
        <v>0.1523367581921489</v>
      </c>
      <c r="M240" s="32">
        <f t="shared" si="36"/>
        <v>88854.243937292427</v>
      </c>
      <c r="N240" s="47">
        <v>0</v>
      </c>
      <c r="O240" s="26">
        <v>2.5000000000000001E-2</v>
      </c>
      <c r="P240" s="38">
        <f t="shared" si="33"/>
        <v>0.25711657498642576</v>
      </c>
      <c r="Q240" s="31">
        <f t="shared" si="37"/>
        <v>149969.70623038008</v>
      </c>
      <c r="R240" s="47">
        <v>0</v>
      </c>
      <c r="S240" s="37">
        <f t="shared" si="34"/>
        <v>583275.13983996399</v>
      </c>
      <c r="T240" s="40">
        <f t="shared" si="38"/>
        <v>9.6193096635304176E-3</v>
      </c>
    </row>
    <row r="241" spans="2:20" x14ac:dyDescent="0.35">
      <c r="B241" s="11" t="s">
        <v>245</v>
      </c>
      <c r="C241" s="18">
        <v>6.5600000000000006E-2</v>
      </c>
      <c r="D241" s="38">
        <f t="shared" si="30"/>
        <v>0.27727079702764534</v>
      </c>
      <c r="E241" s="32">
        <f t="shared" si="39"/>
        <v>168172.90377798182</v>
      </c>
      <c r="F241" s="47">
        <v>0</v>
      </c>
      <c r="G241" s="18">
        <v>3.5200000000000002E-2</v>
      </c>
      <c r="H241" s="38">
        <f t="shared" si="31"/>
        <v>0.31853472825522061</v>
      </c>
      <c r="I241" s="32">
        <f t="shared" si="35"/>
        <v>193200.69325393002</v>
      </c>
      <c r="J241" s="47">
        <v>0</v>
      </c>
      <c r="K241" s="25">
        <v>4.24E-2</v>
      </c>
      <c r="L241" s="38">
        <f t="shared" si="32"/>
        <v>0.15270761216089196</v>
      </c>
      <c r="M241" s="32">
        <f t="shared" si="36"/>
        <v>92621.663880233624</v>
      </c>
      <c r="N241" s="47">
        <v>0</v>
      </c>
      <c r="O241" s="26">
        <v>1.7100000000000001E-2</v>
      </c>
      <c r="P241" s="38">
        <f t="shared" si="33"/>
        <v>0.2514868625562422</v>
      </c>
      <c r="Q241" s="31">
        <f t="shared" si="37"/>
        <v>152534.18820691959</v>
      </c>
      <c r="R241" s="47">
        <v>0</v>
      </c>
      <c r="S241" s="37">
        <f t="shared" si="34"/>
        <v>606529.44911906496</v>
      </c>
      <c r="T241" s="40">
        <f t="shared" si="38"/>
        <v>3.9868507485989246E-2</v>
      </c>
    </row>
    <row r="242" spans="2:20" x14ac:dyDescent="0.35">
      <c r="B242" s="10" t="s">
        <v>246</v>
      </c>
      <c r="C242" s="18">
        <v>9.3799999999999994E-2</v>
      </c>
      <c r="D242" s="38">
        <f t="shared" si="30"/>
        <v>0.28357228886249936</v>
      </c>
      <c r="E242" s="32">
        <f t="shared" si="39"/>
        <v>183947.52215235651</v>
      </c>
      <c r="F242" s="47">
        <v>0</v>
      </c>
      <c r="G242" s="18">
        <v>5.6899999999999999E-2</v>
      </c>
      <c r="H242" s="38">
        <f t="shared" si="31"/>
        <v>0.31478383704979962</v>
      </c>
      <c r="I242" s="32">
        <f t="shared" si="35"/>
        <v>204193.81270007865</v>
      </c>
      <c r="J242" s="47">
        <v>0</v>
      </c>
      <c r="K242" s="25">
        <v>7.2700000000000001E-2</v>
      </c>
      <c r="L242" s="38">
        <f t="shared" si="32"/>
        <v>0.15316541278373969</v>
      </c>
      <c r="M242" s="32">
        <f t="shared" si="36"/>
        <v>99355.258844326614</v>
      </c>
      <c r="N242" s="47">
        <v>0</v>
      </c>
      <c r="O242" s="26">
        <v>5.67E-2</v>
      </c>
      <c r="P242" s="38">
        <f t="shared" si="33"/>
        <v>0.24847846130396123</v>
      </c>
      <c r="Q242" s="31">
        <f t="shared" si="37"/>
        <v>161182.87667825192</v>
      </c>
      <c r="R242" s="47">
        <v>0</v>
      </c>
      <c r="S242" s="37">
        <f t="shared" si="34"/>
        <v>648679.47037501377</v>
      </c>
      <c r="T242" s="40">
        <f t="shared" si="38"/>
        <v>6.9493775309951156E-2</v>
      </c>
    </row>
    <row r="243" spans="2:20" x14ac:dyDescent="0.35">
      <c r="B243" s="11" t="s">
        <v>247</v>
      </c>
      <c r="C243" s="18">
        <v>3.1800000000000002E-2</v>
      </c>
      <c r="D243" s="38">
        <f t="shared" si="30"/>
        <v>0.27986387374597538</v>
      </c>
      <c r="E243" s="32">
        <f t="shared" si="39"/>
        <v>189797.05335680145</v>
      </c>
      <c r="F243" s="47">
        <v>0</v>
      </c>
      <c r="G243" s="18">
        <v>7.3400000000000007E-2</v>
      </c>
      <c r="H243" s="38">
        <f t="shared" si="31"/>
        <v>0.32319270154269109</v>
      </c>
      <c r="I243" s="32">
        <f t="shared" si="35"/>
        <v>219181.63855226443</v>
      </c>
      <c r="J243" s="47">
        <v>0</v>
      </c>
      <c r="K243" s="25">
        <v>5.3900000000000003E-2</v>
      </c>
      <c r="L243" s="38">
        <f t="shared" si="32"/>
        <v>0.15440012200128639</v>
      </c>
      <c r="M243" s="32">
        <f t="shared" si="36"/>
        <v>104710.50729603582</v>
      </c>
      <c r="N243" s="47">
        <v>0</v>
      </c>
      <c r="O243" s="26">
        <v>2.0500000000000001E-2</v>
      </c>
      <c r="P243" s="38">
        <f t="shared" si="33"/>
        <v>0.2425433027100472</v>
      </c>
      <c r="Q243" s="31">
        <f t="shared" si="37"/>
        <v>164487.12565015609</v>
      </c>
      <c r="R243" s="47">
        <v>0</v>
      </c>
      <c r="S243" s="37">
        <f t="shared" si="34"/>
        <v>678176.32485525776</v>
      </c>
      <c r="T243" s="40">
        <f t="shared" si="38"/>
        <v>4.5472156631057414E-2</v>
      </c>
    </row>
    <row r="244" spans="2:20" x14ac:dyDescent="0.35">
      <c r="B244" s="10" t="s">
        <v>248</v>
      </c>
      <c r="C244" s="18">
        <v>2.5999999999999999E-2</v>
      </c>
      <c r="D244" s="38">
        <f t="shared" si="30"/>
        <v>0.28160891916833442</v>
      </c>
      <c r="E244" s="32">
        <f t="shared" si="39"/>
        <v>194731.77674407829</v>
      </c>
      <c r="F244" s="47">
        <v>0</v>
      </c>
      <c r="G244" s="18">
        <v>2.58E-2</v>
      </c>
      <c r="H244" s="38">
        <f t="shared" si="31"/>
        <v>0.32514452342969613</v>
      </c>
      <c r="I244" s="32">
        <f t="shared" si="35"/>
        <v>224836.52482691285</v>
      </c>
      <c r="J244" s="47">
        <v>0</v>
      </c>
      <c r="K244" s="25">
        <v>2.0899999999999998E-2</v>
      </c>
      <c r="L244" s="38">
        <f t="shared" si="32"/>
        <v>0.15459058719511665</v>
      </c>
      <c r="M244" s="32">
        <f t="shared" si="36"/>
        <v>106898.95689852297</v>
      </c>
      <c r="N244" s="47">
        <v>0</v>
      </c>
      <c r="O244" s="26">
        <v>3.3E-3</v>
      </c>
      <c r="P244" s="38">
        <f t="shared" si="33"/>
        <v>0.23865597020685272</v>
      </c>
      <c r="Q244" s="31">
        <f t="shared" si="37"/>
        <v>165029.93316480159</v>
      </c>
      <c r="R244" s="47">
        <v>0</v>
      </c>
      <c r="S244" s="37">
        <f t="shared" si="34"/>
        <v>691497.19163431576</v>
      </c>
      <c r="T244" s="40">
        <f t="shared" si="38"/>
        <v>1.9642187865966942E-2</v>
      </c>
    </row>
    <row r="245" spans="2:20" x14ac:dyDescent="0.35">
      <c r="B245" s="11" t="s">
        <v>249</v>
      </c>
      <c r="C245" s="17">
        <v>-1.52E-2</v>
      </c>
      <c r="D245" s="38">
        <f t="shared" si="30"/>
        <v>0.28021220313023387</v>
      </c>
      <c r="E245" s="32">
        <f t="shared" si="39"/>
        <v>191771.85373756831</v>
      </c>
      <c r="F245" s="47">
        <v>0</v>
      </c>
      <c r="G245" s="18">
        <v>1.5900000000000001E-2</v>
      </c>
      <c r="H245" s="38">
        <f t="shared" si="31"/>
        <v>0.33374902276920587</v>
      </c>
      <c r="I245" s="32">
        <f t="shared" si="35"/>
        <v>228411.42557166077</v>
      </c>
      <c r="J245" s="47">
        <v>0</v>
      </c>
      <c r="K245" s="24">
        <v>-1.8599999999999998E-2</v>
      </c>
      <c r="L245" s="38">
        <f t="shared" si="32"/>
        <v>0.15329277970950597</v>
      </c>
      <c r="M245" s="32">
        <f t="shared" si="36"/>
        <v>104910.63630021045</v>
      </c>
      <c r="N245" s="47">
        <v>0</v>
      </c>
      <c r="O245" s="27">
        <v>-3.4799999999999998E-2</v>
      </c>
      <c r="P245" s="38">
        <f t="shared" si="33"/>
        <v>0.23274599439105428</v>
      </c>
      <c r="Q245" s="31">
        <f t="shared" si="37"/>
        <v>159286.89149066649</v>
      </c>
      <c r="R245" s="47">
        <v>0</v>
      </c>
      <c r="S245" s="37">
        <f t="shared" si="34"/>
        <v>684380.80710010603</v>
      </c>
      <c r="T245" s="40">
        <f t="shared" si="38"/>
        <v>-1.0291270333854241E-2</v>
      </c>
    </row>
    <row r="246" spans="2:20" x14ac:dyDescent="0.35">
      <c r="B246" s="10" t="s">
        <v>250</v>
      </c>
      <c r="C246" s="18">
        <v>5.04E-2</v>
      </c>
      <c r="D246" s="38">
        <f t="shared" si="30"/>
        <v>0.27681613499461932</v>
      </c>
      <c r="E246" s="32">
        <f t="shared" si="39"/>
        <v>201437.15516594175</v>
      </c>
      <c r="F246" s="47">
        <v>0</v>
      </c>
      <c r="G246" s="18">
        <v>0.105</v>
      </c>
      <c r="H246" s="38">
        <f t="shared" si="31"/>
        <v>0.34684219303740321</v>
      </c>
      <c r="I246" s="32">
        <f t="shared" si="35"/>
        <v>252394.62525668516</v>
      </c>
      <c r="J246" s="47">
        <v>0</v>
      </c>
      <c r="K246" s="24">
        <v>-2.0000000000000001E-4</v>
      </c>
      <c r="L246" s="38">
        <f t="shared" si="32"/>
        <v>0.14413998571991118</v>
      </c>
      <c r="M246" s="32">
        <f t="shared" si="36"/>
        <v>104889.65417295041</v>
      </c>
      <c r="N246" s="47">
        <v>0</v>
      </c>
      <c r="O246" s="26">
        <v>6.08E-2</v>
      </c>
      <c r="P246" s="38">
        <f t="shared" si="33"/>
        <v>0.23220168624806617</v>
      </c>
      <c r="Q246" s="31">
        <f t="shared" si="37"/>
        <v>168971.534493299</v>
      </c>
      <c r="R246" s="47">
        <v>0</v>
      </c>
      <c r="S246" s="37">
        <f t="shared" si="34"/>
        <v>727692.96908887639</v>
      </c>
      <c r="T246" s="40">
        <f t="shared" si="38"/>
        <v>6.3286640331564614E-2</v>
      </c>
    </row>
    <row r="247" spans="2:20" x14ac:dyDescent="0.35">
      <c r="B247" s="11" t="s">
        <v>251</v>
      </c>
      <c r="C247" s="18">
        <v>0.10299999999999999</v>
      </c>
      <c r="D247" s="38">
        <f t="shared" si="30"/>
        <v>0.29081419587198554</v>
      </c>
      <c r="E247" s="32">
        <f t="shared" si="39"/>
        <v>222185.18214803375</v>
      </c>
      <c r="F247" s="47">
        <v>0</v>
      </c>
      <c r="G247" s="18">
        <v>7.7999999999999996E-3</v>
      </c>
      <c r="H247" s="38">
        <f t="shared" si="31"/>
        <v>0.33293156097620907</v>
      </c>
      <c r="I247" s="32">
        <f t="shared" si="35"/>
        <v>254363.3033336873</v>
      </c>
      <c r="J247" s="47">
        <v>0</v>
      </c>
      <c r="K247" s="25">
        <v>6.0400000000000002E-2</v>
      </c>
      <c r="L247" s="38">
        <f t="shared" si="32"/>
        <v>0.14558039157730909</v>
      </c>
      <c r="M247" s="32">
        <f t="shared" si="36"/>
        <v>111224.98928499661</v>
      </c>
      <c r="N247" s="47">
        <v>0</v>
      </c>
      <c r="O247" s="26">
        <v>4.2999999999999997E-2</v>
      </c>
      <c r="P247" s="38">
        <f t="shared" si="33"/>
        <v>0.23067385157449627</v>
      </c>
      <c r="Q247" s="31">
        <f t="shared" si="37"/>
        <v>176237.31047651084</v>
      </c>
      <c r="R247" s="47">
        <v>0</v>
      </c>
      <c r="S247" s="37">
        <f t="shared" si="34"/>
        <v>764010.78524322854</v>
      </c>
      <c r="T247" s="40">
        <f t="shared" si="38"/>
        <v>4.9908158656286838E-2</v>
      </c>
    </row>
    <row r="248" spans="2:20" x14ac:dyDescent="0.35">
      <c r="B248" s="10" t="s">
        <v>252</v>
      </c>
      <c r="C248" s="18">
        <v>1.4E-3</v>
      </c>
      <c r="D248" s="38">
        <f t="shared" si="30"/>
        <v>0.28983167922847053</v>
      </c>
      <c r="E248" s="32">
        <f t="shared" si="39"/>
        <v>222496.241403041</v>
      </c>
      <c r="F248" s="47">
        <v>0</v>
      </c>
      <c r="G248" s="18">
        <v>1.7000000000000001E-2</v>
      </c>
      <c r="H248" s="38">
        <f t="shared" si="31"/>
        <v>0.33697569946926226</v>
      </c>
      <c r="I248" s="32">
        <f t="shared" si="35"/>
        <v>258687.47949035998</v>
      </c>
      <c r="J248" s="47">
        <v>0</v>
      </c>
      <c r="K248" s="24">
        <v>-4.5499999999999999E-2</v>
      </c>
      <c r="L248" s="38">
        <f t="shared" si="32"/>
        <v>0.13829340808703466</v>
      </c>
      <c r="M248" s="32">
        <f t="shared" si="36"/>
        <v>106164.25227252927</v>
      </c>
      <c r="N248" s="47">
        <v>0</v>
      </c>
      <c r="O248" s="26">
        <v>2.3199999999999998E-2</v>
      </c>
      <c r="P248" s="38">
        <f t="shared" si="33"/>
        <v>0.23489921321523247</v>
      </c>
      <c r="Q248" s="31">
        <f t="shared" si="37"/>
        <v>180326.01607956589</v>
      </c>
      <c r="R248" s="47">
        <v>0</v>
      </c>
      <c r="S248" s="37">
        <f t="shared" si="34"/>
        <v>767673.98924549622</v>
      </c>
      <c r="T248" s="40">
        <f t="shared" si="38"/>
        <v>4.7947019505771848E-3</v>
      </c>
    </row>
    <row r="249" spans="2:20" x14ac:dyDescent="0.35">
      <c r="B249" s="9" t="s">
        <v>253</v>
      </c>
      <c r="C249" s="17">
        <v>-2.35E-2</v>
      </c>
      <c r="D249" s="38">
        <f t="shared" si="30"/>
        <v>0.25039745834990279</v>
      </c>
      <c r="E249" s="32">
        <f t="shared" si="39"/>
        <v>187408.41662006953</v>
      </c>
      <c r="F249" s="48">
        <v>-30577.74</v>
      </c>
      <c r="G249" s="18">
        <v>1.3599999999999999E-2</v>
      </c>
      <c r="H249" s="38">
        <f t="shared" si="31"/>
        <v>0.25991076421304049</v>
      </c>
      <c r="I249" s="32">
        <f t="shared" si="35"/>
        <v>194528.59108342888</v>
      </c>
      <c r="J249" s="48">
        <v>-66768.98</v>
      </c>
      <c r="K249" s="24">
        <v>-4.4499999999999998E-2</v>
      </c>
      <c r="L249" s="38">
        <f t="shared" si="32"/>
        <v>0.24501256788251688</v>
      </c>
      <c r="M249" s="32">
        <f t="shared" si="36"/>
        <v>183378.12892140172</v>
      </c>
      <c r="N249" s="49">
        <v>85754.25</v>
      </c>
      <c r="O249" s="27">
        <v>-4.58E-2</v>
      </c>
      <c r="P249" s="38">
        <f t="shared" si="33"/>
        <v>0.24467920955453984</v>
      </c>
      <c r="Q249" s="31">
        <f t="shared" si="37"/>
        <v>183128.62895912179</v>
      </c>
      <c r="R249" s="49">
        <v>11592.48</v>
      </c>
      <c r="S249" s="37">
        <f t="shared" si="34"/>
        <v>748443.76558402192</v>
      </c>
      <c r="T249" s="40">
        <f t="shared" si="38"/>
        <v>-2.5049987274382679E-2</v>
      </c>
    </row>
    <row r="250" spans="2:20" x14ac:dyDescent="0.35">
      <c r="B250" s="10" t="s">
        <v>254</v>
      </c>
      <c r="C250" s="17">
        <v>-1.9900000000000001E-2</v>
      </c>
      <c r="D250" s="38">
        <f t="shared" si="30"/>
        <v>0.24320930567533255</v>
      </c>
      <c r="E250" s="32">
        <f t="shared" si="39"/>
        <v>183678.98912933015</v>
      </c>
      <c r="F250" s="47">
        <v>0</v>
      </c>
      <c r="G250" s="22">
        <v>1.54E-2</v>
      </c>
      <c r="H250" s="38">
        <f t="shared" si="31"/>
        <v>0.26154192005366361</v>
      </c>
      <c r="I250" s="32">
        <f t="shared" si="35"/>
        <v>197524.33138611368</v>
      </c>
      <c r="J250" s="47">
        <v>0</v>
      </c>
      <c r="K250" s="25">
        <v>4.7100000000000003E-2</v>
      </c>
      <c r="L250" s="38">
        <f t="shared" si="32"/>
        <v>0.25424733186653553</v>
      </c>
      <c r="M250" s="32">
        <f t="shared" si="36"/>
        <v>192015.23879359974</v>
      </c>
      <c r="N250" s="47">
        <v>0</v>
      </c>
      <c r="O250" s="27">
        <v>-6.1000000000000004E-3</v>
      </c>
      <c r="P250" s="38">
        <f t="shared" si="33"/>
        <v>0.24100144240446836</v>
      </c>
      <c r="Q250" s="31">
        <f t="shared" si="37"/>
        <v>182011.54432247116</v>
      </c>
      <c r="R250" s="47">
        <v>0</v>
      </c>
      <c r="S250" s="37">
        <f t="shared" si="34"/>
        <v>755230.10363151471</v>
      </c>
      <c r="T250" s="40">
        <f t="shared" si="38"/>
        <v>9.0672651167016394E-3</v>
      </c>
    </row>
    <row r="251" spans="2:20" x14ac:dyDescent="0.35">
      <c r="B251" s="11" t="s">
        <v>255</v>
      </c>
      <c r="C251" s="17">
        <v>-7.0699999999999999E-2</v>
      </c>
      <c r="D251" s="38">
        <f t="shared" si="30"/>
        <v>0.22772102888771684</v>
      </c>
      <c r="E251" s="32">
        <f t="shared" si="39"/>
        <v>170692.8845978865</v>
      </c>
      <c r="F251" s="47">
        <v>0</v>
      </c>
      <c r="G251" s="18">
        <v>7.7899999999999997E-2</v>
      </c>
      <c r="H251" s="38">
        <f t="shared" si="31"/>
        <v>0.28404476656051686</v>
      </c>
      <c r="I251" s="32">
        <f t="shared" si="35"/>
        <v>212911.47680109195</v>
      </c>
      <c r="J251" s="47">
        <v>0</v>
      </c>
      <c r="K251" s="24">
        <v>-2.8899999999999999E-2</v>
      </c>
      <c r="L251" s="38">
        <f t="shared" si="32"/>
        <v>0.24876390780165644</v>
      </c>
      <c r="M251" s="32">
        <f t="shared" si="36"/>
        <v>186465.99839246471</v>
      </c>
      <c r="N251" s="47">
        <v>0</v>
      </c>
      <c r="O251" s="27">
        <v>-1.38E-2</v>
      </c>
      <c r="P251" s="38">
        <f t="shared" si="33"/>
        <v>0.23947029675010992</v>
      </c>
      <c r="Q251" s="31">
        <f t="shared" si="37"/>
        <v>179499.78501082107</v>
      </c>
      <c r="R251" s="47">
        <v>0</v>
      </c>
      <c r="S251" s="37">
        <f t="shared" si="34"/>
        <v>749570.14480226417</v>
      </c>
      <c r="T251" s="40">
        <f t="shared" si="38"/>
        <v>-7.4943501351901753E-3</v>
      </c>
    </row>
    <row r="252" spans="2:20" x14ac:dyDescent="0.35">
      <c r="B252" s="10" t="s">
        <v>256</v>
      </c>
      <c r="C252" s="17">
        <v>-3.15E-2</v>
      </c>
      <c r="D252" s="38">
        <f t="shared" si="30"/>
        <v>0.22396323816576696</v>
      </c>
      <c r="E252" s="32">
        <f t="shared" si="39"/>
        <v>165316.05873305307</v>
      </c>
      <c r="F252" s="47">
        <v>0</v>
      </c>
      <c r="G252" s="18">
        <v>2.7699999999999999E-2</v>
      </c>
      <c r="H252" s="38">
        <f t="shared" si="31"/>
        <v>0.29643339240902661</v>
      </c>
      <c r="I252" s="32">
        <f t="shared" si="35"/>
        <v>218809.12470848221</v>
      </c>
      <c r="J252" s="47">
        <v>0</v>
      </c>
      <c r="K252" s="24">
        <v>-4.0800000000000003E-2</v>
      </c>
      <c r="L252" s="38">
        <f t="shared" si="32"/>
        <v>0.24230954173130323</v>
      </c>
      <c r="M252" s="32">
        <f t="shared" si="36"/>
        <v>178858.18565805216</v>
      </c>
      <c r="N252" s="47">
        <v>0</v>
      </c>
      <c r="O252" s="27">
        <v>-2.4199999999999999E-2</v>
      </c>
      <c r="P252" s="38">
        <f t="shared" si="33"/>
        <v>0.23729382769390328</v>
      </c>
      <c r="Q252" s="31">
        <f t="shared" si="37"/>
        <v>175155.89021355921</v>
      </c>
      <c r="R252" s="47">
        <v>0</v>
      </c>
      <c r="S252" s="37">
        <f t="shared" si="34"/>
        <v>738139.25931314658</v>
      </c>
      <c r="T252" s="40">
        <f t="shared" si="38"/>
        <v>-1.5249920995896948E-2</v>
      </c>
    </row>
    <row r="253" spans="2:20" x14ac:dyDescent="0.35">
      <c r="B253" s="11" t="s">
        <v>257</v>
      </c>
      <c r="C253" s="18">
        <v>7.0300000000000001E-2</v>
      </c>
      <c r="D253" s="38">
        <f t="shared" si="30"/>
        <v>0.23651947836161308</v>
      </c>
      <c r="E253" s="32">
        <f t="shared" si="39"/>
        <v>176937.77766198671</v>
      </c>
      <c r="F253" s="47">
        <v>0</v>
      </c>
      <c r="G253" s="18">
        <v>8.2000000000000007E-3</v>
      </c>
      <c r="H253" s="38">
        <f t="shared" si="31"/>
        <v>0.29488892768162595</v>
      </c>
      <c r="I253" s="32">
        <f t="shared" si="35"/>
        <v>220603.35953109176</v>
      </c>
      <c r="J253" s="47">
        <v>0</v>
      </c>
      <c r="K253" s="24">
        <v>-2.7699999999999999E-2</v>
      </c>
      <c r="L253" s="38">
        <f t="shared" si="32"/>
        <v>0.23246386326227836</v>
      </c>
      <c r="M253" s="32">
        <f t="shared" si="36"/>
        <v>173903.81391532411</v>
      </c>
      <c r="N253" s="47">
        <v>0</v>
      </c>
      <c r="O253" s="26">
        <v>8.5000000000000006E-3</v>
      </c>
      <c r="P253" s="38">
        <f t="shared" si="33"/>
        <v>0.23612773069448256</v>
      </c>
      <c r="Q253" s="31">
        <f t="shared" si="37"/>
        <v>176644.71528037445</v>
      </c>
      <c r="R253" s="47">
        <v>0</v>
      </c>
      <c r="S253" s="37">
        <f t="shared" si="34"/>
        <v>748089.66638877708</v>
      </c>
      <c r="T253" s="40">
        <f t="shared" si="38"/>
        <v>1.3480392690248699E-2</v>
      </c>
    </row>
    <row r="254" spans="2:20" x14ac:dyDescent="0.35">
      <c r="B254" s="10" t="s">
        <v>258</v>
      </c>
      <c r="C254" s="18">
        <v>1.47E-2</v>
      </c>
      <c r="D254" s="38">
        <f t="shared" si="30"/>
        <v>0.24379097089981178</v>
      </c>
      <c r="E254" s="32">
        <f t="shared" si="39"/>
        <v>179538.76299361791</v>
      </c>
      <c r="F254" s="47">
        <v>0</v>
      </c>
      <c r="G254" s="17">
        <v>-2.9000000000000001E-2</v>
      </c>
      <c r="H254" s="38">
        <f t="shared" si="31"/>
        <v>0.2908645142931609</v>
      </c>
      <c r="I254" s="32">
        <f t="shared" si="35"/>
        <v>214205.86210469011</v>
      </c>
      <c r="J254" s="47">
        <v>0</v>
      </c>
      <c r="K254" s="24">
        <v>-1.12E-2</v>
      </c>
      <c r="L254" s="38">
        <f t="shared" si="32"/>
        <v>0.23349466002027741</v>
      </c>
      <c r="M254" s="32">
        <f t="shared" si="36"/>
        <v>171956.09119947249</v>
      </c>
      <c r="N254" s="47">
        <v>0</v>
      </c>
      <c r="O254" s="27">
        <v>-3.3399999999999999E-2</v>
      </c>
      <c r="P254" s="38">
        <f t="shared" si="33"/>
        <v>0.23184985478674991</v>
      </c>
      <c r="Q254" s="31">
        <f t="shared" si="37"/>
        <v>170744.78179000993</v>
      </c>
      <c r="R254" s="47">
        <v>0</v>
      </c>
      <c r="S254" s="37">
        <f t="shared" si="34"/>
        <v>736445.49808779045</v>
      </c>
      <c r="T254" s="40">
        <f t="shared" si="38"/>
        <v>-1.5565204044584724E-2</v>
      </c>
    </row>
    <row r="255" spans="2:20" x14ac:dyDescent="0.35">
      <c r="B255" s="11" t="s">
        <v>259</v>
      </c>
      <c r="C255" s="18">
        <v>4.0099999999999997E-2</v>
      </c>
      <c r="D255" s="38">
        <f t="shared" si="30"/>
        <v>0.24891420422618074</v>
      </c>
      <c r="E255" s="32">
        <f t="shared" si="39"/>
        <v>186738.26738966198</v>
      </c>
      <c r="F255" s="47">
        <v>0</v>
      </c>
      <c r="G255" s="18">
        <v>1.3899999999999999E-2</v>
      </c>
      <c r="H255" s="38">
        <f t="shared" si="31"/>
        <v>0.28949617514274595</v>
      </c>
      <c r="I255" s="32">
        <f t="shared" si="35"/>
        <v>217183.32358794531</v>
      </c>
      <c r="J255" s="47">
        <v>0</v>
      </c>
      <c r="K255" s="25">
        <v>2.7000000000000001E-3</v>
      </c>
      <c r="L255" s="38">
        <f t="shared" si="32"/>
        <v>0.22982905672961537</v>
      </c>
      <c r="M255" s="32">
        <f t="shared" si="36"/>
        <v>172420.37264571106</v>
      </c>
      <c r="N255" s="47">
        <v>0</v>
      </c>
      <c r="O255" s="26">
        <v>1.83E-2</v>
      </c>
      <c r="P255" s="38">
        <f t="shared" si="33"/>
        <v>0.23176056390145799</v>
      </c>
      <c r="Q255" s="31">
        <f t="shared" si="37"/>
        <v>173869.41129676712</v>
      </c>
      <c r="R255" s="47">
        <v>0</v>
      </c>
      <c r="S255" s="37">
        <f t="shared" si="34"/>
        <v>750211.37492008542</v>
      </c>
      <c r="T255" s="40">
        <f t="shared" si="38"/>
        <v>1.8692322606409517E-2</v>
      </c>
    </row>
    <row r="256" spans="2:20" x14ac:dyDescent="0.35">
      <c r="B256" s="10" t="s">
        <v>260</v>
      </c>
      <c r="C256" s="17">
        <v>-1.0200000000000001E-2</v>
      </c>
      <c r="D256" s="38">
        <f t="shared" si="30"/>
        <v>0.2492215172398351</v>
      </c>
      <c r="E256" s="32">
        <f t="shared" si="39"/>
        <v>184833.53706228742</v>
      </c>
      <c r="F256" s="47">
        <v>0</v>
      </c>
      <c r="G256" s="18">
        <v>1.77E-2</v>
      </c>
      <c r="H256" s="38">
        <f t="shared" si="31"/>
        <v>0.29802384299779711</v>
      </c>
      <c r="I256" s="32">
        <f t="shared" si="35"/>
        <v>221027.46841545193</v>
      </c>
      <c r="J256" s="47">
        <v>0</v>
      </c>
      <c r="K256" s="24">
        <v>-3.2199999999999999E-2</v>
      </c>
      <c r="L256" s="38">
        <f t="shared" si="32"/>
        <v>0.22499815575390009</v>
      </c>
      <c r="M256" s="32">
        <f t="shared" si="36"/>
        <v>166868.43664651917</v>
      </c>
      <c r="N256" s="47">
        <v>0</v>
      </c>
      <c r="O256" s="27">
        <v>-2.8500000000000001E-2</v>
      </c>
      <c r="P256" s="38">
        <f t="shared" si="33"/>
        <v>0.22775648400846765</v>
      </c>
      <c r="Q256" s="31">
        <f t="shared" si="37"/>
        <v>168914.13307480927</v>
      </c>
      <c r="R256" s="47">
        <v>0</v>
      </c>
      <c r="S256" s="37">
        <f t="shared" si="34"/>
        <v>741643.57519906783</v>
      </c>
      <c r="T256" s="40">
        <f t="shared" si="38"/>
        <v>-1.1420514280965466E-2</v>
      </c>
    </row>
    <row r="257" spans="2:20" x14ac:dyDescent="0.35">
      <c r="B257" s="11" t="s">
        <v>261</v>
      </c>
      <c r="C257" s="18">
        <v>1.7500000000000002E-2</v>
      </c>
      <c r="D257" s="38">
        <f t="shared" si="30"/>
        <v>0.24538630448904825</v>
      </c>
      <c r="E257" s="32">
        <f t="shared" si="39"/>
        <v>188068.12396087745</v>
      </c>
      <c r="F257" s="47">
        <v>0</v>
      </c>
      <c r="G257" s="18">
        <v>0.10009999999999999</v>
      </c>
      <c r="H257" s="38">
        <f t="shared" si="31"/>
        <v>0.31725870118914895</v>
      </c>
      <c r="I257" s="32">
        <f t="shared" si="35"/>
        <v>243152.31800383868</v>
      </c>
      <c r="J257" s="47">
        <v>0</v>
      </c>
      <c r="K257" s="25">
        <v>1.4200000000000001E-2</v>
      </c>
      <c r="L257" s="38">
        <f t="shared" si="32"/>
        <v>0.22081721655849457</v>
      </c>
      <c r="M257" s="32">
        <f t="shared" si="36"/>
        <v>169237.96844689973</v>
      </c>
      <c r="N257" s="47">
        <v>0</v>
      </c>
      <c r="O257" s="27">
        <v>-1.7500000000000002E-2</v>
      </c>
      <c r="P257" s="38">
        <f t="shared" si="33"/>
        <v>0.21653777776330821</v>
      </c>
      <c r="Q257" s="31">
        <f t="shared" si="37"/>
        <v>165958.1357460001</v>
      </c>
      <c r="R257" s="47">
        <v>0</v>
      </c>
      <c r="S257" s="37">
        <f t="shared" si="34"/>
        <v>766416.54615761596</v>
      </c>
      <c r="T257" s="40">
        <f t="shared" si="38"/>
        <v>3.3402798577333748E-2</v>
      </c>
    </row>
    <row r="258" spans="2:20" x14ac:dyDescent="0.35">
      <c r="B258" s="10" t="s">
        <v>262</v>
      </c>
      <c r="C258" s="18">
        <v>3.4099999999999998E-2</v>
      </c>
      <c r="D258" s="38">
        <f t="shared" si="30"/>
        <v>0.24609312838242889</v>
      </c>
      <c r="E258" s="32">
        <f t="shared" si="39"/>
        <v>194481.24698794336</v>
      </c>
      <c r="F258" s="47">
        <v>0</v>
      </c>
      <c r="G258" s="18">
        <v>4.9000000000000002E-2</v>
      </c>
      <c r="H258" s="38">
        <f t="shared" si="31"/>
        <v>0.322756991736249</v>
      </c>
      <c r="I258" s="32">
        <f t="shared" si="35"/>
        <v>255066.78158602677</v>
      </c>
      <c r="J258" s="47">
        <v>0</v>
      </c>
      <c r="K258" s="25">
        <v>2.1600000000000001E-2</v>
      </c>
      <c r="L258" s="38">
        <f t="shared" si="32"/>
        <v>0.21877638620087433</v>
      </c>
      <c r="M258" s="32">
        <f t="shared" si="36"/>
        <v>172893.50856535276</v>
      </c>
      <c r="N258" s="47">
        <v>0</v>
      </c>
      <c r="O258" s="26">
        <v>1.1299999999999999E-2</v>
      </c>
      <c r="P258" s="38">
        <f t="shared" si="33"/>
        <v>0.21237349368044772</v>
      </c>
      <c r="Q258" s="31">
        <f t="shared" si="37"/>
        <v>167833.46267992991</v>
      </c>
      <c r="R258" s="47">
        <v>0</v>
      </c>
      <c r="S258" s="37">
        <f t="shared" si="34"/>
        <v>790274.99981925287</v>
      </c>
      <c r="T258" s="40">
        <f t="shared" si="38"/>
        <v>3.1129878107733822E-2</v>
      </c>
    </row>
    <row r="259" spans="2:20" x14ac:dyDescent="0.35">
      <c r="B259" s="11" t="s">
        <v>263</v>
      </c>
      <c r="C259" s="17">
        <v>-3.5999999999999999E-3</v>
      </c>
      <c r="D259" s="38">
        <f t="shared" si="30"/>
        <v>0.24218709022457335</v>
      </c>
      <c r="E259" s="32">
        <f t="shared" si="39"/>
        <v>193781.11449878677</v>
      </c>
      <c r="F259" s="47">
        <v>0</v>
      </c>
      <c r="G259" s="18">
        <v>4.8800000000000003E-2</v>
      </c>
      <c r="H259" s="38">
        <f t="shared" si="31"/>
        <v>0.33433829316716646</v>
      </c>
      <c r="I259" s="32">
        <f t="shared" si="35"/>
        <v>267514.04052742489</v>
      </c>
      <c r="J259" s="47">
        <v>0</v>
      </c>
      <c r="K259" s="24">
        <v>-5.7999999999999996E-3</v>
      </c>
      <c r="L259" s="38">
        <f t="shared" si="32"/>
        <v>0.21482854470332527</v>
      </c>
      <c r="M259" s="32">
        <f t="shared" si="36"/>
        <v>171890.72621567373</v>
      </c>
      <c r="N259" s="47">
        <v>0</v>
      </c>
      <c r="O259" s="27">
        <v>-5.3E-3</v>
      </c>
      <c r="P259" s="38">
        <f t="shared" si="33"/>
        <v>0.20864607190493489</v>
      </c>
      <c r="Q259" s="31">
        <f t="shared" si="37"/>
        <v>166943.94532772628</v>
      </c>
      <c r="R259" s="47">
        <v>0</v>
      </c>
      <c r="S259" s="37">
        <f t="shared" si="34"/>
        <v>800129.82656961167</v>
      </c>
      <c r="T259" s="40">
        <f t="shared" si="38"/>
        <v>1.2470123378080622E-2</v>
      </c>
    </row>
    <row r="260" spans="2:20" x14ac:dyDescent="0.35">
      <c r="B260" s="10" t="s">
        <v>264</v>
      </c>
      <c r="C260" s="18">
        <v>2.1999999999999999E-2</v>
      </c>
      <c r="D260" s="38">
        <f t="shared" si="30"/>
        <v>0.24212717818512453</v>
      </c>
      <c r="E260" s="32">
        <f t="shared" si="39"/>
        <v>198044.29901776009</v>
      </c>
      <c r="F260" s="47">
        <v>0</v>
      </c>
      <c r="G260" s="18">
        <v>4.6600000000000003E-2</v>
      </c>
      <c r="H260" s="38">
        <f t="shared" si="31"/>
        <v>0.34230126721517451</v>
      </c>
      <c r="I260" s="32">
        <f t="shared" si="35"/>
        <v>279980.19481600291</v>
      </c>
      <c r="J260" s="47">
        <v>0</v>
      </c>
      <c r="K260" s="24">
        <v>-1.2E-2</v>
      </c>
      <c r="L260" s="38">
        <f t="shared" si="32"/>
        <v>0.20763023071503736</v>
      </c>
      <c r="M260" s="32">
        <f t="shared" si="36"/>
        <v>169828.03750108564</v>
      </c>
      <c r="N260" s="47">
        <v>0</v>
      </c>
      <c r="O260" s="26">
        <v>1.8800000000000001E-2</v>
      </c>
      <c r="P260" s="38">
        <f t="shared" si="33"/>
        <v>0.20794132388466352</v>
      </c>
      <c r="Q260" s="31">
        <f t="shared" si="37"/>
        <v>170082.49149988755</v>
      </c>
      <c r="R260" s="47">
        <v>0</v>
      </c>
      <c r="S260" s="37">
        <f t="shared" si="34"/>
        <v>817935.02283473627</v>
      </c>
      <c r="T260" s="40">
        <f t="shared" si="38"/>
        <v>2.2252884061903622E-2</v>
      </c>
    </row>
    <row r="261" spans="2:20" x14ac:dyDescent="0.35">
      <c r="B261" s="9" t="s">
        <v>265</v>
      </c>
      <c r="C261" s="17">
        <v>-3.95E-2</v>
      </c>
      <c r="D261" s="38">
        <f t="shared" si="30"/>
        <v>0.23383569677648725</v>
      </c>
      <c r="E261" s="32">
        <f t="shared" si="39"/>
        <v>190221.54920655856</v>
      </c>
      <c r="F261" s="47">
        <v>0</v>
      </c>
      <c r="G261" s="18">
        <v>7.4200000000000002E-2</v>
      </c>
      <c r="H261" s="38">
        <f t="shared" si="31"/>
        <v>0.36971200705699242</v>
      </c>
      <c r="I261" s="32">
        <f t="shared" si="35"/>
        <v>300754.72527135035</v>
      </c>
      <c r="J261" s="47">
        <v>0</v>
      </c>
      <c r="K261" s="24">
        <v>-5.28E-2</v>
      </c>
      <c r="L261" s="38">
        <f t="shared" si="32"/>
        <v>0.19774348155157842</v>
      </c>
      <c r="M261" s="32">
        <f t="shared" si="36"/>
        <v>160861.11712102831</v>
      </c>
      <c r="N261" s="47">
        <v>0</v>
      </c>
      <c r="O261" s="27">
        <v>-4.9599999999999998E-2</v>
      </c>
      <c r="P261" s="38">
        <f t="shared" si="33"/>
        <v>0.19870881461494175</v>
      </c>
      <c r="Q261" s="31">
        <f t="shared" si="37"/>
        <v>161646.39992149314</v>
      </c>
      <c r="R261" s="47">
        <v>0</v>
      </c>
      <c r="S261" s="37">
        <f t="shared" si="34"/>
        <v>813483.79152043047</v>
      </c>
      <c r="T261" s="40">
        <f t="shared" si="38"/>
        <v>-5.4420353573796376E-3</v>
      </c>
    </row>
    <row r="262" spans="2:20" x14ac:dyDescent="0.35">
      <c r="B262" s="10" t="s">
        <v>266</v>
      </c>
      <c r="C262" s="17">
        <v>-1.8800000000000001E-2</v>
      </c>
      <c r="D262" s="38">
        <f t="shared" si="30"/>
        <v>0.22390804840239348</v>
      </c>
      <c r="E262" s="32">
        <f t="shared" si="39"/>
        <v>186645.38408147526</v>
      </c>
      <c r="F262" s="47">
        <v>0</v>
      </c>
      <c r="G262" s="18">
        <v>6.7400000000000002E-2</v>
      </c>
      <c r="H262" s="38">
        <f t="shared" si="31"/>
        <v>0.38511648460292719</v>
      </c>
      <c r="I262" s="32">
        <f t="shared" si="35"/>
        <v>321025.59375463938</v>
      </c>
      <c r="J262" s="47">
        <v>0</v>
      </c>
      <c r="K262" s="25">
        <v>3.1699999999999999E-2</v>
      </c>
      <c r="L262" s="38">
        <f t="shared" si="32"/>
        <v>0.19909344510811114</v>
      </c>
      <c r="M262" s="32">
        <f t="shared" si="36"/>
        <v>165960.41453376491</v>
      </c>
      <c r="N262" s="47">
        <v>0</v>
      </c>
      <c r="O262" s="27">
        <v>-1.0500000000000001E-2</v>
      </c>
      <c r="P262" s="38">
        <f t="shared" si="33"/>
        <v>0.19188202188656811</v>
      </c>
      <c r="Q262" s="31">
        <f t="shared" si="37"/>
        <v>159949.11272231746</v>
      </c>
      <c r="R262" s="47">
        <v>0</v>
      </c>
      <c r="S262" s="37">
        <f t="shared" si="34"/>
        <v>833580.5050921971</v>
      </c>
      <c r="T262" s="40">
        <f t="shared" si="38"/>
        <v>2.4704503987971416E-2</v>
      </c>
    </row>
    <row r="263" spans="2:20" x14ac:dyDescent="0.35">
      <c r="B263" s="11" t="s">
        <v>267</v>
      </c>
      <c r="C263" s="17">
        <v>-2.9700000000000001E-2</v>
      </c>
      <c r="D263" s="38">
        <f t="shared" si="30"/>
        <v>0.22719462364376961</v>
      </c>
      <c r="E263" s="32">
        <f t="shared" si="39"/>
        <v>181102.01617425543</v>
      </c>
      <c r="F263" s="47">
        <v>0</v>
      </c>
      <c r="G263" s="17">
        <v>-9.5100000000000004E-2</v>
      </c>
      <c r="H263" s="38">
        <f t="shared" si="31"/>
        <v>0.36443074664701047</v>
      </c>
      <c r="I263" s="32">
        <f t="shared" si="35"/>
        <v>290496.05978857318</v>
      </c>
      <c r="J263" s="47">
        <v>0</v>
      </c>
      <c r="K263" s="24">
        <v>-2.41E-2</v>
      </c>
      <c r="L263" s="38">
        <f t="shared" si="32"/>
        <v>0.20318170184748752</v>
      </c>
      <c r="M263" s="32">
        <f t="shared" si="36"/>
        <v>161960.76854350118</v>
      </c>
      <c r="N263" s="47">
        <v>0</v>
      </c>
      <c r="O263" s="26">
        <v>2.2599999999999999E-2</v>
      </c>
      <c r="P263" s="38">
        <f t="shared" si="33"/>
        <v>0.20519292786173243</v>
      </c>
      <c r="Q263" s="31">
        <f t="shared" si="37"/>
        <v>163563.96266984183</v>
      </c>
      <c r="R263" s="47">
        <v>0</v>
      </c>
      <c r="S263" s="37">
        <f t="shared" si="34"/>
        <v>797122.80717617157</v>
      </c>
      <c r="T263" s="40">
        <f t="shared" si="38"/>
        <v>-4.3736265055758672E-2</v>
      </c>
    </row>
    <row r="264" spans="2:20" x14ac:dyDescent="0.35">
      <c r="B264" s="10" t="s">
        <v>268</v>
      </c>
      <c r="C264" s="18">
        <v>0.05</v>
      </c>
      <c r="D264" s="38">
        <f t="shared" si="30"/>
        <v>0.24670649031049638</v>
      </c>
      <c r="E264" s="32">
        <f t="shared" si="39"/>
        <v>190157.1169829682</v>
      </c>
      <c r="F264" s="47">
        <v>0</v>
      </c>
      <c r="G264" s="17">
        <v>-6.0299999999999999E-2</v>
      </c>
      <c r="H264" s="38">
        <f t="shared" si="31"/>
        <v>0.35415833205403036</v>
      </c>
      <c r="I264" s="32">
        <f t="shared" si="35"/>
        <v>272979.14738332224</v>
      </c>
      <c r="J264" s="47">
        <v>0</v>
      </c>
      <c r="K264" s="24">
        <v>-6.08E-2</v>
      </c>
      <c r="L264" s="38">
        <f t="shared" si="32"/>
        <v>0.197349442324461</v>
      </c>
      <c r="M264" s="32">
        <f t="shared" si="36"/>
        <v>152113.55381605632</v>
      </c>
      <c r="N264" s="47">
        <v>0</v>
      </c>
      <c r="O264" s="27">
        <v>-4.9099999999999998E-2</v>
      </c>
      <c r="P264" s="38">
        <f t="shared" si="33"/>
        <v>0.20178573531101235</v>
      </c>
      <c r="Q264" s="31">
        <f t="shared" si="37"/>
        <v>155532.9721027526</v>
      </c>
      <c r="R264" s="47">
        <v>0</v>
      </c>
      <c r="S264" s="37">
        <f t="shared" si="34"/>
        <v>770782.7902850993</v>
      </c>
      <c r="T264" s="40">
        <f t="shared" si="38"/>
        <v>-3.3043863070964519E-2</v>
      </c>
    </row>
    <row r="265" spans="2:20" x14ac:dyDescent="0.35">
      <c r="B265" s="11" t="s">
        <v>269</v>
      </c>
      <c r="C265" s="18">
        <v>6.1699999999999998E-2</v>
      </c>
      <c r="D265" s="38">
        <f t="shared" si="30"/>
        <v>0.25758319743731745</v>
      </c>
      <c r="E265" s="32">
        <f t="shared" si="39"/>
        <v>201889.81110081734</v>
      </c>
      <c r="F265" s="47">
        <v>0</v>
      </c>
      <c r="G265" s="17">
        <v>-7.4000000000000003E-3</v>
      </c>
      <c r="H265" s="38">
        <f t="shared" si="31"/>
        <v>0.34570596410084348</v>
      </c>
      <c r="I265" s="32">
        <f t="shared" si="35"/>
        <v>270959.10169268568</v>
      </c>
      <c r="J265" s="47">
        <v>0</v>
      </c>
      <c r="K265" s="25">
        <v>1.14E-2</v>
      </c>
      <c r="L265" s="38">
        <f t="shared" si="32"/>
        <v>0.19628810864135499</v>
      </c>
      <c r="M265" s="32">
        <f t="shared" si="36"/>
        <v>153847.64832955936</v>
      </c>
      <c r="N265" s="47">
        <v>0</v>
      </c>
      <c r="O265" s="26">
        <v>0.01</v>
      </c>
      <c r="P265" s="38">
        <f t="shared" si="33"/>
        <v>0.20042272982048401</v>
      </c>
      <c r="Q265" s="31">
        <f t="shared" si="37"/>
        <v>157088.30182378012</v>
      </c>
      <c r="R265" s="47">
        <v>0</v>
      </c>
      <c r="S265" s="37">
        <f t="shared" si="34"/>
        <v>783784.86294684256</v>
      </c>
      <c r="T265" s="40">
        <f t="shared" si="38"/>
        <v>1.6868659790566953E-2</v>
      </c>
    </row>
  </sheetData>
  <mergeCells count="16">
    <mergeCell ref="O18:R18"/>
    <mergeCell ref="S18:S19"/>
    <mergeCell ref="T18:T19"/>
    <mergeCell ref="B15:K15"/>
    <mergeCell ref="B16:K16"/>
    <mergeCell ref="B9:K9"/>
    <mergeCell ref="C18:F18"/>
    <mergeCell ref="G18:J18"/>
    <mergeCell ref="K18:N18"/>
    <mergeCell ref="C2:K2"/>
    <mergeCell ref="B10:K10"/>
    <mergeCell ref="B11:K11"/>
    <mergeCell ref="B12:K12"/>
    <mergeCell ref="B13:K13"/>
    <mergeCell ref="B14:K14"/>
    <mergeCell ref="B18:B19"/>
  </mergeCells>
  <conditionalFormatting sqref="T20:T265">
    <cfRule type="colorScale" priority="1">
      <colorScale>
        <cfvo type="num" val="0"/>
        <cfvo type="num" val="0"/>
        <color rgb="FFFF0000"/>
        <color theme="9"/>
      </colorScale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Classificação da informação: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792C-E773-4592-9B4B-D04BD3548E9E}">
  <dimension ref="A2:AM273"/>
  <sheetViews>
    <sheetView topLeftCell="J258" zoomScale="80" zoomScaleNormal="80" workbookViewId="0">
      <selection activeCell="W273" sqref="W273"/>
    </sheetView>
  </sheetViews>
  <sheetFormatPr defaultRowHeight="14.5" x14ac:dyDescent="0.35"/>
  <cols>
    <col min="1" max="1" width="8.7265625" style="1"/>
    <col min="2" max="2" width="22.453125" style="1" bestFit="1" customWidth="1"/>
    <col min="3" max="3" width="12" style="1" bestFit="1" customWidth="1"/>
    <col min="4" max="4" width="8.81640625" style="1" bestFit="1" customWidth="1"/>
    <col min="5" max="5" width="14.26953125" style="1" bestFit="1" customWidth="1"/>
    <col min="6" max="6" width="15.7265625" style="1" bestFit="1" customWidth="1"/>
    <col min="7" max="7" width="12" style="1" bestFit="1" customWidth="1"/>
    <col min="8" max="8" width="8.81640625" style="1" bestFit="1" customWidth="1"/>
    <col min="9" max="9" width="14.26953125" style="1" bestFit="1" customWidth="1"/>
    <col min="10" max="10" width="13.1796875" style="1" bestFit="1" customWidth="1"/>
    <col min="11" max="11" width="12" style="1" bestFit="1" customWidth="1"/>
    <col min="12" max="12" width="8.81640625" style="1" bestFit="1" customWidth="1"/>
    <col min="13" max="13" width="14.26953125" style="1" bestFit="1" customWidth="1"/>
    <col min="14" max="14" width="13.1796875" style="1" bestFit="1" customWidth="1"/>
    <col min="15" max="15" width="12" style="1" bestFit="1" customWidth="1"/>
    <col min="16" max="16" width="8.81640625" style="1" bestFit="1" customWidth="1"/>
    <col min="17" max="17" width="14.26953125" style="1" bestFit="1" customWidth="1"/>
    <col min="18" max="18" width="13.1796875" style="1" bestFit="1" customWidth="1"/>
    <col min="19" max="19" width="12" style="1" bestFit="1" customWidth="1"/>
    <col min="20" max="20" width="8.81640625" style="1" bestFit="1" customWidth="1"/>
    <col min="21" max="21" width="14.26953125" style="1" bestFit="1" customWidth="1"/>
    <col min="22" max="22" width="13.1796875" style="1" bestFit="1" customWidth="1"/>
    <col min="23" max="23" width="15.36328125" style="1" bestFit="1" customWidth="1"/>
    <col min="24" max="24" width="12" style="1" bestFit="1" customWidth="1"/>
    <col min="25" max="39" width="8.7265625" style="1"/>
  </cols>
  <sheetData>
    <row r="2" spans="2:12" x14ac:dyDescent="0.35">
      <c r="B2" s="2" t="s">
        <v>0</v>
      </c>
      <c r="C2" s="127" t="s">
        <v>282</v>
      </c>
      <c r="D2" s="114"/>
      <c r="E2" s="114"/>
      <c r="F2" s="114"/>
      <c r="G2" s="114"/>
      <c r="H2" s="114"/>
      <c r="I2" s="114"/>
      <c r="J2" s="114"/>
      <c r="K2" s="114"/>
      <c r="L2" s="114"/>
    </row>
    <row r="4" spans="2:12" ht="66" customHeight="1" x14ac:dyDescent="0.35">
      <c r="B4" s="128" t="s">
        <v>283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</row>
    <row r="6" spans="2:12" x14ac:dyDescent="0.35">
      <c r="B6" s="50" t="s">
        <v>2</v>
      </c>
    </row>
    <row r="7" spans="2:12" x14ac:dyDescent="0.35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 spans="2:12" x14ac:dyDescent="0.35">
      <c r="B8" s="5" t="s">
        <v>284</v>
      </c>
      <c r="C8" s="6">
        <v>0.3</v>
      </c>
      <c r="D8" s="7">
        <v>0.22</v>
      </c>
      <c r="E8" s="7">
        <v>0.38</v>
      </c>
      <c r="F8" s="8" t="s">
        <v>285</v>
      </c>
    </row>
    <row r="9" spans="2:12" x14ac:dyDescent="0.35">
      <c r="B9" s="5" t="s">
        <v>286</v>
      </c>
      <c r="C9" s="6">
        <v>0.4</v>
      </c>
      <c r="D9" s="7">
        <v>0.3</v>
      </c>
      <c r="E9" s="7">
        <v>0.5</v>
      </c>
      <c r="F9" s="8" t="s">
        <v>287</v>
      </c>
    </row>
    <row r="10" spans="2:12" x14ac:dyDescent="0.35">
      <c r="B10" s="5" t="s">
        <v>288</v>
      </c>
      <c r="C10" s="6">
        <v>0.15</v>
      </c>
      <c r="D10" s="7">
        <v>0.1</v>
      </c>
      <c r="E10" s="7">
        <v>0.2</v>
      </c>
      <c r="F10" s="8" t="s">
        <v>289</v>
      </c>
    </row>
    <row r="11" spans="2:12" x14ac:dyDescent="0.35">
      <c r="B11" s="5" t="s">
        <v>290</v>
      </c>
      <c r="C11" s="6">
        <v>7.4999999999999997E-2</v>
      </c>
      <c r="D11" s="7">
        <v>0.05</v>
      </c>
      <c r="E11" s="7">
        <v>0.12</v>
      </c>
      <c r="F11" s="8" t="s">
        <v>11</v>
      </c>
    </row>
    <row r="12" spans="2:12" x14ac:dyDescent="0.35">
      <c r="B12" s="5" t="s">
        <v>291</v>
      </c>
      <c r="C12" s="6">
        <v>7.4999999999999997E-2</v>
      </c>
      <c r="D12" s="7">
        <v>0.05</v>
      </c>
      <c r="E12" s="7">
        <v>0.12</v>
      </c>
      <c r="F12" s="8" t="s">
        <v>292</v>
      </c>
    </row>
    <row r="15" spans="2:12" x14ac:dyDescent="0.35">
      <c r="B15" s="129" t="s">
        <v>16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</row>
    <row r="16" spans="2:12" x14ac:dyDescent="0.35">
      <c r="B16" s="126" t="s">
        <v>293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</row>
    <row r="17" spans="2:24" x14ac:dyDescent="0.35">
      <c r="B17" s="126" t="s">
        <v>294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</row>
    <row r="18" spans="2:24" x14ac:dyDescent="0.35">
      <c r="B18" s="126" t="s">
        <v>295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</row>
    <row r="19" spans="2:24" x14ac:dyDescent="0.35">
      <c r="B19" s="126" t="s">
        <v>296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</row>
    <row r="20" spans="2:24" x14ac:dyDescent="0.35">
      <c r="B20" s="126" t="s">
        <v>297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</row>
    <row r="21" spans="2:24" x14ac:dyDescent="0.35">
      <c r="B21" s="126" t="s">
        <v>298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</row>
    <row r="22" spans="2:24" x14ac:dyDescent="0.35">
      <c r="B22" s="126" t="s">
        <v>299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</row>
    <row r="23" spans="2:24" x14ac:dyDescent="0.35">
      <c r="B23" s="126" t="s">
        <v>300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/>
    </row>
    <row r="26" spans="2:24" x14ac:dyDescent="0.35">
      <c r="B26" s="136" t="s">
        <v>24</v>
      </c>
      <c r="C26" s="130" t="s">
        <v>270</v>
      </c>
      <c r="D26" s="131"/>
      <c r="E26" s="131"/>
      <c r="F26" s="132"/>
      <c r="G26" s="130" t="s">
        <v>301</v>
      </c>
      <c r="H26" s="131"/>
      <c r="I26" s="131"/>
      <c r="J26" s="132"/>
      <c r="K26" s="130" t="s">
        <v>302</v>
      </c>
      <c r="L26" s="131"/>
      <c r="M26" s="131"/>
      <c r="N26" s="132"/>
      <c r="O26" s="130" t="s">
        <v>271</v>
      </c>
      <c r="P26" s="131"/>
      <c r="Q26" s="131"/>
      <c r="R26" s="132"/>
      <c r="S26" s="130" t="s">
        <v>303</v>
      </c>
      <c r="T26" s="131"/>
      <c r="U26" s="131"/>
      <c r="V26" s="132"/>
      <c r="W26" s="133" t="s">
        <v>275</v>
      </c>
      <c r="X26" s="135" t="s">
        <v>273</v>
      </c>
    </row>
    <row r="27" spans="2:24" x14ac:dyDescent="0.35">
      <c r="B27" s="137"/>
      <c r="C27" s="76" t="s">
        <v>273</v>
      </c>
      <c r="D27" s="77" t="s">
        <v>274</v>
      </c>
      <c r="E27" s="78" t="s">
        <v>275</v>
      </c>
      <c r="F27" s="79" t="s">
        <v>276</v>
      </c>
      <c r="G27" s="80" t="s">
        <v>273</v>
      </c>
      <c r="H27" s="77" t="s">
        <v>274</v>
      </c>
      <c r="I27" s="78" t="s">
        <v>275</v>
      </c>
      <c r="J27" s="79" t="s">
        <v>276</v>
      </c>
      <c r="K27" s="80" t="s">
        <v>273</v>
      </c>
      <c r="L27" s="81" t="s">
        <v>274</v>
      </c>
      <c r="M27" s="78" t="s">
        <v>275</v>
      </c>
      <c r="N27" s="79" t="s">
        <v>276</v>
      </c>
      <c r="O27" s="80" t="s">
        <v>273</v>
      </c>
      <c r="P27" s="77" t="s">
        <v>274</v>
      </c>
      <c r="Q27" s="78" t="s">
        <v>275</v>
      </c>
      <c r="R27" s="79" t="s">
        <v>276</v>
      </c>
      <c r="S27" s="80" t="s">
        <v>273</v>
      </c>
      <c r="T27" s="77" t="s">
        <v>274</v>
      </c>
      <c r="U27" s="78" t="s">
        <v>275</v>
      </c>
      <c r="V27" s="79" t="s">
        <v>276</v>
      </c>
      <c r="W27" s="134"/>
      <c r="X27" s="135"/>
    </row>
    <row r="28" spans="2:24" x14ac:dyDescent="0.35">
      <c r="B28" s="98" t="s">
        <v>280</v>
      </c>
      <c r="C28" s="82" t="s">
        <v>277</v>
      </c>
      <c r="D28" s="83">
        <f>E28/W28</f>
        <v>0.3</v>
      </c>
      <c r="E28" s="84">
        <v>30000</v>
      </c>
      <c r="F28" s="84">
        <v>0</v>
      </c>
      <c r="G28" s="82" t="s">
        <v>277</v>
      </c>
      <c r="H28" s="83">
        <f>I28/W28</f>
        <v>0.4</v>
      </c>
      <c r="I28" s="84">
        <v>40000</v>
      </c>
      <c r="J28" s="84">
        <v>0</v>
      </c>
      <c r="K28" s="82" t="s">
        <v>277</v>
      </c>
      <c r="L28" s="83">
        <f>M28/W28</f>
        <v>0.15</v>
      </c>
      <c r="M28" s="84">
        <v>15000</v>
      </c>
      <c r="N28" s="84">
        <v>0</v>
      </c>
      <c r="O28" s="82" t="s">
        <v>277</v>
      </c>
      <c r="P28" s="83">
        <f>Q28/W28</f>
        <v>7.4999999999999997E-2</v>
      </c>
      <c r="Q28" s="84">
        <v>7500</v>
      </c>
      <c r="R28" s="84">
        <v>0</v>
      </c>
      <c r="S28" s="82" t="s">
        <v>277</v>
      </c>
      <c r="T28" s="83">
        <f>U28/W28</f>
        <v>7.4999999999999997E-2</v>
      </c>
      <c r="U28" s="84">
        <v>7500</v>
      </c>
      <c r="V28" s="84">
        <v>0</v>
      </c>
      <c r="W28" s="85">
        <f t="shared" ref="W28:W91" si="0">Q28+M28+I28+E28+U28</f>
        <v>100000</v>
      </c>
      <c r="X28" s="86">
        <v>0</v>
      </c>
    </row>
    <row r="29" spans="2:24" x14ac:dyDescent="0.35">
      <c r="B29" s="97" t="s">
        <v>25</v>
      </c>
      <c r="C29" s="87">
        <v>-2.2499999999999999E-2</v>
      </c>
      <c r="D29" s="83">
        <v>0.30252855064838602</v>
      </c>
      <c r="E29" s="88">
        <v>29325</v>
      </c>
      <c r="F29" s="89">
        <v>0</v>
      </c>
      <c r="G29" s="90">
        <v>-5.9499999999999997E-2</v>
      </c>
      <c r="H29" s="83">
        <v>0.38810312277552539</v>
      </c>
      <c r="I29" s="88">
        <v>37620</v>
      </c>
      <c r="J29" s="89">
        <v>0</v>
      </c>
      <c r="K29" s="90">
        <v>-5.3499999999999999E-2</v>
      </c>
      <c r="L29" s="83">
        <v>0.1464671474110984</v>
      </c>
      <c r="M29" s="88">
        <v>14197.5</v>
      </c>
      <c r="N29" s="89">
        <v>0</v>
      </c>
      <c r="O29" s="91">
        <v>5.2699999999999997E-2</v>
      </c>
      <c r="P29" s="83">
        <v>8.1450589582495125E-2</v>
      </c>
      <c r="Q29" s="92">
        <v>7895.25</v>
      </c>
      <c r="R29" s="89">
        <v>0</v>
      </c>
      <c r="S29" s="91">
        <v>5.2699999999999997E-2</v>
      </c>
      <c r="T29" s="83">
        <v>8.1450589582495125E-2</v>
      </c>
      <c r="U29" s="92">
        <v>7895.25</v>
      </c>
      <c r="V29" s="89">
        <v>0</v>
      </c>
      <c r="W29" s="85">
        <f t="shared" si="0"/>
        <v>96933</v>
      </c>
      <c r="X29" s="86">
        <f>W29/W28-1</f>
        <v>-3.0669999999999975E-2</v>
      </c>
    </row>
    <row r="30" spans="2:24" x14ac:dyDescent="0.35">
      <c r="B30" s="96" t="s">
        <v>26</v>
      </c>
      <c r="C30" s="87">
        <v>-3.5099999999999999E-2</v>
      </c>
      <c r="D30" s="83">
        <v>0.30252576185447588</v>
      </c>
      <c r="E30" s="88">
        <v>28295.692500000001</v>
      </c>
      <c r="F30" s="89">
        <v>0</v>
      </c>
      <c r="G30" s="87">
        <v>-2.8299999999999999E-2</v>
      </c>
      <c r="H30" s="83">
        <v>0.39083462328091317</v>
      </c>
      <c r="I30" s="88">
        <v>36555.353999999999</v>
      </c>
      <c r="J30" s="89">
        <v>0</v>
      </c>
      <c r="K30" s="87">
        <v>-3.9600000000000003E-2</v>
      </c>
      <c r="L30" s="83">
        <v>0.14578272532376921</v>
      </c>
      <c r="M30" s="88">
        <v>13635.279</v>
      </c>
      <c r="N30" s="89">
        <v>0</v>
      </c>
      <c r="O30" s="87">
        <v>-4.7199999999999999E-2</v>
      </c>
      <c r="P30" s="83">
        <v>8.042844477042084E-2</v>
      </c>
      <c r="Q30" s="92">
        <v>7522.5941999999995</v>
      </c>
      <c r="R30" s="89">
        <v>0</v>
      </c>
      <c r="S30" s="87">
        <v>-4.7199999999999999E-2</v>
      </c>
      <c r="T30" s="83">
        <v>8.042844477042084E-2</v>
      </c>
      <c r="U30" s="92">
        <v>7522.5941999999995</v>
      </c>
      <c r="V30" s="89">
        <v>0</v>
      </c>
      <c r="W30" s="85">
        <f t="shared" si="0"/>
        <v>93531.513899999991</v>
      </c>
      <c r="X30" s="86">
        <f t="shared" ref="X30:X93" si="1">W30/W29-1</f>
        <v>-3.5091105196372818E-2</v>
      </c>
    </row>
    <row r="31" spans="2:24" x14ac:dyDescent="0.35">
      <c r="B31" s="97" t="s">
        <v>27</v>
      </c>
      <c r="C31" s="91">
        <v>3.4500000000000003E-2</v>
      </c>
      <c r="D31" s="83">
        <v>0.30960568524019721</v>
      </c>
      <c r="E31" s="88">
        <v>29271.893891250002</v>
      </c>
      <c r="F31" s="89">
        <v>0</v>
      </c>
      <c r="G31" s="93">
        <v>-2.7E-2</v>
      </c>
      <c r="H31" s="83">
        <v>0.37620272671191318</v>
      </c>
      <c r="I31" s="88">
        <v>35568.359442000001</v>
      </c>
      <c r="J31" s="89">
        <v>0</v>
      </c>
      <c r="K31" s="94">
        <v>6.1000000000000004E-3</v>
      </c>
      <c r="L31" s="83">
        <v>0.1450986201779422</v>
      </c>
      <c r="M31" s="88">
        <v>13718.4542019</v>
      </c>
      <c r="N31" s="89">
        <v>0</v>
      </c>
      <c r="O31" s="91">
        <v>6.2600000000000003E-2</v>
      </c>
      <c r="P31" s="83">
        <v>8.4546483934973701E-2</v>
      </c>
      <c r="Q31" s="92">
        <v>7993.508596919999</v>
      </c>
      <c r="R31" s="89">
        <v>0</v>
      </c>
      <c r="S31" s="91">
        <v>6.2600000000000003E-2</v>
      </c>
      <c r="T31" s="83">
        <v>8.4546483934973701E-2</v>
      </c>
      <c r="U31" s="92">
        <v>7993.508596919999</v>
      </c>
      <c r="V31" s="89">
        <v>0</v>
      </c>
      <c r="W31" s="85">
        <f t="shared" si="0"/>
        <v>94545.724728989997</v>
      </c>
      <c r="X31" s="86">
        <f t="shared" si="1"/>
        <v>1.0843519865126439E-2</v>
      </c>
    </row>
    <row r="32" spans="2:24" x14ac:dyDescent="0.35">
      <c r="B32" s="96" t="s">
        <v>28</v>
      </c>
      <c r="C32" s="87">
        <v>-2.5399999999999999E-2</v>
      </c>
      <c r="D32" s="83">
        <v>0.30989851690959408</v>
      </c>
      <c r="E32" s="88">
        <v>28528.387786412251</v>
      </c>
      <c r="F32" s="89">
        <v>0</v>
      </c>
      <c r="G32" s="93">
        <v>-6.7199999999999996E-2</v>
      </c>
      <c r="H32" s="83">
        <v>0.36040818069759362</v>
      </c>
      <c r="I32" s="88">
        <v>33178.165687497603</v>
      </c>
      <c r="J32" s="89">
        <v>0</v>
      </c>
      <c r="K32" s="93">
        <v>-4.6199999999999998E-2</v>
      </c>
      <c r="L32" s="83">
        <v>0.1421362209449078</v>
      </c>
      <c r="M32" s="88">
        <v>13084.661617772221</v>
      </c>
      <c r="N32" s="89">
        <v>0</v>
      </c>
      <c r="O32" s="91">
        <v>0.08</v>
      </c>
      <c r="P32" s="83">
        <v>9.377854072395235E-2</v>
      </c>
      <c r="Q32" s="92">
        <v>8632.9892846736002</v>
      </c>
      <c r="R32" s="89">
        <v>0</v>
      </c>
      <c r="S32" s="91">
        <v>0.08</v>
      </c>
      <c r="T32" s="83">
        <v>9.377854072395235E-2</v>
      </c>
      <c r="U32" s="92">
        <v>8632.9892846736002</v>
      </c>
      <c r="V32" s="89">
        <v>0</v>
      </c>
      <c r="W32" s="85">
        <f t="shared" si="0"/>
        <v>92057.193661029276</v>
      </c>
      <c r="X32" s="86">
        <f t="shared" si="1"/>
        <v>-2.6320926462766625E-2</v>
      </c>
    </row>
    <row r="33" spans="2:24" x14ac:dyDescent="0.35">
      <c r="B33" s="97" t="s">
        <v>29</v>
      </c>
      <c r="C33" s="91">
        <v>6.2700000000000006E-2</v>
      </c>
      <c r="D33" s="83">
        <v>0.30508642599632069</v>
      </c>
      <c r="E33" s="88">
        <v>30317.1177006203</v>
      </c>
      <c r="F33" s="89">
        <v>0</v>
      </c>
      <c r="G33" s="94">
        <v>9.0200000000000002E-2</v>
      </c>
      <c r="H33" s="83">
        <v>0.36399341324089252</v>
      </c>
      <c r="I33" s="88">
        <v>36170.836232509879</v>
      </c>
      <c r="J33" s="89">
        <v>0</v>
      </c>
      <c r="K33" s="94">
        <v>9.1499999999999998E-2</v>
      </c>
      <c r="L33" s="83">
        <v>0.1437213246551825</v>
      </c>
      <c r="M33" s="88">
        <v>14281.908155798381</v>
      </c>
      <c r="N33" s="89">
        <v>0</v>
      </c>
      <c r="O33" s="91">
        <v>7.7399999999999997E-2</v>
      </c>
      <c r="P33" s="83">
        <v>9.3599418053802119E-2</v>
      </c>
      <c r="Q33" s="92">
        <v>9301.182655307337</v>
      </c>
      <c r="R33" s="89">
        <v>0</v>
      </c>
      <c r="S33" s="91">
        <v>7.7399999999999997E-2</v>
      </c>
      <c r="T33" s="83">
        <v>9.3599418053802119E-2</v>
      </c>
      <c r="U33" s="92">
        <v>9301.182655307337</v>
      </c>
      <c r="V33" s="89">
        <v>0</v>
      </c>
      <c r="W33" s="85">
        <f t="shared" si="0"/>
        <v>99372.227399543233</v>
      </c>
      <c r="X33" s="86">
        <f t="shared" si="1"/>
        <v>7.9461837229681365E-2</v>
      </c>
    </row>
    <row r="34" spans="2:24" x14ac:dyDescent="0.35">
      <c r="B34" s="96" t="s">
        <v>30</v>
      </c>
      <c r="C34" s="87">
        <v>-5.8900000000000001E-2</v>
      </c>
      <c r="D34" s="83">
        <v>0.30686728280541398</v>
      </c>
      <c r="E34" s="88">
        <v>28531.43946805377</v>
      </c>
      <c r="F34" s="89">
        <v>0</v>
      </c>
      <c r="G34" s="93">
        <v>-5.1700000000000003E-2</v>
      </c>
      <c r="H34" s="83">
        <v>0.36891915436262901</v>
      </c>
      <c r="I34" s="88">
        <v>34300.803999289121</v>
      </c>
      <c r="J34" s="89">
        <v>0</v>
      </c>
      <c r="K34" s="93">
        <v>-6.0299999999999999E-2</v>
      </c>
      <c r="L34" s="83">
        <v>0.14434520689396421</v>
      </c>
      <c r="M34" s="88">
        <v>13420.709094003731</v>
      </c>
      <c r="N34" s="89">
        <v>0</v>
      </c>
      <c r="O34" s="87">
        <v>-0.10100000000000001</v>
      </c>
      <c r="P34" s="83">
        <v>8.9934177968996429E-2</v>
      </c>
      <c r="Q34" s="92">
        <v>8361.7632071212956</v>
      </c>
      <c r="R34" s="89">
        <v>0</v>
      </c>
      <c r="S34" s="87">
        <v>-0.10100000000000001</v>
      </c>
      <c r="T34" s="83">
        <v>8.9934177968996429E-2</v>
      </c>
      <c r="U34" s="92">
        <v>8361.7632071212956</v>
      </c>
      <c r="V34" s="89">
        <v>0</v>
      </c>
      <c r="W34" s="85">
        <f t="shared" si="0"/>
        <v>92976.478975589212</v>
      </c>
      <c r="X34" s="86">
        <f t="shared" si="1"/>
        <v>-6.4361528279312963E-2</v>
      </c>
    </row>
    <row r="35" spans="2:24" x14ac:dyDescent="0.35">
      <c r="B35" s="97" t="s">
        <v>31</v>
      </c>
      <c r="C35" s="91">
        <v>5.4999999999999997E-3</v>
      </c>
      <c r="D35" s="83">
        <v>0.30386959001339581</v>
      </c>
      <c r="E35" s="88">
        <v>28688.362385128061</v>
      </c>
      <c r="F35" s="89">
        <v>0</v>
      </c>
      <c r="G35" s="94">
        <v>1.7999999999999999E-2</v>
      </c>
      <c r="H35" s="83">
        <v>0.3698567589332114</v>
      </c>
      <c r="I35" s="88">
        <v>34918.218471276326</v>
      </c>
      <c r="J35" s="89">
        <v>0</v>
      </c>
      <c r="K35" s="94">
        <v>1.3299999999999999E-2</v>
      </c>
      <c r="L35" s="83">
        <v>0.1440439383758027</v>
      </c>
      <c r="M35" s="88">
        <v>13599.204524953981</v>
      </c>
      <c r="N35" s="89">
        <v>0</v>
      </c>
      <c r="O35" s="91">
        <v>3.61E-2</v>
      </c>
      <c r="P35" s="83">
        <v>9.1765834899271509E-2</v>
      </c>
      <c r="Q35" s="92">
        <v>8663.622858898374</v>
      </c>
      <c r="R35" s="89">
        <v>0</v>
      </c>
      <c r="S35" s="91">
        <v>2.1399999999999999E-2</v>
      </c>
      <c r="T35" s="83">
        <v>9.046387777831863E-2</v>
      </c>
      <c r="U35" s="92">
        <v>8540.7049397536921</v>
      </c>
      <c r="V35" s="89">
        <v>0</v>
      </c>
      <c r="W35" s="85">
        <f t="shared" si="0"/>
        <v>94410.113180010434</v>
      </c>
      <c r="X35" s="86">
        <f t="shared" si="1"/>
        <v>1.5419321318864032E-2</v>
      </c>
    </row>
    <row r="36" spans="2:24" x14ac:dyDescent="0.35">
      <c r="B36" s="96" t="s">
        <v>32</v>
      </c>
      <c r="C36" s="91">
        <v>2.7000000000000001E-3</v>
      </c>
      <c r="D36" s="83">
        <v>0.30719335329868769</v>
      </c>
      <c r="E36" s="88">
        <v>28765.820963567909</v>
      </c>
      <c r="F36" s="89">
        <v>0</v>
      </c>
      <c r="G36" s="94">
        <v>7.9000000000000008E-3</v>
      </c>
      <c r="H36" s="83">
        <v>0.37584135455842399</v>
      </c>
      <c r="I36" s="88">
        <v>35194.072397199408</v>
      </c>
      <c r="J36" s="89">
        <v>0</v>
      </c>
      <c r="K36" s="93">
        <v>-4.7999999999999996E-3</v>
      </c>
      <c r="L36" s="83">
        <v>0.14453030338775349</v>
      </c>
      <c r="M36" s="88">
        <v>13533.9283432342</v>
      </c>
      <c r="N36" s="89">
        <v>0</v>
      </c>
      <c r="O36" s="87">
        <v>-3.5099999999999999E-2</v>
      </c>
      <c r="P36" s="83">
        <v>8.9272333396493486E-2</v>
      </c>
      <c r="Q36" s="92">
        <v>8359.5296965510406</v>
      </c>
      <c r="R36" s="89">
        <v>0</v>
      </c>
      <c r="S36" s="87">
        <v>-8.8200000000000001E-2</v>
      </c>
      <c r="T36" s="83">
        <v>8.3162655358641369E-2</v>
      </c>
      <c r="U36" s="92">
        <v>7787.4147640674164</v>
      </c>
      <c r="V36" s="89">
        <v>0</v>
      </c>
      <c r="W36" s="85">
        <f t="shared" si="0"/>
        <v>93640.76616461997</v>
      </c>
      <c r="X36" s="86">
        <f t="shared" si="1"/>
        <v>-8.1489894406074903E-3</v>
      </c>
    </row>
    <row r="37" spans="2:24" x14ac:dyDescent="0.35">
      <c r="B37" s="97" t="s">
        <v>33</v>
      </c>
      <c r="C37" s="91">
        <v>4.4400000000000002E-2</v>
      </c>
      <c r="D37" s="83">
        <v>0.31428446318598718</v>
      </c>
      <c r="E37" s="88">
        <v>30043.023414350318</v>
      </c>
      <c r="F37" s="89">
        <v>0</v>
      </c>
      <c r="G37" s="94">
        <v>3.4599999999999999E-2</v>
      </c>
      <c r="H37" s="83">
        <v>0.3809090339566169</v>
      </c>
      <c r="I37" s="88">
        <v>36411.787302142497</v>
      </c>
      <c r="J37" s="89">
        <v>0</v>
      </c>
      <c r="K37" s="94">
        <v>2.7099999999999999E-2</v>
      </c>
      <c r="L37" s="83">
        <v>0.14541723335064491</v>
      </c>
      <c r="M37" s="88">
        <v>13900.697801335849</v>
      </c>
      <c r="N37" s="89">
        <v>0</v>
      </c>
      <c r="O37" s="87">
        <v>-2.5000000000000001E-2</v>
      </c>
      <c r="P37" s="83">
        <v>8.5264006563503858E-2</v>
      </c>
      <c r="Q37" s="92">
        <v>8150.5414541372647</v>
      </c>
      <c r="R37" s="89">
        <v>0</v>
      </c>
      <c r="S37" s="87">
        <v>-9.01E-2</v>
      </c>
      <c r="T37" s="83">
        <v>7.4125262943247075E-2</v>
      </c>
      <c r="U37" s="92">
        <v>7085.7686938249426</v>
      </c>
      <c r="V37" s="89">
        <v>0</v>
      </c>
      <c r="W37" s="85">
        <f t="shared" si="0"/>
        <v>95591.818665790866</v>
      </c>
      <c r="X37" s="86">
        <f t="shared" si="1"/>
        <v>2.0835503393265231E-2</v>
      </c>
    </row>
    <row r="38" spans="2:24" x14ac:dyDescent="0.35">
      <c r="B38" s="96" t="s">
        <v>34</v>
      </c>
      <c r="C38" s="91">
        <v>1.5900000000000001E-2</v>
      </c>
      <c r="D38" s="83">
        <v>0.32057306854480783</v>
      </c>
      <c r="E38" s="88">
        <v>30520.70748663849</v>
      </c>
      <c r="F38" s="89">
        <v>0</v>
      </c>
      <c r="G38" s="93">
        <v>-1.0500000000000001E-2</v>
      </c>
      <c r="H38" s="83">
        <v>0.37843407426401671</v>
      </c>
      <c r="I38" s="88">
        <v>36029.463535470008</v>
      </c>
      <c r="J38" s="89">
        <v>0</v>
      </c>
      <c r="K38" s="93">
        <v>-1.29E-2</v>
      </c>
      <c r="L38" s="83">
        <v>0.14412197058049009</v>
      </c>
      <c r="M38" s="88">
        <v>13721.378799698619</v>
      </c>
      <c r="N38" s="89">
        <v>0</v>
      </c>
      <c r="O38" s="87">
        <v>-2E-3</v>
      </c>
      <c r="P38" s="83">
        <v>8.5437678573719505E-2</v>
      </c>
      <c r="Q38" s="92">
        <v>8134.2403712289906</v>
      </c>
      <c r="R38" s="89">
        <v>0</v>
      </c>
      <c r="S38" s="87">
        <v>-4.02E-2</v>
      </c>
      <c r="T38" s="83">
        <v>7.1433208036965998E-2</v>
      </c>
      <c r="U38" s="92">
        <v>6800.9207923331796</v>
      </c>
      <c r="V38" s="89">
        <v>0</v>
      </c>
      <c r="W38" s="85">
        <f t="shared" si="0"/>
        <v>95206.710985369296</v>
      </c>
      <c r="X38" s="86">
        <f t="shared" si="1"/>
        <v>-4.0286677855558839E-3</v>
      </c>
    </row>
    <row r="39" spans="2:24" x14ac:dyDescent="0.35">
      <c r="B39" s="97" t="s">
        <v>35</v>
      </c>
      <c r="C39" s="91">
        <v>2.9399999999999999E-2</v>
      </c>
      <c r="D39" s="83">
        <v>0.31839156305805277</v>
      </c>
      <c r="E39" s="88">
        <v>31418.016286745671</v>
      </c>
      <c r="F39" s="89">
        <v>0</v>
      </c>
      <c r="G39" s="94">
        <v>3.2199999999999999E-2</v>
      </c>
      <c r="H39" s="83">
        <v>0.3768811712787038</v>
      </c>
      <c r="I39" s="88">
        <v>37189.612261312141</v>
      </c>
      <c r="J39" s="89">
        <v>0</v>
      </c>
      <c r="K39" s="94">
        <v>2.23E-2</v>
      </c>
      <c r="L39" s="83">
        <v>0.14215394127090319</v>
      </c>
      <c r="M39" s="88">
        <v>14027.365546931889</v>
      </c>
      <c r="N39" s="89">
        <v>0</v>
      </c>
      <c r="O39" s="91">
        <v>8.3099999999999993E-2</v>
      </c>
      <c r="P39" s="83">
        <v>8.9282912353209454E-2</v>
      </c>
      <c r="Q39" s="92">
        <v>8810.1957460781196</v>
      </c>
      <c r="R39" s="89">
        <v>0</v>
      </c>
      <c r="S39" s="91">
        <v>6.3399999999999998E-2</v>
      </c>
      <c r="T39" s="83">
        <v>7.3290412039130642E-2</v>
      </c>
      <c r="U39" s="92">
        <v>7232.0991705671022</v>
      </c>
      <c r="V39" s="89">
        <v>0</v>
      </c>
      <c r="W39" s="85">
        <f t="shared" si="0"/>
        <v>98677.28901163493</v>
      </c>
      <c r="X39" s="86">
        <f t="shared" si="1"/>
        <v>3.6453081829483258E-2</v>
      </c>
    </row>
    <row r="40" spans="2:24" x14ac:dyDescent="0.35">
      <c r="B40" s="96" t="s">
        <v>36</v>
      </c>
      <c r="C40" s="87">
        <v>-3.2000000000000002E-3</v>
      </c>
      <c r="D40" s="83">
        <v>0.32837127460599741</v>
      </c>
      <c r="E40" s="88">
        <v>31317.478634628082</v>
      </c>
      <c r="F40" s="89">
        <v>0</v>
      </c>
      <c r="G40" s="93">
        <v>-4.8899999999999999E-2</v>
      </c>
      <c r="H40" s="83">
        <v>0.37087384004496898</v>
      </c>
      <c r="I40" s="88">
        <v>35371.04022173398</v>
      </c>
      <c r="J40" s="89">
        <v>0</v>
      </c>
      <c r="K40" s="93">
        <v>-3.4500000000000003E-2</v>
      </c>
      <c r="L40" s="83">
        <v>0.14200602197919371</v>
      </c>
      <c r="M40" s="88">
        <v>13543.421435562739</v>
      </c>
      <c r="N40" s="89">
        <v>0</v>
      </c>
      <c r="O40" s="87">
        <v>-3.3599999999999998E-2</v>
      </c>
      <c r="P40" s="83">
        <v>8.9273147699464081E-2</v>
      </c>
      <c r="Q40" s="92">
        <v>8514.173169009895</v>
      </c>
      <c r="R40" s="89">
        <v>0</v>
      </c>
      <c r="S40" s="87">
        <v>-8.3799999999999999E-2</v>
      </c>
      <c r="T40" s="83">
        <v>6.9475715670375734E-2</v>
      </c>
      <c r="U40" s="92">
        <v>6626.0492600735788</v>
      </c>
      <c r="V40" s="89">
        <v>0</v>
      </c>
      <c r="W40" s="85">
        <f t="shared" si="0"/>
        <v>95372.162721008266</v>
      </c>
      <c r="X40" s="86">
        <f t="shared" si="1"/>
        <v>-3.349429563510764E-2</v>
      </c>
    </row>
    <row r="41" spans="2:24" x14ac:dyDescent="0.35">
      <c r="B41" s="97" t="s">
        <v>37</v>
      </c>
      <c r="C41" s="91">
        <v>1.12E-2</v>
      </c>
      <c r="D41" s="83">
        <v>0.33270250335984791</v>
      </c>
      <c r="E41" s="88">
        <v>31668.23439533592</v>
      </c>
      <c r="F41" s="89">
        <v>0</v>
      </c>
      <c r="G41" s="93">
        <v>-1.2800000000000001E-2</v>
      </c>
      <c r="H41" s="83">
        <v>0.36684718992362397</v>
      </c>
      <c r="I41" s="88">
        <v>34918.290906895782</v>
      </c>
      <c r="J41" s="89">
        <v>0</v>
      </c>
      <c r="K41" s="93">
        <v>-6.8999999999999999E-3</v>
      </c>
      <c r="L41" s="83">
        <v>0.14130371909335379</v>
      </c>
      <c r="M41" s="88">
        <v>13449.97182765736</v>
      </c>
      <c r="N41" s="89">
        <v>0</v>
      </c>
      <c r="O41" s="91">
        <v>2.29E-2</v>
      </c>
      <c r="P41" s="83">
        <v>9.14972150721588E-2</v>
      </c>
      <c r="Q41" s="92">
        <v>8709.1477345802214</v>
      </c>
      <c r="R41" s="89">
        <v>0</v>
      </c>
      <c r="S41" s="87">
        <v>-2.8199999999999999E-2</v>
      </c>
      <c r="T41" s="83">
        <v>6.7649372551015566E-2</v>
      </c>
      <c r="U41" s="92">
        <v>6439.1946709395042</v>
      </c>
      <c r="V41" s="89">
        <v>0</v>
      </c>
      <c r="W41" s="85">
        <f t="shared" si="0"/>
        <v>95184.839535408784</v>
      </c>
      <c r="X41" s="86">
        <f t="shared" si="1"/>
        <v>-1.964128528231579E-3</v>
      </c>
    </row>
    <row r="42" spans="2:24" x14ac:dyDescent="0.35">
      <c r="B42" s="96" t="s">
        <v>38</v>
      </c>
      <c r="C42" s="87">
        <v>-2.2599999999999999E-2</v>
      </c>
      <c r="D42" s="83">
        <v>0.32193188636576092</v>
      </c>
      <c r="E42" s="88">
        <v>30952.53229800133</v>
      </c>
      <c r="F42" s="89">
        <v>0</v>
      </c>
      <c r="G42" s="94">
        <v>2.8899999999999999E-2</v>
      </c>
      <c r="H42" s="83">
        <v>0.37367492405445651</v>
      </c>
      <c r="I42" s="88">
        <v>35927.429514105068</v>
      </c>
      <c r="J42" s="89">
        <v>0</v>
      </c>
      <c r="K42" s="94">
        <v>1.5900000000000001E-2</v>
      </c>
      <c r="L42" s="83">
        <v>0.1421150734630077</v>
      </c>
      <c r="M42" s="88">
        <v>13663.826379717109</v>
      </c>
      <c r="N42" s="89">
        <v>0</v>
      </c>
      <c r="O42" s="91">
        <v>2.53E-2</v>
      </c>
      <c r="P42" s="83">
        <v>9.2874058439979909E-2</v>
      </c>
      <c r="Q42" s="92">
        <v>8929.4891722651009</v>
      </c>
      <c r="R42" s="89">
        <v>0</v>
      </c>
      <c r="S42" s="91">
        <v>3.6299999999999999E-2</v>
      </c>
      <c r="T42" s="83">
        <v>6.9404057676795056E-2</v>
      </c>
      <c r="U42" s="92">
        <v>6672.9374374946083</v>
      </c>
      <c r="V42" s="89">
        <v>0</v>
      </c>
      <c r="W42" s="85">
        <f t="shared" si="0"/>
        <v>96146.214801583206</v>
      </c>
      <c r="X42" s="86">
        <f t="shared" si="1"/>
        <v>1.0100088111371974E-2</v>
      </c>
    </row>
    <row r="43" spans="2:24" x14ac:dyDescent="0.35">
      <c r="B43" s="97" t="s">
        <v>39</v>
      </c>
      <c r="C43" s="87">
        <v>-3.15E-2</v>
      </c>
      <c r="D43" s="83">
        <v>0.32657548595040009</v>
      </c>
      <c r="E43" s="88">
        <v>29977.52753061429</v>
      </c>
      <c r="F43" s="89">
        <v>0</v>
      </c>
      <c r="G43" s="93">
        <v>-6.0999999999999999E-2</v>
      </c>
      <c r="H43" s="83">
        <v>0.36751875745465368</v>
      </c>
      <c r="I43" s="88">
        <v>33735.856313744662</v>
      </c>
      <c r="J43" s="89">
        <v>0</v>
      </c>
      <c r="K43" s="93">
        <v>-4.5499999999999999E-2</v>
      </c>
      <c r="L43" s="83">
        <v>0.14208101108014809</v>
      </c>
      <c r="M43" s="88">
        <v>13042.122279439989</v>
      </c>
      <c r="N43" s="89">
        <v>0</v>
      </c>
      <c r="O43" s="87">
        <v>-5.0200000000000002E-2</v>
      </c>
      <c r="P43" s="83">
        <v>9.2394591887323144E-2</v>
      </c>
      <c r="Q43" s="92">
        <v>8481.2288158173924</v>
      </c>
      <c r="R43" s="89">
        <v>0</v>
      </c>
      <c r="S43" s="87">
        <v>-1.7399999999999999E-2</v>
      </c>
      <c r="T43" s="83">
        <v>7.1430153627475124E-2</v>
      </c>
      <c r="U43" s="92">
        <v>6556.8283260822027</v>
      </c>
      <c r="V43" s="89">
        <v>0</v>
      </c>
      <c r="W43" s="85">
        <f t="shared" si="0"/>
        <v>91793.56326569854</v>
      </c>
      <c r="X43" s="86">
        <f t="shared" si="1"/>
        <v>-4.5271168967673137E-2</v>
      </c>
    </row>
    <row r="44" spans="2:24" x14ac:dyDescent="0.35">
      <c r="B44" s="96" t="s">
        <v>40</v>
      </c>
      <c r="C44" s="91">
        <v>4.1000000000000002E-2</v>
      </c>
      <c r="D44" s="83">
        <v>0.33442476406316252</v>
      </c>
      <c r="E44" s="88">
        <v>31206.606159369469</v>
      </c>
      <c r="F44" s="89">
        <v>0</v>
      </c>
      <c r="G44" s="94">
        <v>3.0999999999999999E-3</v>
      </c>
      <c r="H44" s="83">
        <v>0.36265014716245803</v>
      </c>
      <c r="I44" s="88">
        <v>33840.437468317272</v>
      </c>
      <c r="J44" s="89">
        <v>0</v>
      </c>
      <c r="K44" s="94">
        <v>0</v>
      </c>
      <c r="L44" s="83">
        <v>0.13976555617455699</v>
      </c>
      <c r="M44" s="88">
        <v>13042.122279439989</v>
      </c>
      <c r="N44" s="89">
        <v>0</v>
      </c>
      <c r="O44" s="91">
        <v>2.0199999999999999E-2</v>
      </c>
      <c r="P44" s="83">
        <v>9.2724817829307318E-2</v>
      </c>
      <c r="Q44" s="92">
        <v>8652.5496378969037</v>
      </c>
      <c r="R44" s="89">
        <v>0</v>
      </c>
      <c r="S44" s="91">
        <v>2.3999999999999998E-3</v>
      </c>
      <c r="T44" s="83">
        <v>7.0434714770515078E-2</v>
      </c>
      <c r="U44" s="92">
        <v>6572.5647140647998</v>
      </c>
      <c r="V44" s="89">
        <v>0</v>
      </c>
      <c r="W44" s="85">
        <f t="shared" si="0"/>
        <v>93314.280259088438</v>
      </c>
      <c r="X44" s="86">
        <f t="shared" si="1"/>
        <v>1.6566706196905701E-2</v>
      </c>
    </row>
    <row r="45" spans="2:24" x14ac:dyDescent="0.35">
      <c r="B45" s="97" t="s">
        <v>41</v>
      </c>
      <c r="C45" s="87">
        <v>-1.37E-2</v>
      </c>
      <c r="D45" s="83">
        <v>0.34685175298926002</v>
      </c>
      <c r="E45" s="88">
        <v>30779.075654986111</v>
      </c>
      <c r="F45" s="89">
        <v>0</v>
      </c>
      <c r="G45" s="93">
        <v>-7.0300000000000001E-2</v>
      </c>
      <c r="H45" s="83">
        <v>0.35454153469607219</v>
      </c>
      <c r="I45" s="88">
        <v>31461.45471429457</v>
      </c>
      <c r="J45" s="89">
        <v>0</v>
      </c>
      <c r="K45" s="93">
        <v>-6.1600000000000002E-2</v>
      </c>
      <c r="L45" s="83">
        <v>0.13791915493590859</v>
      </c>
      <c r="M45" s="88">
        <v>12238.727547026479</v>
      </c>
      <c r="N45" s="89">
        <v>0</v>
      </c>
      <c r="O45" s="87">
        <v>-6.9099999999999995E-2</v>
      </c>
      <c r="P45" s="83">
        <v>9.0768560991730932E-2</v>
      </c>
      <c r="Q45" s="92">
        <v>8054.6584579182281</v>
      </c>
      <c r="R45" s="89">
        <v>0</v>
      </c>
      <c r="S45" s="87">
        <v>-5.6000000000000001E-2</v>
      </c>
      <c r="T45" s="83">
        <v>6.9918996387028198E-2</v>
      </c>
      <c r="U45" s="92">
        <v>6204.5010900771704</v>
      </c>
      <c r="V45" s="89">
        <v>0</v>
      </c>
      <c r="W45" s="85">
        <f t="shared" si="0"/>
        <v>88738.417464302562</v>
      </c>
      <c r="X45" s="86">
        <f t="shared" si="1"/>
        <v>-4.903711181269288E-2</v>
      </c>
    </row>
    <row r="46" spans="2:24" x14ac:dyDescent="0.35">
      <c r="B46" s="96" t="s">
        <v>42</v>
      </c>
      <c r="C46" s="87">
        <v>-2.7900000000000001E-2</v>
      </c>
      <c r="D46" s="83">
        <v>0.34474766603007662</v>
      </c>
      <c r="E46" s="88">
        <v>29920.339444212001</v>
      </c>
      <c r="F46" s="89">
        <v>0</v>
      </c>
      <c r="G46" s="93">
        <v>-2.4199999999999999E-2</v>
      </c>
      <c r="H46" s="83">
        <v>0.35373206697061499</v>
      </c>
      <c r="I46" s="88">
        <v>30700.087510208639</v>
      </c>
      <c r="J46" s="89">
        <v>0</v>
      </c>
      <c r="K46" s="93">
        <v>-1.89E-2</v>
      </c>
      <c r="L46" s="83">
        <v>0.13835165572322991</v>
      </c>
      <c r="M46" s="88">
        <v>12007.41559638768</v>
      </c>
      <c r="N46" s="89">
        <v>0</v>
      </c>
      <c r="O46" s="87">
        <v>-2.81E-2</v>
      </c>
      <c r="P46" s="83">
        <v>9.0199375407666607E-2</v>
      </c>
      <c r="Q46" s="92">
        <v>7828.3225552507256</v>
      </c>
      <c r="R46" s="89">
        <v>0</v>
      </c>
      <c r="S46" s="91">
        <v>2.07E-2</v>
      </c>
      <c r="T46" s="83">
        <v>7.2969235868411891E-2</v>
      </c>
      <c r="U46" s="92">
        <v>6332.9342626417674</v>
      </c>
      <c r="V46" s="89">
        <v>0</v>
      </c>
      <c r="W46" s="85">
        <f t="shared" si="0"/>
        <v>86789.099368700816</v>
      </c>
      <c r="X46" s="86">
        <f t="shared" si="1"/>
        <v>-2.196701441499016E-2</v>
      </c>
    </row>
    <row r="47" spans="2:24" x14ac:dyDescent="0.35">
      <c r="B47" s="97" t="s">
        <v>43</v>
      </c>
      <c r="C47" s="87">
        <v>-5.4399999999999997E-2</v>
      </c>
      <c r="D47" s="83">
        <v>0.33129156672637111</v>
      </c>
      <c r="E47" s="88">
        <v>28292.672978446859</v>
      </c>
      <c r="F47" s="89">
        <v>0</v>
      </c>
      <c r="G47" s="94">
        <v>5.4000000000000003E-3</v>
      </c>
      <c r="H47" s="83">
        <v>0.36142225834119418</v>
      </c>
      <c r="I47" s="88">
        <v>30865.867982763772</v>
      </c>
      <c r="J47" s="89">
        <v>0</v>
      </c>
      <c r="K47" s="93">
        <v>-5.0000000000000001E-3</v>
      </c>
      <c r="L47" s="83">
        <v>0.13989720061624619</v>
      </c>
      <c r="M47" s="88">
        <v>11947.37851840574</v>
      </c>
      <c r="N47" s="89">
        <v>0</v>
      </c>
      <c r="O47" s="87">
        <v>-1.9E-3</v>
      </c>
      <c r="P47" s="83">
        <v>9.1491167249428976E-2</v>
      </c>
      <c r="Q47" s="92">
        <v>7813.4487423957489</v>
      </c>
      <c r="R47" s="89">
        <v>0</v>
      </c>
      <c r="S47" s="91">
        <v>2.35E-2</v>
      </c>
      <c r="T47" s="83">
        <v>7.5897807066759554E-2</v>
      </c>
      <c r="U47" s="92">
        <v>6481.7582178138491</v>
      </c>
      <c r="V47" s="89">
        <v>0</v>
      </c>
      <c r="W47" s="85">
        <f t="shared" si="0"/>
        <v>85401.126439825981</v>
      </c>
      <c r="X47" s="86">
        <f t="shared" si="1"/>
        <v>-1.59924799193778E-2</v>
      </c>
    </row>
    <row r="48" spans="2:24" x14ac:dyDescent="0.35">
      <c r="B48" s="96" t="s">
        <v>44</v>
      </c>
      <c r="C48" s="91">
        <v>6.7400000000000002E-2</v>
      </c>
      <c r="D48" s="83">
        <v>0.33196828694096159</v>
      </c>
      <c r="E48" s="88">
        <v>30199.599137194178</v>
      </c>
      <c r="F48" s="89">
        <v>0</v>
      </c>
      <c r="G48" s="94">
        <v>6.8500000000000005E-2</v>
      </c>
      <c r="H48" s="83">
        <v>0.36253374714712422</v>
      </c>
      <c r="I48" s="88">
        <v>32980.179939583089</v>
      </c>
      <c r="J48" s="89">
        <v>0</v>
      </c>
      <c r="K48" s="94">
        <v>7.3499999999999996E-2</v>
      </c>
      <c r="L48" s="83">
        <v>0.14098408535796109</v>
      </c>
      <c r="M48" s="88">
        <v>12825.510839508561</v>
      </c>
      <c r="N48" s="89">
        <v>0</v>
      </c>
      <c r="O48" s="91">
        <v>6.9099999999999995E-2</v>
      </c>
      <c r="P48" s="83">
        <v>9.1824065267544996E-2</v>
      </c>
      <c r="Q48" s="92">
        <v>8353.3580504952952</v>
      </c>
      <c r="R48" s="89">
        <v>0</v>
      </c>
      <c r="S48" s="91">
        <v>2.0199999999999999E-2</v>
      </c>
      <c r="T48" s="83">
        <v>7.2689815286408083E-2</v>
      </c>
      <c r="U48" s="92">
        <v>6612.6897338136887</v>
      </c>
      <c r="V48" s="89">
        <v>0</v>
      </c>
      <c r="W48" s="85">
        <f t="shared" si="0"/>
        <v>90971.337700594813</v>
      </c>
      <c r="X48" s="86">
        <f t="shared" si="1"/>
        <v>6.5224095898707146E-2</v>
      </c>
    </row>
    <row r="49" spans="2:24" x14ac:dyDescent="0.35">
      <c r="B49" s="97" t="s">
        <v>45</v>
      </c>
      <c r="C49" s="87">
        <v>-3.5400000000000001E-2</v>
      </c>
      <c r="D49" s="83">
        <v>0.33470814908977548</v>
      </c>
      <c r="E49" s="88">
        <v>29130.533327737499</v>
      </c>
      <c r="F49" s="89">
        <v>0</v>
      </c>
      <c r="G49" s="93">
        <v>-7.0499999999999993E-2</v>
      </c>
      <c r="H49" s="83">
        <v>0.35222507093846622</v>
      </c>
      <c r="I49" s="88">
        <v>30655.077253842479</v>
      </c>
      <c r="J49" s="89">
        <v>0</v>
      </c>
      <c r="K49" s="93">
        <v>-7.17E-2</v>
      </c>
      <c r="L49" s="83">
        <v>0.136798354314459</v>
      </c>
      <c r="M49" s="88">
        <v>11905.9217123158</v>
      </c>
      <c r="N49" s="89">
        <v>0</v>
      </c>
      <c r="O49" s="91">
        <v>2.9700000000000001E-2</v>
      </c>
      <c r="P49" s="83">
        <v>9.8830196777536738E-2</v>
      </c>
      <c r="Q49" s="92">
        <v>8601.4527845950051</v>
      </c>
      <c r="R49" s="89">
        <v>0</v>
      </c>
      <c r="S49" s="91">
        <v>1.9199999999999998E-2</v>
      </c>
      <c r="T49" s="83">
        <v>7.7438228879762525E-2</v>
      </c>
      <c r="U49" s="92">
        <v>6739.6533767029123</v>
      </c>
      <c r="V49" s="89">
        <v>0</v>
      </c>
      <c r="W49" s="85">
        <f t="shared" si="0"/>
        <v>87032.638455193708</v>
      </c>
      <c r="X49" s="86">
        <f t="shared" si="1"/>
        <v>-4.3296046259802878E-2</v>
      </c>
    </row>
    <row r="50" spans="2:24" x14ac:dyDescent="0.35">
      <c r="B50" s="96" t="s">
        <v>46</v>
      </c>
      <c r="C50" s="87">
        <v>-3.5299999999999998E-2</v>
      </c>
      <c r="D50" s="83">
        <v>0.33222246886092538</v>
      </c>
      <c r="E50" s="88">
        <v>28102.225501268371</v>
      </c>
      <c r="F50" s="89">
        <v>0</v>
      </c>
      <c r="G50" s="93">
        <v>-3.5900000000000001E-2</v>
      </c>
      <c r="H50" s="83">
        <v>0.34939186159307728</v>
      </c>
      <c r="I50" s="88">
        <v>29554.559980429542</v>
      </c>
      <c r="J50" s="89">
        <v>0</v>
      </c>
      <c r="K50" s="93">
        <v>-4.2700000000000002E-2</v>
      </c>
      <c r="L50" s="83">
        <v>0.13474087656303019</v>
      </c>
      <c r="M50" s="88">
        <v>11397.53885519992</v>
      </c>
      <c r="N50" s="89">
        <v>0</v>
      </c>
      <c r="O50" s="91">
        <v>1.6500000000000001E-2</v>
      </c>
      <c r="P50" s="83">
        <v>0.1033635649879721</v>
      </c>
      <c r="Q50" s="92">
        <v>8743.3767555408231</v>
      </c>
      <c r="R50" s="89">
        <v>0</v>
      </c>
      <c r="S50" s="91">
        <v>7.6E-3</v>
      </c>
      <c r="T50" s="83">
        <v>8.0281227994994889E-2</v>
      </c>
      <c r="U50" s="92">
        <v>6790.8747423658551</v>
      </c>
      <c r="V50" s="89">
        <v>0</v>
      </c>
      <c r="W50" s="85">
        <f t="shared" si="0"/>
        <v>84588.575834804506</v>
      </c>
      <c r="X50" s="86">
        <f t="shared" si="1"/>
        <v>-2.8082138652471889E-2</v>
      </c>
    </row>
    <row r="51" spans="2:24" x14ac:dyDescent="0.35">
      <c r="B51" s="97" t="s">
        <v>47</v>
      </c>
      <c r="C51" s="87">
        <v>-2.3800000000000002E-2</v>
      </c>
      <c r="D51" s="83">
        <v>0.31588207279388397</v>
      </c>
      <c r="E51" s="88">
        <v>27433.392534338182</v>
      </c>
      <c r="F51" s="89">
        <v>0</v>
      </c>
      <c r="G51" s="94">
        <v>7.1099999999999997E-2</v>
      </c>
      <c r="H51" s="83">
        <v>0.36450205283746101</v>
      </c>
      <c r="I51" s="88">
        <v>31655.889195038071</v>
      </c>
      <c r="J51" s="89">
        <v>0</v>
      </c>
      <c r="K51" s="94">
        <v>5.8700000000000002E-2</v>
      </c>
      <c r="L51" s="83">
        <v>0.13894069148758559</v>
      </c>
      <c r="M51" s="88">
        <v>12066.574386000149</v>
      </c>
      <c r="N51" s="89">
        <v>0</v>
      </c>
      <c r="O51" s="91">
        <v>5.1999999999999998E-3</v>
      </c>
      <c r="P51" s="83">
        <v>0.10119921276019531</v>
      </c>
      <c r="Q51" s="92">
        <v>8788.8423146696368</v>
      </c>
      <c r="R51" s="89">
        <v>0</v>
      </c>
      <c r="S51" s="91">
        <v>1.6400000000000001E-2</v>
      </c>
      <c r="T51" s="83">
        <v>7.9475970120874193E-2</v>
      </c>
      <c r="U51" s="92">
        <v>6902.2450881406548</v>
      </c>
      <c r="V51" s="89">
        <v>0</v>
      </c>
      <c r="W51" s="85">
        <f t="shared" si="0"/>
        <v>86846.943518186701</v>
      </c>
      <c r="X51" s="86">
        <f t="shared" si="1"/>
        <v>2.6698258731682856E-2</v>
      </c>
    </row>
    <row r="52" spans="2:24" x14ac:dyDescent="0.35">
      <c r="B52" s="96" t="s">
        <v>48</v>
      </c>
      <c r="C52" s="87">
        <v>-1.14E-2</v>
      </c>
      <c r="D52" s="83">
        <v>0.31238515687392487</v>
      </c>
      <c r="E52" s="88">
        <v>27120.651859446731</v>
      </c>
      <c r="F52" s="89">
        <v>0</v>
      </c>
      <c r="G52" s="93">
        <v>-1.6899999999999998E-2</v>
      </c>
      <c r="H52" s="83">
        <v>0.35846146829518399</v>
      </c>
      <c r="I52" s="88">
        <v>31120.904667641931</v>
      </c>
      <c r="J52" s="89">
        <v>0</v>
      </c>
      <c r="K52" s="93">
        <v>-9.2999999999999992E-3</v>
      </c>
      <c r="L52" s="83">
        <v>0.13769444619704141</v>
      </c>
      <c r="M52" s="88">
        <v>11954.35524421035</v>
      </c>
      <c r="N52" s="89">
        <v>0</v>
      </c>
      <c r="O52" s="91">
        <v>6.1400000000000003E-2</v>
      </c>
      <c r="P52" s="83">
        <v>0.1074486645403035</v>
      </c>
      <c r="Q52" s="92">
        <v>9328.477232790352</v>
      </c>
      <c r="R52" s="89">
        <v>0</v>
      </c>
      <c r="S52" s="91">
        <v>5.67E-2</v>
      </c>
      <c r="T52" s="83">
        <v>8.4010264093546255E-2</v>
      </c>
      <c r="U52" s="92">
        <v>7293.6023846382304</v>
      </c>
      <c r="V52" s="89">
        <v>0</v>
      </c>
      <c r="W52" s="85">
        <f t="shared" si="0"/>
        <v>86817.991388727591</v>
      </c>
      <c r="X52" s="86">
        <f t="shared" si="1"/>
        <v>-3.3336958430840724E-4</v>
      </c>
    </row>
    <row r="53" spans="2:24" x14ac:dyDescent="0.35">
      <c r="B53" s="97" t="s">
        <v>49</v>
      </c>
      <c r="C53" s="87">
        <v>-7.2800000000000004E-2</v>
      </c>
      <c r="D53" s="83">
        <v>0.291975796915104</v>
      </c>
      <c r="E53" s="88">
        <v>25146.268404079001</v>
      </c>
      <c r="F53" s="89">
        <v>0</v>
      </c>
      <c r="G53" s="94">
        <v>8.3000000000000001E-3</v>
      </c>
      <c r="H53" s="83">
        <v>0.36434707395306037</v>
      </c>
      <c r="I53" s="88">
        <v>31379.208176383359</v>
      </c>
      <c r="J53" s="89">
        <v>0</v>
      </c>
      <c r="K53" s="94">
        <v>2.0799999999999999E-2</v>
      </c>
      <c r="L53" s="83">
        <v>0.14169030154615439</v>
      </c>
      <c r="M53" s="88">
        <v>12203.005833289921</v>
      </c>
      <c r="N53" s="89">
        <v>0</v>
      </c>
      <c r="O53" s="91">
        <v>9.6100000000000005E-2</v>
      </c>
      <c r="P53" s="83">
        <v>0.1187228297312752</v>
      </c>
      <c r="Q53" s="92">
        <v>10224.94389486151</v>
      </c>
      <c r="R53" s="89">
        <v>0</v>
      </c>
      <c r="S53" s="87">
        <v>-1.6799999999999999E-2</v>
      </c>
      <c r="T53" s="83">
        <v>8.3263997854406108E-2</v>
      </c>
      <c r="U53" s="92">
        <v>7171.0698645763068</v>
      </c>
      <c r="V53" s="89">
        <v>0</v>
      </c>
      <c r="W53" s="85">
        <f t="shared" si="0"/>
        <v>86124.496173190098</v>
      </c>
      <c r="X53" s="86">
        <f t="shared" si="1"/>
        <v>-7.9879205271217169E-3</v>
      </c>
    </row>
    <row r="54" spans="2:24" x14ac:dyDescent="0.35">
      <c r="B54" s="96" t="s">
        <v>50</v>
      </c>
      <c r="C54" s="87">
        <v>-8.3000000000000004E-2</v>
      </c>
      <c r="D54" s="83">
        <v>0.28072961722188272</v>
      </c>
      <c r="E54" s="88">
        <v>23059.12812654045</v>
      </c>
      <c r="F54" s="89">
        <v>0</v>
      </c>
      <c r="G54" s="93">
        <v>-5.7599999999999998E-2</v>
      </c>
      <c r="H54" s="83">
        <v>0.36001666862513132</v>
      </c>
      <c r="I54" s="88">
        <v>29571.765785423679</v>
      </c>
      <c r="J54" s="89">
        <v>0</v>
      </c>
      <c r="K54" s="93">
        <v>-4.1200000000000001E-2</v>
      </c>
      <c r="L54" s="83">
        <v>0.1424426993970388</v>
      </c>
      <c r="M54" s="88">
        <v>11700.241992958379</v>
      </c>
      <c r="N54" s="89">
        <v>0</v>
      </c>
      <c r="O54" s="91">
        <v>4.0000000000000002E-4</v>
      </c>
      <c r="P54" s="83">
        <v>0.1245317146336013</v>
      </c>
      <c r="Q54" s="92">
        <v>10229.03387241945</v>
      </c>
      <c r="R54" s="89">
        <v>0</v>
      </c>
      <c r="S54" s="91">
        <v>5.7000000000000002E-2</v>
      </c>
      <c r="T54" s="83">
        <v>9.2279300122345989E-2</v>
      </c>
      <c r="U54" s="92">
        <v>7579.8208468571556</v>
      </c>
      <c r="V54" s="89">
        <v>0</v>
      </c>
      <c r="W54" s="85">
        <f t="shared" si="0"/>
        <v>82139.990624199112</v>
      </c>
      <c r="X54" s="86">
        <f t="shared" si="1"/>
        <v>-4.6264486017757789E-2</v>
      </c>
    </row>
    <row r="55" spans="2:24" x14ac:dyDescent="0.35">
      <c r="B55" s="97" t="s">
        <v>51</v>
      </c>
      <c r="C55" s="91">
        <v>3.6799999999999999E-2</v>
      </c>
      <c r="D55" s="83">
        <v>0.27967546690076178</v>
      </c>
      <c r="E55" s="88">
        <v>23907.704041597139</v>
      </c>
      <c r="F55" s="89">
        <v>0</v>
      </c>
      <c r="G55" s="94">
        <v>6.1400000000000003E-2</v>
      </c>
      <c r="H55" s="83">
        <v>0.36717477882428129</v>
      </c>
      <c r="I55" s="88">
        <v>31387.47220464869</v>
      </c>
      <c r="J55" s="89">
        <v>0</v>
      </c>
      <c r="K55" s="94">
        <v>5.3699999999999998E-2</v>
      </c>
      <c r="L55" s="83">
        <v>0.14422094107076289</v>
      </c>
      <c r="M55" s="88">
        <v>12328.544987980251</v>
      </c>
      <c r="N55" s="89">
        <v>0</v>
      </c>
      <c r="O55" s="87">
        <v>-1.9599999999999999E-2</v>
      </c>
      <c r="P55" s="83">
        <v>0.1173152364099067</v>
      </c>
      <c r="Q55" s="92">
        <v>10028.54480852003</v>
      </c>
      <c r="R55" s="89">
        <v>0</v>
      </c>
      <c r="S55" s="91">
        <v>3.32E-2</v>
      </c>
      <c r="T55" s="83">
        <v>9.1613576794287208E-2</v>
      </c>
      <c r="U55" s="92">
        <v>7831.4708989728124</v>
      </c>
      <c r="V55" s="89">
        <v>0</v>
      </c>
      <c r="W55" s="85">
        <f t="shared" si="0"/>
        <v>85483.736941718918</v>
      </c>
      <c r="X55" s="86">
        <f t="shared" si="1"/>
        <v>4.0707897482212596E-2</v>
      </c>
    </row>
    <row r="56" spans="2:24" x14ac:dyDescent="0.35">
      <c r="B56" s="96" t="s">
        <v>52</v>
      </c>
      <c r="C56" s="91">
        <v>2.41E-2</v>
      </c>
      <c r="D56" s="83">
        <v>0.29271144523250059</v>
      </c>
      <c r="E56" s="88">
        <v>24483.87970899963</v>
      </c>
      <c r="F56" s="89">
        <v>0</v>
      </c>
      <c r="G56" s="93">
        <v>-5.0599999999999999E-2</v>
      </c>
      <c r="H56" s="83">
        <v>0.35625833625705389</v>
      </c>
      <c r="I56" s="88">
        <v>29799.266111093471</v>
      </c>
      <c r="J56" s="89">
        <v>0</v>
      </c>
      <c r="K56" s="93">
        <v>-4.9200000000000001E-2</v>
      </c>
      <c r="L56" s="83">
        <v>0.14013946791729059</v>
      </c>
      <c r="M56" s="88">
        <v>11721.98057457162</v>
      </c>
      <c r="N56" s="89">
        <v>0</v>
      </c>
      <c r="O56" s="87">
        <v>-6.7000000000000004E-2</v>
      </c>
      <c r="P56" s="83">
        <v>0.1118610856388854</v>
      </c>
      <c r="Q56" s="92">
        <v>9356.6323063491873</v>
      </c>
      <c r="R56" s="89">
        <v>0</v>
      </c>
      <c r="S56" s="91">
        <v>5.7700000000000001E-2</v>
      </c>
      <c r="T56" s="83">
        <v>9.9029664954269486E-2</v>
      </c>
      <c r="U56" s="92">
        <v>8283.3467698435452</v>
      </c>
      <c r="V56" s="89">
        <v>0</v>
      </c>
      <c r="W56" s="85">
        <f t="shared" si="0"/>
        <v>83645.105470857452</v>
      </c>
      <c r="X56" s="86">
        <f t="shared" si="1"/>
        <v>-2.1508552815315163E-2</v>
      </c>
    </row>
    <row r="57" spans="2:24" x14ac:dyDescent="0.35">
      <c r="B57" s="97" t="s">
        <v>53</v>
      </c>
      <c r="C57" s="87">
        <v>-2.9600000000000001E-2</v>
      </c>
      <c r="D57" s="83">
        <v>0.29603883024220229</v>
      </c>
      <c r="E57" s="88">
        <v>23759.156869613242</v>
      </c>
      <c r="F57" s="89">
        <v>0</v>
      </c>
      <c r="G57" s="93">
        <v>-6.9099999999999995E-2</v>
      </c>
      <c r="H57" s="83">
        <v>0.34564179616526269</v>
      </c>
      <c r="I57" s="88">
        <v>27740.136822816909</v>
      </c>
      <c r="J57" s="89">
        <v>0</v>
      </c>
      <c r="K57" s="93">
        <v>-5.9900000000000002E-2</v>
      </c>
      <c r="L57" s="83">
        <v>0.13730700825865491</v>
      </c>
      <c r="M57" s="88">
        <v>11019.833938154779</v>
      </c>
      <c r="N57" s="89">
        <v>0</v>
      </c>
      <c r="O57" s="87">
        <v>-2.6200000000000001E-2</v>
      </c>
      <c r="P57" s="83">
        <v>0.1135290458296426</v>
      </c>
      <c r="Q57" s="92">
        <v>9111.4885399228388</v>
      </c>
      <c r="R57" s="89">
        <v>0</v>
      </c>
      <c r="S57" s="91">
        <v>4.1399999999999999E-2</v>
      </c>
      <c r="T57" s="83">
        <v>0.1074833195042374</v>
      </c>
      <c r="U57" s="92">
        <v>8626.2773261150687</v>
      </c>
      <c r="V57" s="89">
        <v>0</v>
      </c>
      <c r="W57" s="85">
        <f t="shared" si="0"/>
        <v>80256.893496622841</v>
      </c>
      <c r="X57" s="86">
        <f t="shared" si="1"/>
        <v>-4.0506996257122174E-2</v>
      </c>
    </row>
    <row r="58" spans="2:24" x14ac:dyDescent="0.35">
      <c r="B58" s="96" t="s">
        <v>54</v>
      </c>
      <c r="C58" s="87">
        <v>-0.11</v>
      </c>
      <c r="D58" s="83">
        <v>0.27071130341030419</v>
      </c>
      <c r="E58" s="88">
        <v>21145.649613955778</v>
      </c>
      <c r="F58" s="89">
        <v>0</v>
      </c>
      <c r="G58" s="93">
        <v>-4.0000000000000001E-3</v>
      </c>
      <c r="H58" s="83">
        <v>0.35371485190808388</v>
      </c>
      <c r="I58" s="88">
        <v>27629.17627552565</v>
      </c>
      <c r="J58" s="89">
        <v>0</v>
      </c>
      <c r="K58" s="93">
        <v>-1.8599999999999998E-2</v>
      </c>
      <c r="L58" s="83">
        <v>0.1384543043647028</v>
      </c>
      <c r="M58" s="88">
        <v>10814.8650269051</v>
      </c>
      <c r="N58" s="89">
        <v>0</v>
      </c>
      <c r="O58" s="91">
        <v>1.5699999999999999E-2</v>
      </c>
      <c r="P58" s="83">
        <v>0.1184786628231044</v>
      </c>
      <c r="Q58" s="92">
        <v>9254.5389099996282</v>
      </c>
      <c r="R58" s="89">
        <v>0</v>
      </c>
      <c r="S58" s="91">
        <v>7.4300000000000005E-2</v>
      </c>
      <c r="T58" s="83">
        <v>0.1186408774938046</v>
      </c>
      <c r="U58" s="92">
        <v>9267.2097314454186</v>
      </c>
      <c r="V58" s="89">
        <v>0</v>
      </c>
      <c r="W58" s="85">
        <f t="shared" si="0"/>
        <v>78111.43955783156</v>
      </c>
      <c r="X58" s="86">
        <f t="shared" si="1"/>
        <v>-2.6732332206224285E-2</v>
      </c>
    </row>
    <row r="59" spans="2:24" x14ac:dyDescent="0.35">
      <c r="B59" s="97" t="s">
        <v>55</v>
      </c>
      <c r="C59" s="87">
        <v>-3.04E-2</v>
      </c>
      <c r="D59" s="83">
        <v>0.27404749227325048</v>
      </c>
      <c r="E59" s="88">
        <v>20502.821865691531</v>
      </c>
      <c r="F59" s="89">
        <v>0</v>
      </c>
      <c r="G59" s="93">
        <v>-2.7799999999999998E-2</v>
      </c>
      <c r="H59" s="83">
        <v>0.35903414077273649</v>
      </c>
      <c r="I59" s="88">
        <v>26861.085175066029</v>
      </c>
      <c r="J59" s="89">
        <v>0</v>
      </c>
      <c r="K59" s="93">
        <v>-1.6899999999999998E-2</v>
      </c>
      <c r="L59" s="83">
        <v>0.14211207924302419</v>
      </c>
      <c r="M59" s="88">
        <v>10632.093807950399</v>
      </c>
      <c r="N59" s="89">
        <v>0</v>
      </c>
      <c r="O59" s="87">
        <v>-3.2599999999999997E-2</v>
      </c>
      <c r="P59" s="83">
        <v>0.1196666305165613</v>
      </c>
      <c r="Q59" s="92">
        <v>8952.8409415336409</v>
      </c>
      <c r="R59" s="89">
        <v>0</v>
      </c>
      <c r="S59" s="87">
        <v>-0.1512</v>
      </c>
      <c r="T59" s="83">
        <v>0.1051396571944276</v>
      </c>
      <c r="U59" s="92">
        <v>7866.0076200508711</v>
      </c>
      <c r="V59" s="89">
        <v>0</v>
      </c>
      <c r="W59" s="85">
        <f t="shared" si="0"/>
        <v>74814.849410292474</v>
      </c>
      <c r="X59" s="86">
        <f t="shared" si="1"/>
        <v>-4.2203679335577782E-2</v>
      </c>
    </row>
    <row r="60" spans="2:24" x14ac:dyDescent="0.35">
      <c r="B60" s="96" t="s">
        <v>56</v>
      </c>
      <c r="C60" s="91">
        <v>5.9499999999999997E-2</v>
      </c>
      <c r="D60" s="83">
        <v>0.27885090077733798</v>
      </c>
      <c r="E60" s="88">
        <v>21722.739766700171</v>
      </c>
      <c r="F60" s="89">
        <v>0</v>
      </c>
      <c r="G60" s="94">
        <v>7.1499999999999994E-2</v>
      </c>
      <c r="H60" s="83">
        <v>0.36946489649096398</v>
      </c>
      <c r="I60" s="88">
        <v>28781.65276508325</v>
      </c>
      <c r="J60" s="89">
        <v>0</v>
      </c>
      <c r="K60" s="94">
        <v>5.91E-2</v>
      </c>
      <c r="L60" s="83">
        <v>0.14454837710652799</v>
      </c>
      <c r="M60" s="88">
        <v>11260.450552000269</v>
      </c>
      <c r="N60" s="89">
        <v>0</v>
      </c>
      <c r="O60" s="87">
        <v>-4.8500000000000001E-2</v>
      </c>
      <c r="P60" s="83">
        <v>0.10935209647416309</v>
      </c>
      <c r="Q60" s="92">
        <v>8518.628155869259</v>
      </c>
      <c r="R60" s="89">
        <v>0</v>
      </c>
      <c r="S60" s="87">
        <v>-3.1600000000000003E-2</v>
      </c>
      <c r="T60" s="83">
        <v>9.7783729151006901E-2</v>
      </c>
      <c r="U60" s="92">
        <v>7617.441779257264</v>
      </c>
      <c r="V60" s="89">
        <v>0</v>
      </c>
      <c r="W60" s="85">
        <f t="shared" si="0"/>
        <v>77900.913018910214</v>
      </c>
      <c r="X60" s="86">
        <f t="shared" si="1"/>
        <v>4.1249345991374531E-2</v>
      </c>
    </row>
    <row r="61" spans="2:24" x14ac:dyDescent="0.35">
      <c r="B61" s="97" t="s">
        <v>57</v>
      </c>
      <c r="C61" s="91">
        <v>9.11E-2</v>
      </c>
      <c r="D61" s="83">
        <v>0.26051720160119463</v>
      </c>
      <c r="E61" s="88">
        <v>23701.68135944656</v>
      </c>
      <c r="F61" s="89">
        <v>0</v>
      </c>
      <c r="G61" s="94">
        <v>0.21340000000000001</v>
      </c>
      <c r="H61" s="83">
        <v>0.38386363290104247</v>
      </c>
      <c r="I61" s="88">
        <v>34923.65746515202</v>
      </c>
      <c r="J61" s="89">
        <v>0</v>
      </c>
      <c r="K61" s="94">
        <v>0.19439999999999999</v>
      </c>
      <c r="L61" s="83">
        <v>0.14783007993319319</v>
      </c>
      <c r="M61" s="88">
        <v>13449.482139309121</v>
      </c>
      <c r="N61" s="89">
        <v>0</v>
      </c>
      <c r="O61" s="91">
        <v>0.2581</v>
      </c>
      <c r="P61" s="83">
        <v>0.1177991272742982</v>
      </c>
      <c r="Q61" s="92">
        <v>10717.286082899111</v>
      </c>
      <c r="R61" s="89">
        <v>0</v>
      </c>
      <c r="S61" s="91">
        <v>7.4800000000000005E-2</v>
      </c>
      <c r="T61" s="83">
        <v>8.9989958290271385E-2</v>
      </c>
      <c r="U61" s="92">
        <v>8187.2264243457084</v>
      </c>
      <c r="V61" s="89">
        <v>0</v>
      </c>
      <c r="W61" s="85">
        <f t="shared" si="0"/>
        <v>90979.333471152509</v>
      </c>
      <c r="X61" s="86">
        <f t="shared" si="1"/>
        <v>0.16788532952197288</v>
      </c>
    </row>
    <row r="62" spans="2:24" x14ac:dyDescent="0.35">
      <c r="B62" s="96" t="s">
        <v>58</v>
      </c>
      <c r="C62" s="87">
        <v>-0.1089</v>
      </c>
      <c r="D62" s="83">
        <v>0.24063246386470399</v>
      </c>
      <c r="E62" s="88">
        <v>21120.568259402829</v>
      </c>
      <c r="F62" s="89">
        <v>0</v>
      </c>
      <c r="G62" s="94">
        <v>4.9700000000000001E-2</v>
      </c>
      <c r="H62" s="83">
        <v>0.41767024409992548</v>
      </c>
      <c r="I62" s="88">
        <v>36659.363241170082</v>
      </c>
      <c r="J62" s="89">
        <v>0</v>
      </c>
      <c r="K62" s="94">
        <v>0.06</v>
      </c>
      <c r="L62" s="83">
        <v>0.1624276820701632</v>
      </c>
      <c r="M62" s="88">
        <v>14256.451067667669</v>
      </c>
      <c r="N62" s="89">
        <v>0</v>
      </c>
      <c r="O62" s="87">
        <v>-0.10829999999999999</v>
      </c>
      <c r="P62" s="83">
        <v>0.1088810271809162</v>
      </c>
      <c r="Q62" s="92">
        <v>9556.6040001211404</v>
      </c>
      <c r="R62" s="89">
        <v>0</v>
      </c>
      <c r="S62" s="87">
        <v>-0.24540000000000001</v>
      </c>
      <c r="T62" s="83">
        <v>7.0388582784291137E-2</v>
      </c>
      <c r="U62" s="92">
        <v>6178.0810598112703</v>
      </c>
      <c r="V62" s="89">
        <v>0</v>
      </c>
      <c r="W62" s="85">
        <f t="shared" si="0"/>
        <v>87771.067628172998</v>
      </c>
      <c r="X62" s="86">
        <f t="shared" si="1"/>
        <v>-3.5263677151435524E-2</v>
      </c>
    </row>
    <row r="63" spans="2:24" x14ac:dyDescent="0.35">
      <c r="B63" s="97" t="s">
        <v>59</v>
      </c>
      <c r="C63" s="91">
        <v>8.6999999999999994E-3</v>
      </c>
      <c r="D63" s="83">
        <v>0.2108661541785446</v>
      </c>
      <c r="E63" s="88">
        <v>21304.31720325963</v>
      </c>
      <c r="F63" s="89">
        <v>0</v>
      </c>
      <c r="G63" s="94">
        <v>0.2417</v>
      </c>
      <c r="H63" s="83">
        <v>0.4505477818337868</v>
      </c>
      <c r="I63" s="88">
        <v>45519.93133656089</v>
      </c>
      <c r="J63" s="89">
        <v>0</v>
      </c>
      <c r="K63" s="94">
        <v>0.17050000000000001</v>
      </c>
      <c r="L63" s="83">
        <v>0.16516655231495839</v>
      </c>
      <c r="M63" s="88">
        <v>16687.175974705009</v>
      </c>
      <c r="N63" s="89">
        <v>0</v>
      </c>
      <c r="O63" s="91">
        <v>0.2334</v>
      </c>
      <c r="P63" s="83">
        <v>0.1166666673241725</v>
      </c>
      <c r="Q63" s="92">
        <v>11787.115373749421</v>
      </c>
      <c r="R63" s="89">
        <v>0</v>
      </c>
      <c r="S63" s="87">
        <v>-7.1900000000000006E-2</v>
      </c>
      <c r="T63" s="83">
        <v>5.6752844348537647E-2</v>
      </c>
      <c r="U63" s="92">
        <v>5733.8770316108403</v>
      </c>
      <c r="V63" s="89">
        <v>0</v>
      </c>
      <c r="W63" s="85">
        <f t="shared" si="0"/>
        <v>101032.4169198858</v>
      </c>
      <c r="X63" s="86">
        <f t="shared" si="1"/>
        <v>0.15109021286937319</v>
      </c>
    </row>
    <row r="64" spans="2:24" x14ac:dyDescent="0.35">
      <c r="B64" s="96" t="s">
        <v>60</v>
      </c>
      <c r="C64" s="91">
        <v>2.2800000000000001E-2</v>
      </c>
      <c r="D64" s="83">
        <v>0.19871237586774301</v>
      </c>
      <c r="E64" s="88">
        <v>21790.055635493951</v>
      </c>
      <c r="F64" s="89">
        <v>0</v>
      </c>
      <c r="G64" s="94">
        <v>0.1457</v>
      </c>
      <c r="H64" s="83">
        <v>0.47559697999095252</v>
      </c>
      <c r="I64" s="88">
        <v>52152.185332297813</v>
      </c>
      <c r="J64" s="89">
        <v>0</v>
      </c>
      <c r="K64" s="94">
        <v>5.9700000000000003E-2</v>
      </c>
      <c r="L64" s="83">
        <v>0.1612621170771584</v>
      </c>
      <c r="M64" s="88">
        <v>17683.400380394902</v>
      </c>
      <c r="N64" s="89">
        <v>0</v>
      </c>
      <c r="O64" s="91">
        <v>9.1200000000000003E-2</v>
      </c>
      <c r="P64" s="83">
        <v>0.1172947215550653</v>
      </c>
      <c r="Q64" s="92">
        <v>12862.10029583536</v>
      </c>
      <c r="R64" s="89">
        <v>0</v>
      </c>
      <c r="S64" s="87">
        <v>-9.8599999999999993E-2</v>
      </c>
      <c r="T64" s="83">
        <v>4.7133805509080882E-2</v>
      </c>
      <c r="U64" s="92">
        <v>5168.5167562940114</v>
      </c>
      <c r="V64" s="89">
        <v>0</v>
      </c>
      <c r="W64" s="85">
        <f t="shared" si="0"/>
        <v>109656.25840031603</v>
      </c>
      <c r="X64" s="86">
        <f t="shared" si="1"/>
        <v>8.5357172908855139E-2</v>
      </c>
    </row>
    <row r="65" spans="2:24" x14ac:dyDescent="0.35">
      <c r="B65" s="97" t="s">
        <v>61</v>
      </c>
      <c r="C65" s="87">
        <v>-9.9000000000000005E-2</v>
      </c>
      <c r="D65" s="83">
        <v>0.27230933176915351</v>
      </c>
      <c r="E65" s="88">
        <v>26950.397974699968</v>
      </c>
      <c r="F65" s="99">
        <v>7317.557847119926</v>
      </c>
      <c r="G65" s="93">
        <v>-0.1434</v>
      </c>
      <c r="H65" s="83">
        <v>0.17289918875677221</v>
      </c>
      <c r="I65" s="88">
        <v>17111.796779876709</v>
      </c>
      <c r="J65" s="100">
        <v>-27561.765175769589</v>
      </c>
      <c r="K65" s="93">
        <v>-5.2900000000000003E-2</v>
      </c>
      <c r="L65" s="83">
        <v>0.21133746838466119</v>
      </c>
      <c r="M65" s="88">
        <v>20916.025326523089</v>
      </c>
      <c r="N65" s="99">
        <v>4168.0768262510828</v>
      </c>
      <c r="O65" s="91">
        <v>3.7900000000000003E-2</v>
      </c>
      <c r="P65" s="83">
        <v>0.16718515669340389</v>
      </c>
      <c r="Q65" s="92">
        <v>16546.280214037841</v>
      </c>
      <c r="R65" s="99">
        <v>3196.7063169903208</v>
      </c>
      <c r="S65" s="87">
        <v>-0.1166</v>
      </c>
      <c r="T65" s="83">
        <v>0.1762688543960092</v>
      </c>
      <c r="U65" s="92">
        <v>17445.291887918389</v>
      </c>
      <c r="V65" s="99">
        <v>12879.424185408259</v>
      </c>
      <c r="W65" s="85">
        <f t="shared" si="0"/>
        <v>98969.792183055994</v>
      </c>
      <c r="X65" s="86">
        <f t="shared" si="1"/>
        <v>-9.745422991041286E-2</v>
      </c>
    </row>
    <row r="66" spans="2:24" x14ac:dyDescent="0.35">
      <c r="B66" s="96" t="s">
        <v>62</v>
      </c>
      <c r="C66" s="87">
        <v>-8.7400000000000005E-2</v>
      </c>
      <c r="D66" s="83">
        <v>0.25321818449926708</v>
      </c>
      <c r="E66" s="88">
        <v>24594.933191711189</v>
      </c>
      <c r="F66" s="89">
        <v>0</v>
      </c>
      <c r="G66" s="94">
        <v>6.7999999999999996E-3</v>
      </c>
      <c r="H66" s="83">
        <v>0.17737322574907499</v>
      </c>
      <c r="I66" s="88">
        <v>17228.15699797987</v>
      </c>
      <c r="J66" s="89">
        <v>0</v>
      </c>
      <c r="K66" s="94">
        <v>1.49E-2</v>
      </c>
      <c r="L66" s="83">
        <v>0.21855042483059969</v>
      </c>
      <c r="M66" s="88">
        <v>21227.67410388829</v>
      </c>
      <c r="N66" s="89">
        <v>0</v>
      </c>
      <c r="O66" s="91">
        <v>4.48E-2</v>
      </c>
      <c r="P66" s="83">
        <v>0.177984745667191</v>
      </c>
      <c r="Q66" s="92">
        <v>17287.553567626739</v>
      </c>
      <c r="R66" s="89">
        <v>0</v>
      </c>
      <c r="S66" s="87">
        <v>-3.7499999999999999E-2</v>
      </c>
      <c r="T66" s="83">
        <v>0.17287341925386721</v>
      </c>
      <c r="U66" s="92">
        <v>16791.093442121452</v>
      </c>
      <c r="V66" s="89">
        <v>0</v>
      </c>
      <c r="W66" s="85">
        <f t="shared" si="0"/>
        <v>97129.411303327535</v>
      </c>
      <c r="X66" s="86">
        <f t="shared" si="1"/>
        <v>-1.8595379854132288E-2</v>
      </c>
    </row>
    <row r="67" spans="2:24" x14ac:dyDescent="0.35">
      <c r="B67" s="97" t="s">
        <v>63</v>
      </c>
      <c r="C67" s="91">
        <v>7.5300000000000006E-2</v>
      </c>
      <c r="D67" s="83">
        <v>0.26484505766999827</v>
      </c>
      <c r="E67" s="88">
        <v>26446.931661047041</v>
      </c>
      <c r="F67" s="89">
        <v>0</v>
      </c>
      <c r="G67" s="94">
        <v>2.7900000000000001E-2</v>
      </c>
      <c r="H67" s="83">
        <v>0.17733982138673901</v>
      </c>
      <c r="I67" s="88">
        <v>17708.822578223509</v>
      </c>
      <c r="J67" s="89">
        <v>0</v>
      </c>
      <c r="K67" s="94">
        <v>2.0799999999999999E-2</v>
      </c>
      <c r="L67" s="83">
        <v>0.2169999595000161</v>
      </c>
      <c r="M67" s="88">
        <v>21669.209725249159</v>
      </c>
      <c r="N67" s="89">
        <v>0</v>
      </c>
      <c r="O67" s="87">
        <v>-3.7499999999999999E-2</v>
      </c>
      <c r="P67" s="83">
        <v>0.16662910317956889</v>
      </c>
      <c r="Q67" s="92">
        <v>16639.27030884074</v>
      </c>
      <c r="R67" s="89">
        <v>0</v>
      </c>
      <c r="S67" s="91">
        <v>3.5900000000000001E-2</v>
      </c>
      <c r="T67" s="83">
        <v>0.17418605826367761</v>
      </c>
      <c r="U67" s="92">
        <v>17393.893696693609</v>
      </c>
      <c r="V67" s="89">
        <v>0</v>
      </c>
      <c r="W67" s="85">
        <f t="shared" si="0"/>
        <v>99858.127970054047</v>
      </c>
      <c r="X67" s="86">
        <f t="shared" si="1"/>
        <v>2.8093618916364527E-2</v>
      </c>
    </row>
    <row r="68" spans="2:24" x14ac:dyDescent="0.35">
      <c r="B68" s="96" t="s">
        <v>64</v>
      </c>
      <c r="C68" s="91">
        <v>2.2599999999999999E-2</v>
      </c>
      <c r="D68" s="83">
        <v>0.2905801118271229</v>
      </c>
      <c r="E68" s="88">
        <v>27044.6323165867</v>
      </c>
      <c r="F68" s="89">
        <v>0</v>
      </c>
      <c r="G68" s="93">
        <v>-0.13270000000000001</v>
      </c>
      <c r="H68" s="83">
        <v>0.16502275695809709</v>
      </c>
      <c r="I68" s="88">
        <v>15358.861822093249</v>
      </c>
      <c r="J68" s="89">
        <v>0</v>
      </c>
      <c r="K68" s="93">
        <v>-9.35E-2</v>
      </c>
      <c r="L68" s="83">
        <v>0.21105502004382359</v>
      </c>
      <c r="M68" s="88">
        <v>19643.138615938369</v>
      </c>
      <c r="N68" s="89">
        <v>0</v>
      </c>
      <c r="O68" s="87">
        <v>-9.7500000000000003E-2</v>
      </c>
      <c r="P68" s="83">
        <v>0.1613490054456985</v>
      </c>
      <c r="Q68" s="92">
        <v>15016.941453728759</v>
      </c>
      <c r="R68" s="89">
        <v>0</v>
      </c>
      <c r="S68" s="87">
        <v>-7.9699999999999993E-2</v>
      </c>
      <c r="T68" s="83">
        <v>0.17199310572525781</v>
      </c>
      <c r="U68" s="92">
        <v>16007.60036906713</v>
      </c>
      <c r="V68" s="89">
        <v>0</v>
      </c>
      <c r="W68" s="85">
        <f t="shared" si="0"/>
        <v>93071.174577414204</v>
      </c>
      <c r="X68" s="86">
        <f t="shared" si="1"/>
        <v>-6.7965958611552857E-2</v>
      </c>
    </row>
    <row r="69" spans="2:24" x14ac:dyDescent="0.35">
      <c r="B69" s="97" t="s">
        <v>65</v>
      </c>
      <c r="C69" s="87">
        <v>-3.2000000000000001E-2</v>
      </c>
      <c r="D69" s="83">
        <v>0.28926755930985071</v>
      </c>
      <c r="E69" s="88">
        <v>26179.20408245593</v>
      </c>
      <c r="F69" s="89">
        <v>0</v>
      </c>
      <c r="G69" s="93">
        <v>-0.1174</v>
      </c>
      <c r="H69" s="83">
        <v>0.14978428439485789</v>
      </c>
      <c r="I69" s="88">
        <v>13555.73144417951</v>
      </c>
      <c r="J69" s="89">
        <v>0</v>
      </c>
      <c r="K69" s="93">
        <v>-0.1026</v>
      </c>
      <c r="L69" s="83">
        <v>0.1947781511197664</v>
      </c>
      <c r="M69" s="88">
        <v>17627.752593943089</v>
      </c>
      <c r="N69" s="89">
        <v>0</v>
      </c>
      <c r="O69" s="91">
        <v>1.6299999999999999E-2</v>
      </c>
      <c r="P69" s="83">
        <v>0.16863460733782459</v>
      </c>
      <c r="Q69" s="92">
        <v>15261.717599424541</v>
      </c>
      <c r="R69" s="89">
        <v>0</v>
      </c>
      <c r="S69" s="91">
        <v>0.1168</v>
      </c>
      <c r="T69" s="83">
        <v>0.19753539783770041</v>
      </c>
      <c r="U69" s="92">
        <v>17877.288092174171</v>
      </c>
      <c r="V69" s="89">
        <v>0</v>
      </c>
      <c r="W69" s="85">
        <f t="shared" si="0"/>
        <v>90501.69381217724</v>
      </c>
      <c r="X69" s="86">
        <f t="shared" si="1"/>
        <v>-2.7607696764369694E-2</v>
      </c>
    </row>
    <row r="70" spans="2:24" x14ac:dyDescent="0.35">
      <c r="B70" s="96" t="s">
        <v>66</v>
      </c>
      <c r="C70" s="87">
        <v>-2.3300000000000001E-2</v>
      </c>
      <c r="D70" s="83">
        <v>0.29241170311287829</v>
      </c>
      <c r="E70" s="88">
        <v>25569.228627334709</v>
      </c>
      <c r="F70" s="89">
        <v>0</v>
      </c>
      <c r="G70" s="93">
        <v>-1.9300000000000001E-2</v>
      </c>
      <c r="H70" s="83">
        <v>0.1520324364486253</v>
      </c>
      <c r="I70" s="88">
        <v>13294.105827306839</v>
      </c>
      <c r="J70" s="89">
        <v>0</v>
      </c>
      <c r="K70" s="93">
        <v>-3.1800000000000002E-2</v>
      </c>
      <c r="L70" s="83">
        <v>0.19518172354586469</v>
      </c>
      <c r="M70" s="88">
        <v>17067.190061455702</v>
      </c>
      <c r="N70" s="89">
        <v>0</v>
      </c>
      <c r="O70" s="87">
        <v>-7.6499999999999999E-2</v>
      </c>
      <c r="P70" s="83">
        <v>0.16118233270989141</v>
      </c>
      <c r="Q70" s="92">
        <v>14094.196203068561</v>
      </c>
      <c r="R70" s="89">
        <v>0</v>
      </c>
      <c r="S70" s="87">
        <v>-2.5700000000000001E-2</v>
      </c>
      <c r="T70" s="83">
        <v>0.19919180418274041</v>
      </c>
      <c r="U70" s="92">
        <v>17417.8417882053</v>
      </c>
      <c r="V70" s="89">
        <v>0</v>
      </c>
      <c r="W70" s="85">
        <f t="shared" si="0"/>
        <v>87442.562507371113</v>
      </c>
      <c r="X70" s="86">
        <f t="shared" si="1"/>
        <v>-3.3801923212121276E-2</v>
      </c>
    </row>
    <row r="71" spans="2:24" x14ac:dyDescent="0.35">
      <c r="B71" s="97" t="s">
        <v>67</v>
      </c>
      <c r="C71" s="91">
        <v>3.4000000000000002E-2</v>
      </c>
      <c r="D71" s="83">
        <v>0.26279657178307048</v>
      </c>
      <c r="E71" s="88">
        <v>22019.664711295471</v>
      </c>
      <c r="F71" s="100">
        <v>-4418.9176893686199</v>
      </c>
      <c r="G71" s="93">
        <v>-3.49E-2</v>
      </c>
      <c r="H71" s="83">
        <v>0.1650149210604738</v>
      </c>
      <c r="I71" s="88">
        <v>13826.562536408999</v>
      </c>
      <c r="J71" s="99">
        <v>996.42100247517374</v>
      </c>
      <c r="K71" s="93">
        <v>-0.2</v>
      </c>
      <c r="L71" s="83">
        <v>0.21422396653917791</v>
      </c>
      <c r="M71" s="88">
        <v>17949.77721478921</v>
      </c>
      <c r="N71" s="99">
        <v>4296.0251656246546</v>
      </c>
      <c r="O71" s="87">
        <v>-8.3000000000000001E-3</v>
      </c>
      <c r="P71" s="83">
        <v>0.1752565989715256</v>
      </c>
      <c r="Q71" s="92">
        <v>14684.710388766071</v>
      </c>
      <c r="R71" s="99">
        <v>707.49601418297425</v>
      </c>
      <c r="S71" s="87">
        <v>-3.0300000000000001E-2</v>
      </c>
      <c r="T71" s="83">
        <v>0.18270794164575219</v>
      </c>
      <c r="U71" s="92">
        <v>15309.056689108511</v>
      </c>
      <c r="V71" s="100">
        <v>-1581.024492914165</v>
      </c>
      <c r="W71" s="85">
        <f t="shared" si="0"/>
        <v>83789.771540368267</v>
      </c>
      <c r="X71" s="86">
        <f t="shared" si="1"/>
        <v>-4.1773603863621056E-2</v>
      </c>
    </row>
    <row r="72" spans="2:24" x14ac:dyDescent="0.35">
      <c r="B72" s="96" t="s">
        <v>68</v>
      </c>
      <c r="C72" s="91">
        <v>3.2500000000000001E-2</v>
      </c>
      <c r="D72" s="83">
        <v>0.26814979210803153</v>
      </c>
      <c r="E72" s="88">
        <v>22735.303814412571</v>
      </c>
      <c r="F72" s="89">
        <v>0</v>
      </c>
      <c r="G72" s="94">
        <v>1.78E-2</v>
      </c>
      <c r="H72" s="83">
        <v>0.16597908698257061</v>
      </c>
      <c r="I72" s="88">
        <v>14072.675349557079</v>
      </c>
      <c r="J72" s="89">
        <v>0</v>
      </c>
      <c r="K72" s="94">
        <v>3.5999999999999999E-3</v>
      </c>
      <c r="L72" s="83">
        <v>0.21246941287724039</v>
      </c>
      <c r="M72" s="88">
        <v>18014.39641276246</v>
      </c>
      <c r="N72" s="89">
        <v>0</v>
      </c>
      <c r="O72" s="87">
        <v>-5.4000000000000003E-3</v>
      </c>
      <c r="P72" s="83">
        <v>0.1722624196658763</v>
      </c>
      <c r="Q72" s="92">
        <v>14605.412952666729</v>
      </c>
      <c r="R72" s="89">
        <v>0</v>
      </c>
      <c r="S72" s="91">
        <v>3.2000000000000002E-3</v>
      </c>
      <c r="T72" s="83">
        <v>0.18113928836628129</v>
      </c>
      <c r="U72" s="92">
        <v>15358.04567051366</v>
      </c>
      <c r="V72" s="89">
        <v>0</v>
      </c>
      <c r="W72" s="85">
        <f t="shared" si="0"/>
        <v>84785.834199912497</v>
      </c>
      <c r="X72" s="86">
        <f t="shared" si="1"/>
        <v>1.188764023618738E-2</v>
      </c>
    </row>
    <row r="73" spans="2:24" x14ac:dyDescent="0.35">
      <c r="B73" s="97" t="s">
        <v>69</v>
      </c>
      <c r="C73" s="87">
        <v>-1.55E-2</v>
      </c>
      <c r="D73" s="83">
        <v>0.27203292075071522</v>
      </c>
      <c r="E73" s="88">
        <v>22382.906605289169</v>
      </c>
      <c r="F73" s="89">
        <v>0</v>
      </c>
      <c r="G73" s="93">
        <v>-2.92E-2</v>
      </c>
      <c r="H73" s="83">
        <v>0.16603950054803829</v>
      </c>
      <c r="I73" s="88">
        <v>13661.753229350021</v>
      </c>
      <c r="J73" s="89">
        <v>0</v>
      </c>
      <c r="K73" s="93">
        <v>-4.1500000000000002E-2</v>
      </c>
      <c r="L73" s="83">
        <v>0.2098537887138589</v>
      </c>
      <c r="M73" s="88">
        <v>17266.79896163282</v>
      </c>
      <c r="N73" s="89">
        <v>0</v>
      </c>
      <c r="O73" s="91">
        <v>7.6E-3</v>
      </c>
      <c r="P73" s="83">
        <v>0.1788574280712413</v>
      </c>
      <c r="Q73" s="92">
        <v>14716.414091107001</v>
      </c>
      <c r="R73" s="89">
        <v>0</v>
      </c>
      <c r="S73" s="87">
        <v>-7.1999999999999995E-2</v>
      </c>
      <c r="T73" s="83">
        <v>0.17321636191614639</v>
      </c>
      <c r="U73" s="92">
        <v>14252.266382236679</v>
      </c>
      <c r="V73" s="89">
        <v>0</v>
      </c>
      <c r="W73" s="85">
        <f t="shared" si="0"/>
        <v>82280.139269615684</v>
      </c>
      <c r="X73" s="86">
        <f t="shared" si="1"/>
        <v>-2.9553226124882537E-2</v>
      </c>
    </row>
    <row r="74" spans="2:24" x14ac:dyDescent="0.35">
      <c r="B74" s="96" t="s">
        <v>70</v>
      </c>
      <c r="C74" s="87">
        <v>-4.9399999999999999E-2</v>
      </c>
      <c r="D74" s="83">
        <v>0.26560095096860248</v>
      </c>
      <c r="E74" s="88">
        <v>21277.191018987891</v>
      </c>
      <c r="F74" s="89">
        <v>0</v>
      </c>
      <c r="G74" s="93">
        <v>-5.8500000000000003E-2</v>
      </c>
      <c r="H74" s="83">
        <v>0.16056175035335299</v>
      </c>
      <c r="I74" s="88">
        <v>12862.54066543304</v>
      </c>
      <c r="J74" s="89">
        <v>0</v>
      </c>
      <c r="K74" s="93">
        <v>-3.4200000000000001E-2</v>
      </c>
      <c r="L74" s="83">
        <v>0.20816819030136199</v>
      </c>
      <c r="M74" s="88">
        <v>16676.27443714497</v>
      </c>
      <c r="N74" s="89">
        <v>0</v>
      </c>
      <c r="O74" s="91">
        <v>6.1000000000000004E-3</v>
      </c>
      <c r="P74" s="83">
        <v>0.1848240496012262</v>
      </c>
      <c r="Q74" s="92">
        <v>14806.18421706275</v>
      </c>
      <c r="R74" s="89">
        <v>0</v>
      </c>
      <c r="S74" s="91">
        <v>1.6500000000000001E-2</v>
      </c>
      <c r="T74" s="83">
        <v>0.18084505877545631</v>
      </c>
      <c r="U74" s="92">
        <v>14487.428777543581</v>
      </c>
      <c r="V74" s="89">
        <v>0</v>
      </c>
      <c r="W74" s="85">
        <f t="shared" si="0"/>
        <v>80109.619116172238</v>
      </c>
      <c r="X74" s="86">
        <f t="shared" si="1"/>
        <v>-2.6379636358308534E-2</v>
      </c>
    </row>
    <row r="75" spans="2:24" x14ac:dyDescent="0.35">
      <c r="B75" s="97" t="s">
        <v>71</v>
      </c>
      <c r="C75" s="91">
        <v>6.2899999999999998E-2</v>
      </c>
      <c r="D75" s="83">
        <v>0.26867692446423869</v>
      </c>
      <c r="E75" s="88">
        <v>22615.52633408222</v>
      </c>
      <c r="F75" s="89">
        <v>0</v>
      </c>
      <c r="G75" s="94">
        <v>1.41E-2</v>
      </c>
      <c r="H75" s="83">
        <v>0.15496414064990799</v>
      </c>
      <c r="I75" s="88">
        <v>13043.902488815649</v>
      </c>
      <c r="J75" s="89">
        <v>0</v>
      </c>
      <c r="K75" s="94">
        <v>1.6899999999999998E-2</v>
      </c>
      <c r="L75" s="83">
        <v>0.20146562229589071</v>
      </c>
      <c r="M75" s="88">
        <v>16958.103475132721</v>
      </c>
      <c r="N75" s="89">
        <v>0</v>
      </c>
      <c r="O75" s="91">
        <v>0.1351</v>
      </c>
      <c r="P75" s="83">
        <v>0.1996645395286045</v>
      </c>
      <c r="Q75" s="92">
        <v>16806.49970478793</v>
      </c>
      <c r="R75" s="89">
        <v>0</v>
      </c>
      <c r="S75" s="91">
        <v>1.8100000000000002E-2</v>
      </c>
      <c r="T75" s="83">
        <v>0.17522877306135809</v>
      </c>
      <c r="U75" s="92">
        <v>14749.65123841712</v>
      </c>
      <c r="V75" s="89">
        <v>0</v>
      </c>
      <c r="W75" s="85">
        <f t="shared" si="0"/>
        <v>84173.683241235645</v>
      </c>
      <c r="X75" s="86">
        <f t="shared" si="1"/>
        <v>5.0731287576961659E-2</v>
      </c>
    </row>
    <row r="76" spans="2:24" x14ac:dyDescent="0.35">
      <c r="B76" s="96" t="s">
        <v>72</v>
      </c>
      <c r="C76" s="91">
        <v>1.66E-2</v>
      </c>
      <c r="D76" s="83">
        <v>0.28133933384196069</v>
      </c>
      <c r="E76" s="88">
        <v>22990.94407122799</v>
      </c>
      <c r="F76" s="89">
        <v>0</v>
      </c>
      <c r="G76" s="93">
        <v>-7.0800000000000002E-2</v>
      </c>
      <c r="H76" s="83">
        <v>0.1483168162858321</v>
      </c>
      <c r="I76" s="88">
        <v>12120.3941926075</v>
      </c>
      <c r="J76" s="89">
        <v>0</v>
      </c>
      <c r="K76" s="93">
        <v>-4.9000000000000002E-2</v>
      </c>
      <c r="L76" s="83">
        <v>0.1973474175592482</v>
      </c>
      <c r="M76" s="88">
        <v>16127.156404851219</v>
      </c>
      <c r="N76" s="89">
        <v>0</v>
      </c>
      <c r="O76" s="87">
        <v>-7.1599999999999997E-2</v>
      </c>
      <c r="P76" s="83">
        <v>0.19093522346403641</v>
      </c>
      <c r="Q76" s="92">
        <v>15603.15432592511</v>
      </c>
      <c r="R76" s="89">
        <v>0</v>
      </c>
      <c r="S76" s="91">
        <v>8.6999999999999994E-3</v>
      </c>
      <c r="T76" s="83">
        <v>0.18206120884892249</v>
      </c>
      <c r="U76" s="92">
        <v>14877.97320419135</v>
      </c>
      <c r="V76" s="89">
        <v>0</v>
      </c>
      <c r="W76" s="85">
        <f t="shared" si="0"/>
        <v>81719.622198803161</v>
      </c>
      <c r="X76" s="86">
        <f t="shared" si="1"/>
        <v>-2.9154730409020169E-2</v>
      </c>
    </row>
    <row r="77" spans="2:24" x14ac:dyDescent="0.35">
      <c r="B77" s="97" t="s">
        <v>73</v>
      </c>
      <c r="C77" s="91">
        <v>2.8899999999999999E-2</v>
      </c>
      <c r="D77" s="83">
        <v>0.2632658829848295</v>
      </c>
      <c r="E77" s="88">
        <v>22544.659937532371</v>
      </c>
      <c r="F77" s="100">
        <v>-1110.7224173540999</v>
      </c>
      <c r="G77" s="94">
        <v>9.7100000000000006E-2</v>
      </c>
      <c r="H77" s="83">
        <v>0.16815072827049851</v>
      </c>
      <c r="I77" s="88">
        <v>14399.51483316677</v>
      </c>
      <c r="J77" s="99">
        <v>1102.2303644570841</v>
      </c>
      <c r="K77" s="94">
        <v>9.3700000000000006E-2</v>
      </c>
      <c r="L77" s="83">
        <v>0.19390733822144199</v>
      </c>
      <c r="M77" s="88">
        <v>16605.17097783761</v>
      </c>
      <c r="N77" s="100">
        <v>-1033.0999821481671</v>
      </c>
      <c r="O77" s="91">
        <v>5.3499999999999999E-2</v>
      </c>
      <c r="P77" s="83">
        <v>0.17612709476436469</v>
      </c>
      <c r="Q77" s="92">
        <v>15082.56752538251</v>
      </c>
      <c r="R77" s="100">
        <v>-1355.355556979601</v>
      </c>
      <c r="S77" s="87">
        <v>-1.83E-2</v>
      </c>
      <c r="T77" s="83">
        <v>0.1985489557588653</v>
      </c>
      <c r="U77" s="92">
        <v>17002.653886579439</v>
      </c>
      <c r="V77" s="99">
        <v>2396.9475920247878</v>
      </c>
      <c r="W77" s="85">
        <f t="shared" si="0"/>
        <v>85634.5671604987</v>
      </c>
      <c r="X77" s="86">
        <f t="shared" si="1"/>
        <v>4.7907036968079408E-2</v>
      </c>
    </row>
    <row r="78" spans="2:24" x14ac:dyDescent="0.35">
      <c r="B78" s="96" t="s">
        <v>74</v>
      </c>
      <c r="C78" s="91">
        <v>8.6E-3</v>
      </c>
      <c r="D78" s="83">
        <v>0.26489500973142971</v>
      </c>
      <c r="E78" s="88">
        <v>22738.544012995149</v>
      </c>
      <c r="F78" s="89">
        <v>0</v>
      </c>
      <c r="G78" s="93">
        <v>-2.6200000000000001E-2</v>
      </c>
      <c r="H78" s="83">
        <v>0.16335361655715741</v>
      </c>
      <c r="I78" s="88">
        <v>14022.2475445378</v>
      </c>
      <c r="J78" s="89">
        <v>0</v>
      </c>
      <c r="K78" s="93">
        <v>-1.9400000000000001E-2</v>
      </c>
      <c r="L78" s="83">
        <v>0.18969084225017299</v>
      </c>
      <c r="M78" s="88">
        <v>16283.03066086756</v>
      </c>
      <c r="N78" s="89">
        <v>0</v>
      </c>
      <c r="O78" s="91">
        <v>3.5000000000000001E-3</v>
      </c>
      <c r="P78" s="83">
        <v>0.17632089408054299</v>
      </c>
      <c r="Q78" s="92">
        <v>15135.356511721349</v>
      </c>
      <c r="R78" s="89">
        <v>0</v>
      </c>
      <c r="S78" s="91">
        <v>3.8699999999999998E-2</v>
      </c>
      <c r="T78" s="83">
        <v>0.20573963738069709</v>
      </c>
      <c r="U78" s="92">
        <v>17660.65659199006</v>
      </c>
      <c r="V78" s="89">
        <v>0</v>
      </c>
      <c r="W78" s="85">
        <f t="shared" si="0"/>
        <v>85839.835322111918</v>
      </c>
      <c r="X78" s="86">
        <f t="shared" si="1"/>
        <v>2.3970245710298599E-3</v>
      </c>
    </row>
    <row r="79" spans="2:24" x14ac:dyDescent="0.35">
      <c r="B79" s="97" t="s">
        <v>75</v>
      </c>
      <c r="C79" s="91">
        <v>3.9100000000000003E-2</v>
      </c>
      <c r="D79" s="83">
        <v>0.27725551655468589</v>
      </c>
      <c r="E79" s="88">
        <v>23627.621083903261</v>
      </c>
      <c r="F79" s="89">
        <v>0</v>
      </c>
      <c r="G79" s="93">
        <v>-4.19E-2</v>
      </c>
      <c r="H79" s="83">
        <v>0.15764807371502881</v>
      </c>
      <c r="I79" s="88">
        <v>13434.71537242167</v>
      </c>
      <c r="J79" s="89">
        <v>0</v>
      </c>
      <c r="K79" s="93">
        <v>-3.1600000000000003E-2</v>
      </c>
      <c r="L79" s="83">
        <v>0.1850334387451851</v>
      </c>
      <c r="M79" s="88">
        <v>15768.48689198415</v>
      </c>
      <c r="N79" s="89">
        <v>0</v>
      </c>
      <c r="O79" s="87">
        <v>-1.2200000000000001E-2</v>
      </c>
      <c r="P79" s="83">
        <v>0.17543727605519541</v>
      </c>
      <c r="Q79" s="92">
        <v>14950.705162278349</v>
      </c>
      <c r="R79" s="89">
        <v>0</v>
      </c>
      <c r="S79" s="87">
        <v>-1.26E-2</v>
      </c>
      <c r="T79" s="83">
        <v>0.20462569492990479</v>
      </c>
      <c r="U79" s="92">
        <v>17438.132318930991</v>
      </c>
      <c r="V79" s="89">
        <v>0</v>
      </c>
      <c r="W79" s="85">
        <f t="shared" si="0"/>
        <v>85219.660829518427</v>
      </c>
      <c r="X79" s="86">
        <f t="shared" si="1"/>
        <v>-7.2247866071305511E-3</v>
      </c>
    </row>
    <row r="80" spans="2:24" x14ac:dyDescent="0.35">
      <c r="B80" s="96" t="s">
        <v>76</v>
      </c>
      <c r="C80" s="87">
        <v>-1.9E-2</v>
      </c>
      <c r="D80" s="83">
        <v>0.27367316720998169</v>
      </c>
      <c r="E80" s="88">
        <v>23178.696283309098</v>
      </c>
      <c r="F80" s="89">
        <v>0</v>
      </c>
      <c r="G80" s="93">
        <v>-4.7999999999999996E-3</v>
      </c>
      <c r="H80" s="83">
        <v>0.15786361754344161</v>
      </c>
      <c r="I80" s="88">
        <v>13370.228738634039</v>
      </c>
      <c r="J80" s="89">
        <v>0</v>
      </c>
      <c r="K80" s="93">
        <v>-2.01E-2</v>
      </c>
      <c r="L80" s="83">
        <v>0.18243786975679399</v>
      </c>
      <c r="M80" s="88">
        <v>15451.540305455261</v>
      </c>
      <c r="N80" s="89">
        <v>0</v>
      </c>
      <c r="O80" s="91">
        <v>2.3699999999999999E-2</v>
      </c>
      <c r="P80" s="83">
        <v>0.18070808921035761</v>
      </c>
      <c r="Q80" s="92">
        <v>15305.03687462434</v>
      </c>
      <c r="R80" s="89">
        <v>0</v>
      </c>
      <c r="S80" s="87">
        <v>-2.8E-3</v>
      </c>
      <c r="T80" s="83">
        <v>0.2053172562794251</v>
      </c>
      <c r="U80" s="92">
        <v>17389.30554843798</v>
      </c>
      <c r="V80" s="89">
        <v>0</v>
      </c>
      <c r="W80" s="85">
        <f t="shared" si="0"/>
        <v>84694.807750460721</v>
      </c>
      <c r="X80" s="86">
        <f t="shared" si="1"/>
        <v>-6.1588261904452768E-3</v>
      </c>
    </row>
    <row r="81" spans="2:24" x14ac:dyDescent="0.35">
      <c r="B81" s="97" t="s">
        <v>77</v>
      </c>
      <c r="C81" s="87">
        <v>-3.7100000000000001E-2</v>
      </c>
      <c r="D81" s="83">
        <v>0.25975037492307818</v>
      </c>
      <c r="E81" s="88">
        <v>22318.76665119833</v>
      </c>
      <c r="F81" s="89">
        <v>0</v>
      </c>
      <c r="G81" s="94">
        <v>9.8599999999999993E-2</v>
      </c>
      <c r="H81" s="83">
        <v>0.17094815718818729</v>
      </c>
      <c r="I81" s="88">
        <v>14688.533292263361</v>
      </c>
      <c r="J81" s="89">
        <v>0</v>
      </c>
      <c r="K81" s="94">
        <v>7.6399999999999996E-2</v>
      </c>
      <c r="L81" s="83">
        <v>0.1935670626339317</v>
      </c>
      <c r="M81" s="88">
        <v>16632.037984792049</v>
      </c>
      <c r="N81" s="89">
        <v>0</v>
      </c>
      <c r="O81" s="91">
        <v>7.9799999999999996E-2</v>
      </c>
      <c r="P81" s="83">
        <v>0.1923373796133607</v>
      </c>
      <c r="Q81" s="92">
        <v>16526.378817219371</v>
      </c>
      <c r="R81" s="89">
        <v>0</v>
      </c>
      <c r="S81" s="87">
        <v>-9.3799999999999994E-2</v>
      </c>
      <c r="T81" s="83">
        <v>0.183397025641442</v>
      </c>
      <c r="U81" s="92">
        <v>15758.1886879945</v>
      </c>
      <c r="V81" s="89">
        <v>0</v>
      </c>
      <c r="W81" s="85">
        <f t="shared" si="0"/>
        <v>85923.905433467604</v>
      </c>
      <c r="X81" s="86">
        <f t="shared" si="1"/>
        <v>1.4512078315688681E-2</v>
      </c>
    </row>
    <row r="82" spans="2:24" x14ac:dyDescent="0.35">
      <c r="B82" s="96" t="s">
        <v>78</v>
      </c>
      <c r="C82" s="87">
        <v>-5.4899999999999997E-2</v>
      </c>
      <c r="D82" s="83">
        <v>0.24447770430060839</v>
      </c>
      <c r="E82" s="88">
        <v>21093.46636204754</v>
      </c>
      <c r="F82" s="89">
        <v>0</v>
      </c>
      <c r="G82" s="94">
        <v>5.3199999999999997E-2</v>
      </c>
      <c r="H82" s="83">
        <v>0.17930012257532679</v>
      </c>
      <c r="I82" s="88">
        <v>15469.96326341177</v>
      </c>
      <c r="J82" s="89">
        <v>0</v>
      </c>
      <c r="K82" s="94">
        <v>2.6499999999999999E-2</v>
      </c>
      <c r="L82" s="83">
        <v>0.19787718614034949</v>
      </c>
      <c r="M82" s="88">
        <v>17072.786991389039</v>
      </c>
      <c r="N82" s="89">
        <v>0</v>
      </c>
      <c r="O82" s="91">
        <v>2.2100000000000002E-2</v>
      </c>
      <c r="P82" s="83">
        <v>0.19577732750277499</v>
      </c>
      <c r="Q82" s="92">
        <v>16891.611789079911</v>
      </c>
      <c r="R82" s="89">
        <v>0</v>
      </c>
      <c r="S82" s="87">
        <v>-4.0000000000000002E-4</v>
      </c>
      <c r="T82" s="83">
        <v>0.1825676594809402</v>
      </c>
      <c r="U82" s="92">
        <v>15751.885412519299</v>
      </c>
      <c r="V82" s="89">
        <v>0</v>
      </c>
      <c r="W82" s="85">
        <f t="shared" si="0"/>
        <v>86279.713818447577</v>
      </c>
      <c r="X82" s="86">
        <f t="shared" si="1"/>
        <v>4.1409708181325833E-3</v>
      </c>
    </row>
    <row r="83" spans="2:24" x14ac:dyDescent="0.35">
      <c r="B83" s="97" t="s">
        <v>79</v>
      </c>
      <c r="C83" s="91">
        <v>3.9600000000000003E-2</v>
      </c>
      <c r="D83" s="83">
        <v>0.26280537800192089</v>
      </c>
      <c r="E83" s="88">
        <v>22425.348797597551</v>
      </c>
      <c r="F83" s="99">
        <v>496.58116761292331</v>
      </c>
      <c r="G83" s="93">
        <v>-3.95E-2</v>
      </c>
      <c r="H83" s="83">
        <v>0.1661451241830241</v>
      </c>
      <c r="I83" s="88">
        <v>14177.268323623281</v>
      </c>
      <c r="J83" s="100">
        <v>-681.63139088372918</v>
      </c>
      <c r="K83" s="93">
        <v>-2.1000000000000001E-2</v>
      </c>
      <c r="L83" s="83">
        <v>0.1903501616767736</v>
      </c>
      <c r="M83" s="88">
        <v>16242.6994521</v>
      </c>
      <c r="N83" s="100">
        <v>-471.55901246987202</v>
      </c>
      <c r="O83" s="87">
        <v>-7.4999999999999997E-2</v>
      </c>
      <c r="P83" s="83">
        <v>0.18159438709982459</v>
      </c>
      <c r="Q83" s="92">
        <v>15495.563680472889</v>
      </c>
      <c r="R83" s="100">
        <v>-129.17722442603011</v>
      </c>
      <c r="S83" s="91">
        <v>2.87E-2</v>
      </c>
      <c r="T83" s="83">
        <v>0.1991049490384568</v>
      </c>
      <c r="U83" s="92">
        <v>16989.750984025301</v>
      </c>
      <c r="V83" s="99">
        <v>785.786460166697</v>
      </c>
      <c r="W83" s="85">
        <f t="shared" si="0"/>
        <v>85330.631237819034</v>
      </c>
      <c r="X83" s="86">
        <f t="shared" si="1"/>
        <v>-1.100006639597384E-2</v>
      </c>
    </row>
    <row r="84" spans="2:24" x14ac:dyDescent="0.35">
      <c r="B84" s="96" t="s">
        <v>80</v>
      </c>
      <c r="C84" s="87">
        <v>-4.9299999999999997E-2</v>
      </c>
      <c r="D84" s="83">
        <v>0.2488228213555472</v>
      </c>
      <c r="E84" s="88">
        <v>21319.779101875989</v>
      </c>
      <c r="F84" s="89">
        <v>0</v>
      </c>
      <c r="G84" s="94">
        <v>7.8299999999999995E-2</v>
      </c>
      <c r="H84" s="83">
        <v>0.17841841372080491</v>
      </c>
      <c r="I84" s="88">
        <v>15287.34843336298</v>
      </c>
      <c r="J84" s="89">
        <v>0</v>
      </c>
      <c r="K84" s="94">
        <v>2.8799999999999999E-2</v>
      </c>
      <c r="L84" s="83">
        <v>0.19502786816838921</v>
      </c>
      <c r="M84" s="88">
        <v>16710.489196320479</v>
      </c>
      <c r="N84" s="89">
        <v>0</v>
      </c>
      <c r="O84" s="91">
        <v>5.4399999999999997E-2</v>
      </c>
      <c r="P84" s="83">
        <v>0.19068664863553131</v>
      </c>
      <c r="Q84" s="92">
        <v>16338.52234469062</v>
      </c>
      <c r="R84" s="89">
        <v>0</v>
      </c>
      <c r="S84" s="87">
        <v>-5.67E-2</v>
      </c>
      <c r="T84" s="83">
        <v>0.18704424811972731</v>
      </c>
      <c r="U84" s="92">
        <v>16026.432103231071</v>
      </c>
      <c r="V84" s="89">
        <v>0</v>
      </c>
      <c r="W84" s="85">
        <f t="shared" si="0"/>
        <v>85682.57117948115</v>
      </c>
      <c r="X84" s="86">
        <f t="shared" si="1"/>
        <v>4.1244267920772515E-3</v>
      </c>
    </row>
    <row r="85" spans="2:24" x14ac:dyDescent="0.35">
      <c r="B85" s="97" t="s">
        <v>81</v>
      </c>
      <c r="C85" s="91">
        <v>5.11E-2</v>
      </c>
      <c r="D85" s="83">
        <v>0.26009813328191539</v>
      </c>
      <c r="E85" s="88">
        <v>22409.21981398185</v>
      </c>
      <c r="F85" s="89">
        <v>0</v>
      </c>
      <c r="G85" s="93">
        <v>-6.0699999999999997E-2</v>
      </c>
      <c r="H85" s="83">
        <v>0.16666598955147499</v>
      </c>
      <c r="I85" s="88">
        <v>14359.40638345785</v>
      </c>
      <c r="J85" s="89">
        <v>0</v>
      </c>
      <c r="K85" s="93">
        <v>-3.5999999999999997E-2</v>
      </c>
      <c r="L85" s="83">
        <v>0.18697205290089991</v>
      </c>
      <c r="M85" s="88">
        <v>16108.911585252939</v>
      </c>
      <c r="N85" s="89">
        <v>0</v>
      </c>
      <c r="O85" s="91">
        <v>1.2800000000000001E-2</v>
      </c>
      <c r="P85" s="83">
        <v>0.1920644414863874</v>
      </c>
      <c r="Q85" s="92">
        <v>16547.65543070266</v>
      </c>
      <c r="R85" s="89">
        <v>0</v>
      </c>
      <c r="S85" s="91">
        <v>4.3999999999999997E-2</v>
      </c>
      <c r="T85" s="83">
        <v>0.19419938277932219</v>
      </c>
      <c r="U85" s="92">
        <v>16731.595115773242</v>
      </c>
      <c r="V85" s="89">
        <v>0</v>
      </c>
      <c r="W85" s="85">
        <f t="shared" si="0"/>
        <v>86156.788329168543</v>
      </c>
      <c r="X85" s="86">
        <f t="shared" si="1"/>
        <v>5.5345812241562875E-3</v>
      </c>
    </row>
    <row r="86" spans="2:24" x14ac:dyDescent="0.35">
      <c r="B86" s="96" t="s">
        <v>82</v>
      </c>
      <c r="C86" s="91">
        <v>3.9300000000000002E-2</v>
      </c>
      <c r="D86" s="83">
        <v>0.26588453478547053</v>
      </c>
      <c r="E86" s="88">
        <v>23289.90215267134</v>
      </c>
      <c r="F86" s="89">
        <v>0</v>
      </c>
      <c r="G86" s="93">
        <v>-4.5999999999999999E-2</v>
      </c>
      <c r="H86" s="83">
        <v>0.15639046631566109</v>
      </c>
      <c r="I86" s="88">
        <v>13698.873689818791</v>
      </c>
      <c r="J86" s="89">
        <v>0</v>
      </c>
      <c r="K86" s="93">
        <v>-1E-4</v>
      </c>
      <c r="L86" s="83">
        <v>0.1838857940932894</v>
      </c>
      <c r="M86" s="88">
        <v>16107.300694094411</v>
      </c>
      <c r="N86" s="89">
        <v>0</v>
      </c>
      <c r="O86" s="91">
        <v>4.19E-2</v>
      </c>
      <c r="P86" s="83">
        <v>0.19682847172724241</v>
      </c>
      <c r="Q86" s="92">
        <v>17241.0021932491</v>
      </c>
      <c r="R86" s="89">
        <v>0</v>
      </c>
      <c r="S86" s="91">
        <v>3.1399999999999997E-2</v>
      </c>
      <c r="T86" s="83">
        <v>0.19701073307833669</v>
      </c>
      <c r="U86" s="92">
        <v>17256.967202408519</v>
      </c>
      <c r="V86" s="89">
        <v>0</v>
      </c>
      <c r="W86" s="85">
        <f t="shared" si="0"/>
        <v>87594.045932242167</v>
      </c>
      <c r="X86" s="86">
        <f t="shared" si="1"/>
        <v>1.6681884630871613E-2</v>
      </c>
    </row>
    <row r="87" spans="2:24" x14ac:dyDescent="0.35">
      <c r="B87" s="97" t="s">
        <v>83</v>
      </c>
      <c r="C87" s="91">
        <v>1.12E-2</v>
      </c>
      <c r="D87" s="83">
        <v>0.26515593985441499</v>
      </c>
      <c r="E87" s="88">
        <v>23550.74905678126</v>
      </c>
      <c r="F87" s="89">
        <v>0</v>
      </c>
      <c r="G87" s="93">
        <v>-6.7999999999999996E-3</v>
      </c>
      <c r="H87" s="83">
        <v>0.15318569370856019</v>
      </c>
      <c r="I87" s="88">
        <v>13605.721348728021</v>
      </c>
      <c r="J87" s="89">
        <v>0</v>
      </c>
      <c r="K87" s="94">
        <v>2E-3</v>
      </c>
      <c r="L87" s="83">
        <v>0.18171347062679311</v>
      </c>
      <c r="M87" s="88">
        <v>16139.515295482601</v>
      </c>
      <c r="N87" s="89">
        <v>0</v>
      </c>
      <c r="O87" s="91">
        <v>3.3399999999999999E-2</v>
      </c>
      <c r="P87" s="83">
        <v>0.2005984623881065</v>
      </c>
      <c r="Q87" s="92">
        <v>17816.851666503619</v>
      </c>
      <c r="R87" s="89">
        <v>0</v>
      </c>
      <c r="S87" s="91">
        <v>2.5999999999999999E-2</v>
      </c>
      <c r="T87" s="83">
        <v>0.19934643342212521</v>
      </c>
      <c r="U87" s="92">
        <v>17705.648349671141</v>
      </c>
      <c r="V87" s="89">
        <v>0</v>
      </c>
      <c r="W87" s="85">
        <f t="shared" si="0"/>
        <v>88818.485717166652</v>
      </c>
      <c r="X87" s="86">
        <f t="shared" si="1"/>
        <v>1.3978573222564128E-2</v>
      </c>
    </row>
    <row r="88" spans="2:24" x14ac:dyDescent="0.35">
      <c r="B88" s="96" t="s">
        <v>84</v>
      </c>
      <c r="C88" s="91">
        <v>2.4E-2</v>
      </c>
      <c r="D88" s="83">
        <v>0.27514049248583933</v>
      </c>
      <c r="E88" s="88">
        <v>24115.967034144011</v>
      </c>
      <c r="F88" s="89">
        <v>0</v>
      </c>
      <c r="G88" s="93">
        <v>-8.0699999999999994E-2</v>
      </c>
      <c r="H88" s="83">
        <v>0.14270154037073579</v>
      </c>
      <c r="I88" s="88">
        <v>12507.739635885669</v>
      </c>
      <c r="J88" s="89">
        <v>0</v>
      </c>
      <c r="K88" s="93">
        <v>-7.6499999999999999E-2</v>
      </c>
      <c r="L88" s="83">
        <v>0.17005022712873849</v>
      </c>
      <c r="M88" s="88">
        <v>14904.842375378181</v>
      </c>
      <c r="N88" s="89">
        <v>0</v>
      </c>
      <c r="O88" s="87">
        <v>-1.46E-2</v>
      </c>
      <c r="P88" s="83">
        <v>0.20030571985919149</v>
      </c>
      <c r="Q88" s="92">
        <v>17556.725632172671</v>
      </c>
      <c r="R88" s="89">
        <v>0</v>
      </c>
      <c r="S88" s="91">
        <v>4.8500000000000001E-2</v>
      </c>
      <c r="T88" s="83">
        <v>0.2118020201554949</v>
      </c>
      <c r="U88" s="92">
        <v>18564.37229463019</v>
      </c>
      <c r="V88" s="89">
        <v>0</v>
      </c>
      <c r="W88" s="85">
        <f t="shared" si="0"/>
        <v>87649.646972210714</v>
      </c>
      <c r="X88" s="86">
        <f t="shared" si="1"/>
        <v>-1.3159858958617932E-2</v>
      </c>
    </row>
    <row r="89" spans="2:24" x14ac:dyDescent="0.35">
      <c r="B89" s="97" t="s">
        <v>85</v>
      </c>
      <c r="C89" s="91">
        <v>3.5400000000000001E-2</v>
      </c>
      <c r="D89" s="83">
        <v>0.26230135770574892</v>
      </c>
      <c r="E89" s="88">
        <v>23182.03468844997</v>
      </c>
      <c r="F89" s="100">
        <v>-1787.6375787027389</v>
      </c>
      <c r="G89" s="93">
        <v>-1.8700000000000001E-2</v>
      </c>
      <c r="H89" s="83">
        <v>0.1652482304689801</v>
      </c>
      <c r="I89" s="88">
        <v>14604.538247317319</v>
      </c>
      <c r="J89" s="99">
        <v>2330.6933426227129</v>
      </c>
      <c r="K89" s="94">
        <v>1.23E-2</v>
      </c>
      <c r="L89" s="83">
        <v>0.1952687151549761</v>
      </c>
      <c r="M89" s="88">
        <v>17257.730451284271</v>
      </c>
      <c r="N89" s="99">
        <v>2169.558514688943</v>
      </c>
      <c r="O89" s="87">
        <v>-5.0599999999999999E-2</v>
      </c>
      <c r="P89" s="83">
        <v>0.17970429596750431</v>
      </c>
      <c r="Q89" s="92">
        <v>15882.156536358871</v>
      </c>
      <c r="R89" s="100">
        <v>-786.19877882586843</v>
      </c>
      <c r="S89" s="91">
        <v>4.3900000000000002E-2</v>
      </c>
      <c r="T89" s="83">
        <v>0.19747740070279049</v>
      </c>
      <c r="U89" s="92">
        <v>17452.932738581429</v>
      </c>
      <c r="V89" s="100">
        <v>-1926.415499783026</v>
      </c>
      <c r="W89" s="85">
        <f t="shared" si="0"/>
        <v>88379.392661991864</v>
      </c>
      <c r="X89" s="86">
        <f t="shared" si="1"/>
        <v>8.3257116827009092E-3</v>
      </c>
    </row>
    <row r="90" spans="2:24" x14ac:dyDescent="0.35">
      <c r="B90" s="96" t="s">
        <v>86</v>
      </c>
      <c r="C90" s="91">
        <v>2.0500000000000001E-2</v>
      </c>
      <c r="D90" s="83">
        <v>0.2639685746337101</v>
      </c>
      <c r="E90" s="88">
        <v>23657.266399563188</v>
      </c>
      <c r="F90" s="89">
        <v>0</v>
      </c>
      <c r="G90" s="94">
        <v>1.6999999999999999E-3</v>
      </c>
      <c r="H90" s="83">
        <v>0.1632349577356289</v>
      </c>
      <c r="I90" s="88">
        <v>14629.365962337761</v>
      </c>
      <c r="J90" s="89">
        <v>0</v>
      </c>
      <c r="K90" s="93">
        <v>-1.5699999999999999E-2</v>
      </c>
      <c r="L90" s="83">
        <v>0.18953910846332839</v>
      </c>
      <c r="M90" s="88">
        <v>16986.784083199109</v>
      </c>
      <c r="N90" s="89">
        <v>0</v>
      </c>
      <c r="O90" s="91">
        <v>4.7300000000000002E-2</v>
      </c>
      <c r="P90" s="83">
        <v>0.1855958421570488</v>
      </c>
      <c r="Q90" s="92">
        <v>16633.382540528641</v>
      </c>
      <c r="R90" s="89">
        <v>0</v>
      </c>
      <c r="S90" s="91">
        <v>1.4999999999999999E-2</v>
      </c>
      <c r="T90" s="83">
        <v>0.19766151701028381</v>
      </c>
      <c r="U90" s="92">
        <v>17714.726729660149</v>
      </c>
      <c r="V90" s="89">
        <v>0</v>
      </c>
      <c r="W90" s="85">
        <f t="shared" si="0"/>
        <v>89621.525715288852</v>
      </c>
      <c r="X90" s="86">
        <f t="shared" si="1"/>
        <v>1.4054555206636676E-2</v>
      </c>
    </row>
    <row r="91" spans="2:24" x14ac:dyDescent="0.35">
      <c r="B91" s="97" t="s">
        <v>87</v>
      </c>
      <c r="C91" s="87">
        <v>-2.1499999999999998E-2</v>
      </c>
      <c r="D91" s="83">
        <v>0.26160431154039088</v>
      </c>
      <c r="E91" s="88">
        <v>23148.635171972579</v>
      </c>
      <c r="F91" s="89">
        <v>0</v>
      </c>
      <c r="G91" s="93">
        <v>-2.3300000000000001E-2</v>
      </c>
      <c r="H91" s="83">
        <v>0.16147533673876091</v>
      </c>
      <c r="I91" s="88">
        <v>14288.50173541529</v>
      </c>
      <c r="J91" s="89">
        <v>0</v>
      </c>
      <c r="K91" s="93">
        <v>-2.4199999999999999E-2</v>
      </c>
      <c r="L91" s="83">
        <v>0.18732316514715269</v>
      </c>
      <c r="M91" s="88">
        <v>16575.703908385691</v>
      </c>
      <c r="N91" s="89">
        <v>0</v>
      </c>
      <c r="O91" s="87">
        <v>-7.0000000000000001E-3</v>
      </c>
      <c r="P91" s="83">
        <v>0.1866591703522032</v>
      </c>
      <c r="Q91" s="92">
        <v>16516.948862744939</v>
      </c>
      <c r="R91" s="89">
        <v>0</v>
      </c>
      <c r="S91" s="91">
        <v>1.37E-2</v>
      </c>
      <c r="T91" s="83">
        <v>0.20293801622149221</v>
      </c>
      <c r="U91" s="92">
        <v>17957.418485856491</v>
      </c>
      <c r="V91" s="89">
        <v>0</v>
      </c>
      <c r="W91" s="85">
        <f t="shared" si="0"/>
        <v>88487.208164374984</v>
      </c>
      <c r="X91" s="86">
        <f t="shared" si="1"/>
        <v>-1.265675340673611E-2</v>
      </c>
    </row>
    <row r="92" spans="2:24" x14ac:dyDescent="0.35">
      <c r="B92" s="96" t="s">
        <v>88</v>
      </c>
      <c r="C92" s="87">
        <v>-1.1999999999999999E-3</v>
      </c>
      <c r="D92" s="83">
        <v>0.25884801293594462</v>
      </c>
      <c r="E92" s="88">
        <v>23120.856809766221</v>
      </c>
      <c r="F92" s="89">
        <v>0</v>
      </c>
      <c r="G92" s="93">
        <v>-1.03E-2</v>
      </c>
      <c r="H92" s="83">
        <v>0.1583183203051895</v>
      </c>
      <c r="I92" s="88">
        <v>14141.330167540509</v>
      </c>
      <c r="J92" s="89">
        <v>0</v>
      </c>
      <c r="K92" s="93">
        <v>-1.3599999999999999E-2</v>
      </c>
      <c r="L92" s="83">
        <v>0.18304840765436489</v>
      </c>
      <c r="M92" s="88">
        <v>16350.27433523165</v>
      </c>
      <c r="N92" s="89">
        <v>0</v>
      </c>
      <c r="O92" s="91">
        <v>6.1199999999999997E-2</v>
      </c>
      <c r="P92" s="83">
        <v>0.19623116258452539</v>
      </c>
      <c r="Q92" s="92">
        <v>17527.78613314492</v>
      </c>
      <c r="R92" s="89">
        <v>0</v>
      </c>
      <c r="S92" s="91">
        <v>1.2500000000000001E-2</v>
      </c>
      <c r="T92" s="83">
        <v>0.20355409651997569</v>
      </c>
      <c r="U92" s="92">
        <v>18181.886216929699</v>
      </c>
      <c r="V92" s="89">
        <v>0</v>
      </c>
      <c r="W92" s="85">
        <f t="shared" ref="W92:W155" si="2">Q92+M92+I92+E92+U92</f>
        <v>89322.133662612992</v>
      </c>
      <c r="X92" s="86">
        <f t="shared" si="1"/>
        <v>9.4355502400644831E-3</v>
      </c>
    </row>
    <row r="93" spans="2:24" x14ac:dyDescent="0.35">
      <c r="B93" s="97" t="s">
        <v>89</v>
      </c>
      <c r="C93" s="87">
        <v>-9.1000000000000004E-3</v>
      </c>
      <c r="D93" s="83">
        <v>0.25850467926453052</v>
      </c>
      <c r="E93" s="88">
        <v>22910.457012797349</v>
      </c>
      <c r="F93" s="89">
        <v>0</v>
      </c>
      <c r="G93" s="94">
        <v>3.44E-2</v>
      </c>
      <c r="H93" s="83">
        <v>0.16504920254915831</v>
      </c>
      <c r="I93" s="88">
        <v>14627.7919253039</v>
      </c>
      <c r="J93" s="89">
        <v>0</v>
      </c>
      <c r="K93" s="94">
        <v>2.7E-2</v>
      </c>
      <c r="L93" s="83">
        <v>0.18946550153540029</v>
      </c>
      <c r="M93" s="88">
        <v>16791.7317422829</v>
      </c>
      <c r="N93" s="89">
        <v>0</v>
      </c>
      <c r="O93" s="87">
        <v>-1.38E-2</v>
      </c>
      <c r="P93" s="83">
        <v>0.19504136153899029</v>
      </c>
      <c r="Q93" s="92">
        <v>17285.90268450752</v>
      </c>
      <c r="R93" s="89">
        <v>0</v>
      </c>
      <c r="S93" s="87">
        <v>-6.4399999999999999E-2</v>
      </c>
      <c r="T93" s="83">
        <v>0.19193925511192081</v>
      </c>
      <c r="U93" s="92">
        <v>17010.972744559429</v>
      </c>
      <c r="V93" s="89">
        <v>0</v>
      </c>
      <c r="W93" s="85">
        <f t="shared" si="2"/>
        <v>88626.856109451095</v>
      </c>
      <c r="X93" s="86">
        <f t="shared" si="1"/>
        <v>-7.7839335521036057E-3</v>
      </c>
    </row>
    <row r="94" spans="2:24" x14ac:dyDescent="0.35">
      <c r="B94" s="96" t="s">
        <v>90</v>
      </c>
      <c r="C94" s="87">
        <v>-3.1199999999999999E-2</v>
      </c>
      <c r="D94" s="83">
        <v>0.26067969992681778</v>
      </c>
      <c r="E94" s="88">
        <v>22195.65075399807</v>
      </c>
      <c r="F94" s="89">
        <v>0</v>
      </c>
      <c r="G94" s="93">
        <v>-3.9699999999999999E-2</v>
      </c>
      <c r="H94" s="83">
        <v>0.16497761946250919</v>
      </c>
      <c r="I94" s="88">
        <v>14047.06858586934</v>
      </c>
      <c r="J94" s="89">
        <v>0</v>
      </c>
      <c r="K94" s="93">
        <v>-2.07E-2</v>
      </c>
      <c r="L94" s="83">
        <v>0.19313036968320929</v>
      </c>
      <c r="M94" s="88">
        <v>16444.14289521765</v>
      </c>
      <c r="N94" s="89">
        <v>0</v>
      </c>
      <c r="O94" s="87">
        <v>-3.5499999999999997E-2</v>
      </c>
      <c r="P94" s="83">
        <v>0.1958094400385941</v>
      </c>
      <c r="Q94" s="92">
        <v>16672.253139207511</v>
      </c>
      <c r="R94" s="89">
        <v>0</v>
      </c>
      <c r="S94" s="87">
        <v>-7.1999999999999995E-2</v>
      </c>
      <c r="T94" s="83">
        <v>0.1854028708888697</v>
      </c>
      <c r="U94" s="92">
        <v>15786.182706951149</v>
      </c>
      <c r="V94" s="89">
        <v>0</v>
      </c>
      <c r="W94" s="85">
        <f t="shared" si="2"/>
        <v>85145.298081243716</v>
      </c>
      <c r="X94" s="86">
        <f t="shared" ref="X94:X157" si="3">W94/W93-1</f>
        <v>-3.9283329918729959E-2</v>
      </c>
    </row>
    <row r="95" spans="2:24" x14ac:dyDescent="0.35">
      <c r="B95" s="97" t="s">
        <v>91</v>
      </c>
      <c r="C95" s="87">
        <v>-2.1499999999999998E-2</v>
      </c>
      <c r="D95" s="83">
        <v>0.28310353547366052</v>
      </c>
      <c r="E95" s="88">
        <v>24806.795687879239</v>
      </c>
      <c r="F95" s="99">
        <v>3088.3514250921248</v>
      </c>
      <c r="G95" s="94">
        <v>4.0599999999999997E-2</v>
      </c>
      <c r="H95" s="83">
        <v>0.16025127198786621</v>
      </c>
      <c r="I95" s="88">
        <v>14041.93188995204</v>
      </c>
      <c r="J95" s="100">
        <v>-575.44768050359198</v>
      </c>
      <c r="K95" s="94">
        <v>2.92E-2</v>
      </c>
      <c r="L95" s="83">
        <v>0.18986686248937859</v>
      </c>
      <c r="M95" s="88">
        <v>16636.982147864732</v>
      </c>
      <c r="N95" s="100">
        <v>-287.32971989327052</v>
      </c>
      <c r="O95" s="91">
        <v>8.43E-2</v>
      </c>
      <c r="P95" s="83">
        <v>0.17251031789219981</v>
      </c>
      <c r="Q95" s="92">
        <v>15116.12422233791</v>
      </c>
      <c r="R95" s="100">
        <v>-2961.599856504788</v>
      </c>
      <c r="S95" s="91">
        <v>3.1699999999999999E-2</v>
      </c>
      <c r="T95" s="83">
        <v>0.1942680121568949</v>
      </c>
      <c r="U95" s="92">
        <v>17022.63053057103</v>
      </c>
      <c r="V95" s="99">
        <v>736.02583180953116</v>
      </c>
      <c r="W95" s="85">
        <f t="shared" si="2"/>
        <v>87624.464478604947</v>
      </c>
      <c r="X95" s="86">
        <f t="shared" si="3"/>
        <v>2.9116891398931477E-2</v>
      </c>
    </row>
    <row r="96" spans="2:24" x14ac:dyDescent="0.35">
      <c r="B96" s="96" t="s">
        <v>92</v>
      </c>
      <c r="C96" s="87">
        <v>-3.9300000000000002E-2</v>
      </c>
      <c r="D96" s="83">
        <v>0.26058361806771868</v>
      </c>
      <c r="E96" s="88">
        <v>23831.888617345579</v>
      </c>
      <c r="F96" s="89">
        <v>0</v>
      </c>
      <c r="G96" s="94">
        <v>0.1133</v>
      </c>
      <c r="H96" s="83">
        <v>0.17093371067846011</v>
      </c>
      <c r="I96" s="88">
        <v>15632.882773083609</v>
      </c>
      <c r="J96" s="89">
        <v>0</v>
      </c>
      <c r="K96" s="94">
        <v>6.3299999999999995E-2</v>
      </c>
      <c r="L96" s="83">
        <v>0.19342785410127489</v>
      </c>
      <c r="M96" s="88">
        <v>17690.103117824561</v>
      </c>
      <c r="N96" s="89">
        <v>0</v>
      </c>
      <c r="O96" s="91">
        <v>0.14180000000000001</v>
      </c>
      <c r="P96" s="83">
        <v>0.18872052680293089</v>
      </c>
      <c r="Q96" s="92">
        <v>17259.59063706543</v>
      </c>
      <c r="R96" s="89">
        <v>0</v>
      </c>
      <c r="S96" s="91">
        <v>1.1000000000000001E-3</v>
      </c>
      <c r="T96" s="83">
        <v>0.18633429034961529</v>
      </c>
      <c r="U96" s="92">
        <v>17041.355424154659</v>
      </c>
      <c r="V96" s="89">
        <v>0</v>
      </c>
      <c r="W96" s="85">
        <f t="shared" si="2"/>
        <v>91455.820569473843</v>
      </c>
      <c r="X96" s="86">
        <f t="shared" si="3"/>
        <v>4.372473045817471E-2</v>
      </c>
    </row>
    <row r="97" spans="2:24" x14ac:dyDescent="0.35">
      <c r="B97" s="97" t="s">
        <v>93</v>
      </c>
      <c r="C97" s="91">
        <v>6.1400000000000003E-2</v>
      </c>
      <c r="D97" s="83">
        <v>0.25122860951049297</v>
      </c>
      <c r="E97" s="88">
        <v>25295.1665784506</v>
      </c>
      <c r="F97" s="89">
        <v>0</v>
      </c>
      <c r="G97" s="94">
        <v>0.29049999999999998</v>
      </c>
      <c r="H97" s="83">
        <v>0.2003681235386876</v>
      </c>
      <c r="I97" s="88">
        <v>20174.235218664391</v>
      </c>
      <c r="J97" s="89">
        <v>0</v>
      </c>
      <c r="K97" s="94">
        <v>0.16639999999999999</v>
      </c>
      <c r="L97" s="83">
        <v>0.20493183382315711</v>
      </c>
      <c r="M97" s="88">
        <v>20633.736276630571</v>
      </c>
      <c r="N97" s="89">
        <v>0</v>
      </c>
      <c r="O97" s="91">
        <v>1.83E-2</v>
      </c>
      <c r="P97" s="83">
        <v>0.1745572074759642</v>
      </c>
      <c r="Q97" s="92">
        <v>17575.441145723718</v>
      </c>
      <c r="R97" s="89">
        <v>0</v>
      </c>
      <c r="S97" s="87">
        <v>-2E-3</v>
      </c>
      <c r="T97" s="83">
        <v>0.16891422565169831</v>
      </c>
      <c r="U97" s="92">
        <v>17007.272713306349</v>
      </c>
      <c r="V97" s="89">
        <v>0</v>
      </c>
      <c r="W97" s="85">
        <f t="shared" si="2"/>
        <v>100685.85193277562</v>
      </c>
      <c r="X97" s="86">
        <f t="shared" si="3"/>
        <v>0.10092338908369691</v>
      </c>
    </row>
    <row r="98" spans="2:24" x14ac:dyDescent="0.35">
      <c r="B98" s="96" t="s">
        <v>94</v>
      </c>
      <c r="C98" s="91">
        <v>1.49E-2</v>
      </c>
      <c r="D98" s="83">
        <v>0.2668325808518146</v>
      </c>
      <c r="E98" s="88">
        <v>25672.064560469509</v>
      </c>
      <c r="F98" s="89">
        <v>0</v>
      </c>
      <c r="G98" s="93">
        <v>-0.1211</v>
      </c>
      <c r="H98" s="83">
        <v>0.1842954465689926</v>
      </c>
      <c r="I98" s="88">
        <v>17731.135333684131</v>
      </c>
      <c r="J98" s="89">
        <v>0</v>
      </c>
      <c r="K98" s="93">
        <v>-9.74E-2</v>
      </c>
      <c r="L98" s="83">
        <v>0.19357589021877469</v>
      </c>
      <c r="M98" s="88">
        <v>18624.01036328675</v>
      </c>
      <c r="N98" s="89">
        <v>0</v>
      </c>
      <c r="O98" s="87">
        <v>-3.27E-2</v>
      </c>
      <c r="P98" s="83">
        <v>0.1767036347760953</v>
      </c>
      <c r="Q98" s="92">
        <v>17000.724220258558</v>
      </c>
      <c r="R98" s="89">
        <v>0</v>
      </c>
      <c r="S98" s="91">
        <v>1.03E-2</v>
      </c>
      <c r="T98" s="83">
        <v>0.17859244758432269</v>
      </c>
      <c r="U98" s="92">
        <v>17182.447622253399</v>
      </c>
      <c r="V98" s="89">
        <v>0</v>
      </c>
      <c r="W98" s="85">
        <f t="shared" si="2"/>
        <v>96210.38209995236</v>
      </c>
      <c r="X98" s="86">
        <f t="shared" si="3"/>
        <v>-4.4449838253455609E-2</v>
      </c>
    </row>
    <row r="99" spans="2:24" x14ac:dyDescent="0.35">
      <c r="B99" s="97" t="s">
        <v>95</v>
      </c>
      <c r="C99" s="91">
        <v>9.6699999999999994E-2</v>
      </c>
      <c r="D99" s="83">
        <v>0.26327233675590378</v>
      </c>
      <c r="E99" s="88">
        <v>28154.55320346692</v>
      </c>
      <c r="F99" s="89">
        <v>0</v>
      </c>
      <c r="G99" s="94">
        <v>0.12130000000000001</v>
      </c>
      <c r="H99" s="83">
        <v>0.18591522441805861</v>
      </c>
      <c r="I99" s="88">
        <v>19881.922049660021</v>
      </c>
      <c r="J99" s="89">
        <v>0</v>
      </c>
      <c r="K99" s="94">
        <v>0.1065</v>
      </c>
      <c r="L99" s="83">
        <v>0.19269977667357091</v>
      </c>
      <c r="M99" s="88">
        <v>20607.467466976788</v>
      </c>
      <c r="N99" s="89">
        <v>0</v>
      </c>
      <c r="O99" s="91">
        <v>0.12180000000000001</v>
      </c>
      <c r="P99" s="83">
        <v>0.17833617459568571</v>
      </c>
      <c r="Q99" s="92">
        <v>19071.412430286051</v>
      </c>
      <c r="R99" s="89">
        <v>0</v>
      </c>
      <c r="S99" s="91">
        <v>0.11890000000000001</v>
      </c>
      <c r="T99" s="83">
        <v>0.179776487556781</v>
      </c>
      <c r="U99" s="92">
        <v>19225.440644539329</v>
      </c>
      <c r="V99" s="89">
        <v>0</v>
      </c>
      <c r="W99" s="85">
        <f t="shared" si="2"/>
        <v>106940.7957949291</v>
      </c>
      <c r="X99" s="86">
        <f t="shared" si="3"/>
        <v>0.11153072527899299</v>
      </c>
    </row>
    <row r="100" spans="2:24" x14ac:dyDescent="0.35">
      <c r="B100" s="96" t="s">
        <v>96</v>
      </c>
      <c r="C100" s="91">
        <v>2.0199999999999999E-2</v>
      </c>
      <c r="D100" s="83">
        <v>0.26878278550682722</v>
      </c>
      <c r="E100" s="88">
        <v>28723.275178176951</v>
      </c>
      <c r="F100" s="89">
        <v>0</v>
      </c>
      <c r="G100" s="94">
        <v>4.0500000000000001E-2</v>
      </c>
      <c r="H100" s="83">
        <v>0.1935833239778367</v>
      </c>
      <c r="I100" s="88">
        <v>20687.13989267125</v>
      </c>
      <c r="J100" s="89">
        <v>0</v>
      </c>
      <c r="K100" s="94">
        <v>2.7900000000000001E-2</v>
      </c>
      <c r="L100" s="83">
        <v>0.19821795006562101</v>
      </c>
      <c r="M100" s="88">
        <v>21182.415809305439</v>
      </c>
      <c r="N100" s="89">
        <v>0</v>
      </c>
      <c r="O100" s="87">
        <v>-9.35E-2</v>
      </c>
      <c r="P100" s="83">
        <v>0.16177751422490161</v>
      </c>
      <c r="Q100" s="92">
        <v>17288.235368054309</v>
      </c>
      <c r="R100" s="89">
        <v>0</v>
      </c>
      <c r="S100" s="87">
        <v>-1.26E-2</v>
      </c>
      <c r="T100" s="83">
        <v>0.1776384262248136</v>
      </c>
      <c r="U100" s="92">
        <v>18983.200092418141</v>
      </c>
      <c r="V100" s="89">
        <v>0</v>
      </c>
      <c r="W100" s="85">
        <f t="shared" si="2"/>
        <v>106864.26634062608</v>
      </c>
      <c r="X100" s="86">
        <f t="shared" si="3"/>
        <v>-7.1562450731876837E-4</v>
      </c>
    </row>
    <row r="101" spans="2:24" x14ac:dyDescent="0.35">
      <c r="B101" s="97" t="s">
        <v>97</v>
      </c>
      <c r="C101" s="87">
        <v>-1.9099999999999999E-2</v>
      </c>
      <c r="D101" s="83">
        <v>0.26164083280131428</v>
      </c>
      <c r="E101" s="88">
        <v>27196.258677510759</v>
      </c>
      <c r="F101" s="100">
        <v>-978.40194476301258</v>
      </c>
      <c r="G101" s="93">
        <v>-6.3200000000000006E-2</v>
      </c>
      <c r="H101" s="83">
        <v>0.13940720300345999</v>
      </c>
      <c r="I101" s="88">
        <v>14490.68294806049</v>
      </c>
      <c r="J101" s="100">
        <v>-4889.0297033939351</v>
      </c>
      <c r="K101" s="93">
        <v>-5.1999999999999998E-2</v>
      </c>
      <c r="L101" s="83">
        <v>0.1774826804135029</v>
      </c>
      <c r="M101" s="88">
        <v>18448.43878389975</v>
      </c>
      <c r="N101" s="100">
        <v>-1632.4914033218081</v>
      </c>
      <c r="O101" s="91">
        <v>4.3499999999999997E-2</v>
      </c>
      <c r="P101" s="83">
        <v>0.1949873590424383</v>
      </c>
      <c r="Q101" s="92">
        <v>20267.962758663791</v>
      </c>
      <c r="R101" s="99">
        <v>2227.689152099123</v>
      </c>
      <c r="S101" s="87">
        <v>-3.7600000000000001E-2</v>
      </c>
      <c r="T101" s="83">
        <v>0.22648192473928441</v>
      </c>
      <c r="U101" s="92">
        <v>23541.66566832285</v>
      </c>
      <c r="V101" s="99">
        <v>5272.2338993796293</v>
      </c>
      <c r="W101" s="85">
        <f t="shared" si="2"/>
        <v>103945.00883645765</v>
      </c>
      <c r="X101" s="86">
        <f t="shared" si="3"/>
        <v>-2.7317433639261646E-2</v>
      </c>
    </row>
    <row r="102" spans="2:24" x14ac:dyDescent="0.35">
      <c r="B102" s="96" t="s">
        <v>98</v>
      </c>
      <c r="C102" s="91">
        <v>4.5999999999999999E-3</v>
      </c>
      <c r="D102" s="83">
        <v>0.26850683704261669</v>
      </c>
      <c r="E102" s="88">
        <v>27321.361467427301</v>
      </c>
      <c r="F102" s="89">
        <v>0</v>
      </c>
      <c r="G102" s="93">
        <v>-6.1899999999999997E-2</v>
      </c>
      <c r="H102" s="83">
        <v>0.13359524533500819</v>
      </c>
      <c r="I102" s="88">
        <v>13593.709673575549</v>
      </c>
      <c r="J102" s="89">
        <v>0</v>
      </c>
      <c r="K102" s="93">
        <v>-4.6899999999999997E-2</v>
      </c>
      <c r="L102" s="83">
        <v>0.17280292944366249</v>
      </c>
      <c r="M102" s="88">
        <v>17583.207004934851</v>
      </c>
      <c r="N102" s="89">
        <v>0</v>
      </c>
      <c r="O102" s="87">
        <v>-5.7000000000000002E-2</v>
      </c>
      <c r="P102" s="83">
        <v>0.18783425727330341</v>
      </c>
      <c r="Q102" s="92">
        <v>19112.688881419948</v>
      </c>
      <c r="R102" s="89">
        <v>0</v>
      </c>
      <c r="S102" s="91">
        <v>2.5499999999999998E-2</v>
      </c>
      <c r="T102" s="83">
        <v>0.23726073090540931</v>
      </c>
      <c r="U102" s="92">
        <v>24141.978142865079</v>
      </c>
      <c r="V102" s="89">
        <v>0</v>
      </c>
      <c r="W102" s="85">
        <f t="shared" si="2"/>
        <v>101752.94517022272</v>
      </c>
      <c r="X102" s="86">
        <f t="shared" si="3"/>
        <v>-2.108868613098891E-2</v>
      </c>
    </row>
    <row r="103" spans="2:24" x14ac:dyDescent="0.35">
      <c r="B103" s="97" t="s">
        <v>99</v>
      </c>
      <c r="C103" s="91">
        <v>0.1109</v>
      </c>
      <c r="D103" s="83">
        <v>0.27999043862405693</v>
      </c>
      <c r="E103" s="88">
        <v>30351.30045416499</v>
      </c>
      <c r="F103" s="89">
        <v>0</v>
      </c>
      <c r="G103" s="94">
        <v>2.9100000000000001E-2</v>
      </c>
      <c r="H103" s="83">
        <v>0.1290510271251113</v>
      </c>
      <c r="I103" s="88">
        <v>13989.286625076589</v>
      </c>
      <c r="J103" s="89">
        <v>0</v>
      </c>
      <c r="K103" s="94">
        <v>5.8299999999999998E-2</v>
      </c>
      <c r="L103" s="83">
        <v>0.17166145217962639</v>
      </c>
      <c r="M103" s="88">
        <v>18608.30797332255</v>
      </c>
      <c r="N103" s="89">
        <v>0</v>
      </c>
      <c r="O103" s="91">
        <v>5.8900000000000001E-2</v>
      </c>
      <c r="P103" s="83">
        <v>0.18669927679657061</v>
      </c>
      <c r="Q103" s="92">
        <v>20238.426256535589</v>
      </c>
      <c r="R103" s="89">
        <v>0</v>
      </c>
      <c r="S103" s="91">
        <v>4.4400000000000002E-2</v>
      </c>
      <c r="T103" s="83">
        <v>0.23259780527463469</v>
      </c>
      <c r="U103" s="92">
        <v>25213.88197240829</v>
      </c>
      <c r="V103" s="89">
        <v>0</v>
      </c>
      <c r="W103" s="85">
        <f t="shared" si="2"/>
        <v>108401.203281508</v>
      </c>
      <c r="X103" s="86">
        <f t="shared" si="3"/>
        <v>6.5337254859438199E-2</v>
      </c>
    </row>
    <row r="104" spans="2:24" x14ac:dyDescent="0.35">
      <c r="B104" s="96" t="s">
        <v>100</v>
      </c>
      <c r="C104" s="91">
        <v>2.5899999999999999E-2</v>
      </c>
      <c r="D104" s="83">
        <v>0.27605773836084341</v>
      </c>
      <c r="E104" s="88">
        <v>31137.39913592787</v>
      </c>
      <c r="F104" s="89">
        <v>0</v>
      </c>
      <c r="G104" s="94">
        <v>8.09E-2</v>
      </c>
      <c r="H104" s="83">
        <v>0.1340598339855584</v>
      </c>
      <c r="I104" s="88">
        <v>15121.019913045289</v>
      </c>
      <c r="J104" s="89">
        <v>0</v>
      </c>
      <c r="K104" s="94">
        <v>5.7799999999999997E-2</v>
      </c>
      <c r="L104" s="83">
        <v>0.1745131026080915</v>
      </c>
      <c r="M104" s="88">
        <v>19683.868174180599</v>
      </c>
      <c r="N104" s="89">
        <v>0</v>
      </c>
      <c r="O104" s="91">
        <v>3.1600000000000003E-2</v>
      </c>
      <c r="P104" s="83">
        <v>0.185099678341828</v>
      </c>
      <c r="Q104" s="92">
        <v>20877.96052624211</v>
      </c>
      <c r="R104" s="89">
        <v>0</v>
      </c>
      <c r="S104" s="91">
        <v>3.0099999999999998E-2</v>
      </c>
      <c r="T104" s="83">
        <v>0.2302696467036788</v>
      </c>
      <c r="U104" s="92">
        <v>25972.819819777778</v>
      </c>
      <c r="V104" s="89">
        <v>0</v>
      </c>
      <c r="W104" s="85">
        <f t="shared" si="2"/>
        <v>112793.06756917365</v>
      </c>
      <c r="X104" s="86">
        <f t="shared" si="3"/>
        <v>4.0514903476305264E-2</v>
      </c>
    </row>
    <row r="105" spans="2:24" x14ac:dyDescent="0.35">
      <c r="B105" s="97" t="s">
        <v>101</v>
      </c>
      <c r="C105" s="91">
        <v>2.8E-3</v>
      </c>
      <c r="D105" s="83">
        <v>0.27007260178654902</v>
      </c>
      <c r="E105" s="88">
        <v>31224.583853508459</v>
      </c>
      <c r="F105" s="89">
        <v>0</v>
      </c>
      <c r="G105" s="94">
        <v>0.1636</v>
      </c>
      <c r="H105" s="83">
        <v>0.15218388516214279</v>
      </c>
      <c r="I105" s="88">
        <v>17594.8187708195</v>
      </c>
      <c r="J105" s="89">
        <v>0</v>
      </c>
      <c r="K105" s="94">
        <v>9.8799999999999999E-2</v>
      </c>
      <c r="L105" s="83">
        <v>0.18707379990530351</v>
      </c>
      <c r="M105" s="88">
        <v>21628.634349789641</v>
      </c>
      <c r="N105" s="89">
        <v>0</v>
      </c>
      <c r="O105" s="91">
        <v>2.5999999999999999E-3</v>
      </c>
      <c r="P105" s="83">
        <v>0.18105046379966711</v>
      </c>
      <c r="Q105" s="92">
        <v>20932.243223610341</v>
      </c>
      <c r="R105" s="89">
        <v>0</v>
      </c>
      <c r="S105" s="87">
        <v>-6.6900000000000001E-2</v>
      </c>
      <c r="T105" s="83">
        <v>0.2096192493463376</v>
      </c>
      <c r="U105" s="92">
        <v>24235.238173834648</v>
      </c>
      <c r="V105" s="89">
        <v>0</v>
      </c>
      <c r="W105" s="85">
        <f t="shared" si="2"/>
        <v>115615.51837156259</v>
      </c>
      <c r="X105" s="86">
        <f t="shared" si="3"/>
        <v>2.502326484433981E-2</v>
      </c>
    </row>
    <row r="106" spans="2:24" x14ac:dyDescent="0.35">
      <c r="B106" s="96" t="s">
        <v>102</v>
      </c>
      <c r="C106" s="91">
        <v>7.0999999999999994E-2</v>
      </c>
      <c r="D106" s="83">
        <v>0.27728457303384318</v>
      </c>
      <c r="E106" s="88">
        <v>33441.529307107558</v>
      </c>
      <c r="F106" s="89">
        <v>0</v>
      </c>
      <c r="G106" s="94">
        <v>1.0800000000000001E-2</v>
      </c>
      <c r="H106" s="83">
        <v>0.1474652220818006</v>
      </c>
      <c r="I106" s="88">
        <v>17784.84281354435</v>
      </c>
      <c r="J106" s="89">
        <v>0</v>
      </c>
      <c r="K106" s="94">
        <v>2.4299999999999999E-2</v>
      </c>
      <c r="L106" s="83">
        <v>0.18369437144900219</v>
      </c>
      <c r="M106" s="88">
        <v>22154.21016448953</v>
      </c>
      <c r="N106" s="89">
        <v>0</v>
      </c>
      <c r="O106" s="91">
        <v>5.4899999999999997E-2</v>
      </c>
      <c r="P106" s="83">
        <v>0.18309085080193971</v>
      </c>
      <c r="Q106" s="92">
        <v>22081.423376586539</v>
      </c>
      <c r="R106" s="89">
        <v>0</v>
      </c>
      <c r="S106" s="91">
        <v>3.7400000000000003E-2</v>
      </c>
      <c r="T106" s="83">
        <v>0.2084649826334144</v>
      </c>
      <c r="U106" s="92">
        <v>25141.636081536071</v>
      </c>
      <c r="V106" s="89">
        <v>0</v>
      </c>
      <c r="W106" s="85">
        <f t="shared" si="2"/>
        <v>120603.64174326404</v>
      </c>
      <c r="X106" s="86">
        <f t="shared" si="3"/>
        <v>4.3144064412449668E-2</v>
      </c>
    </row>
    <row r="107" spans="2:24" x14ac:dyDescent="0.35">
      <c r="B107" s="97" t="s">
        <v>103</v>
      </c>
      <c r="C107" s="87">
        <v>-6.1999999999999998E-3</v>
      </c>
      <c r="D107" s="83">
        <v>0.26627280935702258</v>
      </c>
      <c r="E107" s="88">
        <v>32311.373936625419</v>
      </c>
      <c r="F107" s="100">
        <v>-922.81788877807412</v>
      </c>
      <c r="G107" s="94">
        <v>1.67E-2</v>
      </c>
      <c r="H107" s="83">
        <v>0.1326537568163256</v>
      </c>
      <c r="I107" s="88">
        <v>16097.11915738055</v>
      </c>
      <c r="J107" s="100">
        <v>-1984.730531149982</v>
      </c>
      <c r="K107" s="93">
        <v>-6.3E-3</v>
      </c>
      <c r="L107" s="83">
        <v>0.1631629302271963</v>
      </c>
      <c r="M107" s="88">
        <v>19799.312081083201</v>
      </c>
      <c r="N107" s="100">
        <v>-2215.3265593700448</v>
      </c>
      <c r="O107" s="87">
        <v>-8.6E-3</v>
      </c>
      <c r="P107" s="83">
        <v>0.19132116232609761</v>
      </c>
      <c r="Q107" s="92">
        <v>23216.225617763441</v>
      </c>
      <c r="R107" s="99">
        <v>1324.702482215544</v>
      </c>
      <c r="S107" s="91">
        <v>3.9100000000000003E-2</v>
      </c>
      <c r="T107" s="83">
        <v>0.24658934127335799</v>
      </c>
      <c r="U107" s="92">
        <v>29922.846549406699</v>
      </c>
      <c r="V107" s="99">
        <v>3798.172497082574</v>
      </c>
      <c r="W107" s="85">
        <f t="shared" si="2"/>
        <v>121346.87734225931</v>
      </c>
      <c r="X107" s="86">
        <f t="shared" si="3"/>
        <v>6.1626298198973473E-3</v>
      </c>
    </row>
    <row r="108" spans="2:24" x14ac:dyDescent="0.35">
      <c r="B108" s="96" t="s">
        <v>104</v>
      </c>
      <c r="C108" s="91">
        <v>2.47E-2</v>
      </c>
      <c r="D108" s="83">
        <v>0.26370344721374861</v>
      </c>
      <c r="E108" s="88">
        <v>33109.464872860073</v>
      </c>
      <c r="F108" s="89">
        <v>0</v>
      </c>
      <c r="G108" s="93">
        <v>-1.0500000000000001E-2</v>
      </c>
      <c r="H108" s="83">
        <v>0.12686084589753049</v>
      </c>
      <c r="I108" s="88">
        <v>15928.099406228061</v>
      </c>
      <c r="J108" s="89">
        <v>0</v>
      </c>
      <c r="K108" s="94">
        <v>2.2000000000000001E-3</v>
      </c>
      <c r="L108" s="83">
        <v>0.15804040903112859</v>
      </c>
      <c r="M108" s="88">
        <v>19842.870567661579</v>
      </c>
      <c r="N108" s="89">
        <v>0</v>
      </c>
      <c r="O108" s="91">
        <v>5.3199999999999997E-2</v>
      </c>
      <c r="P108" s="83">
        <v>0.19474490825256341</v>
      </c>
      <c r="Q108" s="92">
        <v>24451.328820628449</v>
      </c>
      <c r="R108" s="89">
        <v>0</v>
      </c>
      <c r="S108" s="91">
        <v>7.6899999999999996E-2</v>
      </c>
      <c r="T108" s="83">
        <v>0.25665038960502912</v>
      </c>
      <c r="U108" s="92">
        <v>32223.913449056068</v>
      </c>
      <c r="V108" s="89">
        <v>0</v>
      </c>
      <c r="W108" s="85">
        <f t="shared" si="2"/>
        <v>125555.67711643424</v>
      </c>
      <c r="X108" s="86">
        <f t="shared" si="3"/>
        <v>3.4684038570716558E-2</v>
      </c>
    </row>
    <row r="109" spans="2:24" x14ac:dyDescent="0.35">
      <c r="B109" s="97" t="s">
        <v>105</v>
      </c>
      <c r="C109" s="91">
        <v>1.4200000000000001E-2</v>
      </c>
      <c r="D109" s="83">
        <v>0.26851015971149561</v>
      </c>
      <c r="E109" s="88">
        <v>33579.619274054683</v>
      </c>
      <c r="F109" s="89">
        <v>0</v>
      </c>
      <c r="G109" s="93">
        <v>-3.6900000000000002E-2</v>
      </c>
      <c r="H109" s="83">
        <v>0.1226648961213425</v>
      </c>
      <c r="I109" s="88">
        <v>15340.352538138241</v>
      </c>
      <c r="J109" s="89">
        <v>0</v>
      </c>
      <c r="K109" s="93">
        <v>-1.46E-2</v>
      </c>
      <c r="L109" s="83">
        <v>0.15635148576783239</v>
      </c>
      <c r="M109" s="88">
        <v>19553.16465737372</v>
      </c>
      <c r="N109" s="89">
        <v>0</v>
      </c>
      <c r="O109" s="91">
        <v>3.7199999999999997E-2</v>
      </c>
      <c r="P109" s="83">
        <v>0.20279158482714379</v>
      </c>
      <c r="Q109" s="92">
        <v>25360.91825275583</v>
      </c>
      <c r="R109" s="89">
        <v>0</v>
      </c>
      <c r="S109" s="87">
        <v>-3.1E-2</v>
      </c>
      <c r="T109" s="83">
        <v>0.24968187357218591</v>
      </c>
      <c r="U109" s="92">
        <v>31224.972132135332</v>
      </c>
      <c r="V109" s="89">
        <v>0</v>
      </c>
      <c r="W109" s="85">
        <f t="shared" si="2"/>
        <v>125059.0268544578</v>
      </c>
      <c r="X109" s="86">
        <f t="shared" si="3"/>
        <v>-3.9556177257987768E-3</v>
      </c>
    </row>
    <row r="110" spans="2:24" x14ac:dyDescent="0.35">
      <c r="B110" s="96" t="s">
        <v>106</v>
      </c>
      <c r="C110" s="87">
        <v>-1.89E-2</v>
      </c>
      <c r="D110" s="83">
        <v>0.26939875082210879</v>
      </c>
      <c r="E110" s="88">
        <v>32944.964469775041</v>
      </c>
      <c r="F110" s="89">
        <v>0</v>
      </c>
      <c r="G110" s="93">
        <v>-6.0000000000000001E-3</v>
      </c>
      <c r="H110" s="83">
        <v>0.1246890335501275</v>
      </c>
      <c r="I110" s="88">
        <v>15248.31042290941</v>
      </c>
      <c r="J110" s="89">
        <v>0</v>
      </c>
      <c r="K110" s="93">
        <v>-4.4000000000000003E-3</v>
      </c>
      <c r="L110" s="83">
        <v>0.1591873230381029</v>
      </c>
      <c r="M110" s="88">
        <v>19467.13073288128</v>
      </c>
      <c r="N110" s="89">
        <v>0</v>
      </c>
      <c r="O110" s="87">
        <v>-2.86E-2</v>
      </c>
      <c r="P110" s="83">
        <v>0.2014510834197093</v>
      </c>
      <c r="Q110" s="92">
        <v>24635.595990727019</v>
      </c>
      <c r="R110" s="89">
        <v>0</v>
      </c>
      <c r="S110" s="87">
        <v>-3.9399999999999998E-2</v>
      </c>
      <c r="T110" s="83">
        <v>0.24527380916995151</v>
      </c>
      <c r="U110" s="92">
        <v>29994.708230129199</v>
      </c>
      <c r="V110" s="89">
        <v>0</v>
      </c>
      <c r="W110" s="85">
        <f t="shared" si="2"/>
        <v>122290.70984642195</v>
      </c>
      <c r="X110" s="86">
        <f t="shared" si="3"/>
        <v>-2.2136083077454183E-2</v>
      </c>
    </row>
    <row r="111" spans="2:24" x14ac:dyDescent="0.35">
      <c r="B111" s="97" t="s">
        <v>107</v>
      </c>
      <c r="C111" s="91">
        <v>3.56E-2</v>
      </c>
      <c r="D111" s="83">
        <v>0.26831248162881749</v>
      </c>
      <c r="E111" s="88">
        <v>34117.805204899043</v>
      </c>
      <c r="F111" s="89">
        <v>0</v>
      </c>
      <c r="G111" s="94">
        <v>4.4600000000000001E-2</v>
      </c>
      <c r="H111" s="83">
        <v>0.1252655175268837</v>
      </c>
      <c r="I111" s="88">
        <v>15928.385067771171</v>
      </c>
      <c r="J111" s="89">
        <v>0</v>
      </c>
      <c r="K111" s="94">
        <v>4.1399999999999999E-2</v>
      </c>
      <c r="L111" s="83">
        <v>0.1594334006706912</v>
      </c>
      <c r="M111" s="88">
        <v>20273.069945222571</v>
      </c>
      <c r="N111" s="89">
        <v>0</v>
      </c>
      <c r="O111" s="91">
        <v>2.9700000000000001E-2</v>
      </c>
      <c r="P111" s="83">
        <v>0.19949571730454921</v>
      </c>
      <c r="Q111" s="92">
        <v>25367.27319165161</v>
      </c>
      <c r="R111" s="89">
        <v>0</v>
      </c>
      <c r="S111" s="91">
        <v>4.9200000000000001E-2</v>
      </c>
      <c r="T111" s="83">
        <v>0.24749288286905841</v>
      </c>
      <c r="U111" s="92">
        <v>31470.447875051552</v>
      </c>
      <c r="V111" s="89">
        <v>0</v>
      </c>
      <c r="W111" s="85">
        <f t="shared" si="2"/>
        <v>127156.98128459594</v>
      </c>
      <c r="X111" s="86">
        <f t="shared" si="3"/>
        <v>3.9792650188107181E-2</v>
      </c>
    </row>
    <row r="112" spans="2:24" x14ac:dyDescent="0.35">
      <c r="B112" s="96" t="s">
        <v>108</v>
      </c>
      <c r="C112" s="87">
        <v>-1.66E-2</v>
      </c>
      <c r="D112" s="83">
        <v>0.27280445354127819</v>
      </c>
      <c r="E112" s="88">
        <v>33551.44963849771</v>
      </c>
      <c r="F112" s="89">
        <v>0</v>
      </c>
      <c r="G112" s="93">
        <v>-5.1700000000000003E-2</v>
      </c>
      <c r="H112" s="83">
        <v>0.12281676770879769</v>
      </c>
      <c r="I112" s="88">
        <v>15104.8875597674</v>
      </c>
      <c r="J112" s="89">
        <v>0</v>
      </c>
      <c r="K112" s="93">
        <v>-3.5200000000000002E-2</v>
      </c>
      <c r="L112" s="83">
        <v>0.1590365625589554</v>
      </c>
      <c r="M112" s="88">
        <v>19559.457883150732</v>
      </c>
      <c r="N112" s="89">
        <v>0</v>
      </c>
      <c r="O112" s="87">
        <v>-4.6100000000000002E-2</v>
      </c>
      <c r="P112" s="83">
        <v>0.19675093347250691</v>
      </c>
      <c r="Q112" s="92">
        <v>24197.841897516471</v>
      </c>
      <c r="R112" s="89">
        <v>0</v>
      </c>
      <c r="S112" s="87">
        <v>-2.8500000000000001E-2</v>
      </c>
      <c r="T112" s="83">
        <v>0.24859128271846179</v>
      </c>
      <c r="U112" s="92">
        <v>30573.540110612579</v>
      </c>
      <c r="V112" s="89">
        <v>0</v>
      </c>
      <c r="W112" s="85">
        <f t="shared" si="2"/>
        <v>122987.17708954489</v>
      </c>
      <c r="X112" s="86">
        <f t="shared" si="3"/>
        <v>-3.2792569884294576E-2</v>
      </c>
    </row>
    <row r="113" spans="2:24" x14ac:dyDescent="0.35">
      <c r="B113" s="97" t="s">
        <v>109</v>
      </c>
      <c r="C113" s="91">
        <v>0.02</v>
      </c>
      <c r="D113" s="83">
        <v>0.26510826872249049</v>
      </c>
      <c r="E113" s="88">
        <v>32225.010929412962</v>
      </c>
      <c r="F113" s="100">
        <v>-1997.467701854705</v>
      </c>
      <c r="G113" s="93">
        <v>-5.9900000000000002E-2</v>
      </c>
      <c r="H113" s="83">
        <v>0.1281254659076787</v>
      </c>
      <c r="I113" s="88">
        <v>15574.182424061089</v>
      </c>
      <c r="J113" s="99">
        <v>1374.077629123753</v>
      </c>
      <c r="K113" s="93">
        <v>-4.1500000000000002E-2</v>
      </c>
      <c r="L113" s="83">
        <v>0.18666489507879461</v>
      </c>
      <c r="M113" s="88">
        <v>22689.893125697032</v>
      </c>
      <c r="N113" s="99">
        <v>3942.152744697054</v>
      </c>
      <c r="O113" s="87">
        <v>-3.56E-2</v>
      </c>
      <c r="P113" s="83">
        <v>0.19502711635341299</v>
      </c>
      <c r="Q113" s="92">
        <v>23706.355845880342</v>
      </c>
      <c r="R113" s="99">
        <v>369.95711991545249</v>
      </c>
      <c r="S113" s="91">
        <v>1.55E-2</v>
      </c>
      <c r="T113" s="83">
        <v>0.2250742539376232</v>
      </c>
      <c r="U113" s="92">
        <v>27358.710190445541</v>
      </c>
      <c r="V113" s="100">
        <v>-3688.71979188154</v>
      </c>
      <c r="W113" s="85">
        <f t="shared" si="2"/>
        <v>121554.15251549697</v>
      </c>
      <c r="X113" s="86">
        <f t="shared" si="3"/>
        <v>-1.1651821010612795E-2</v>
      </c>
    </row>
    <row r="114" spans="2:24" x14ac:dyDescent="0.35">
      <c r="B114" s="96" t="s">
        <v>110</v>
      </c>
      <c r="C114" s="91">
        <v>3.5999999999999999E-3</v>
      </c>
      <c r="D114" s="83">
        <v>0.27218808249426968</v>
      </c>
      <c r="E114" s="88">
        <v>32341.02096875885</v>
      </c>
      <c r="F114" s="89">
        <v>0</v>
      </c>
      <c r="G114" s="94">
        <v>2.7000000000000001E-3</v>
      </c>
      <c r="H114" s="83">
        <v>0.13142913586504509</v>
      </c>
      <c r="I114" s="88">
        <v>15616.23271660605</v>
      </c>
      <c r="J114" s="89">
        <v>0</v>
      </c>
      <c r="K114" s="94">
        <v>2.5000000000000001E-3</v>
      </c>
      <c r="L114" s="83">
        <v>0.19143979109747011</v>
      </c>
      <c r="M114" s="88">
        <v>22746.617858511268</v>
      </c>
      <c r="N114" s="89">
        <v>0</v>
      </c>
      <c r="O114" s="87">
        <v>-5.74E-2</v>
      </c>
      <c r="P114" s="83">
        <v>0.18806484253112901</v>
      </c>
      <c r="Q114" s="92">
        <v>22345.611020326811</v>
      </c>
      <c r="R114" s="89">
        <v>0</v>
      </c>
      <c r="S114" s="87">
        <v>-5.8099999999999999E-2</v>
      </c>
      <c r="T114" s="83">
        <v>0.21687814801208599</v>
      </c>
      <c r="U114" s="92">
        <v>25769.16912838065</v>
      </c>
      <c r="V114" s="89">
        <v>0</v>
      </c>
      <c r="W114" s="85">
        <f t="shared" si="2"/>
        <v>118818.65169258363</v>
      </c>
      <c r="X114" s="86">
        <f t="shared" si="3"/>
        <v>-2.2504379869413227E-2</v>
      </c>
    </row>
    <row r="115" spans="2:24" x14ac:dyDescent="0.35">
      <c r="B115" s="97" t="s">
        <v>111</v>
      </c>
      <c r="C115" s="91">
        <v>6.0600000000000001E-2</v>
      </c>
      <c r="D115" s="83">
        <v>0.2782309147013719</v>
      </c>
      <c r="E115" s="88">
        <v>34300.886839465638</v>
      </c>
      <c r="F115" s="89">
        <v>0</v>
      </c>
      <c r="G115" s="94">
        <v>1.72E-2</v>
      </c>
      <c r="H115" s="83">
        <v>0.12884947655954121</v>
      </c>
      <c r="I115" s="88">
        <v>15884.83191933168</v>
      </c>
      <c r="J115" s="89">
        <v>0</v>
      </c>
      <c r="K115" s="94">
        <v>2.5399999999999999E-2</v>
      </c>
      <c r="L115" s="83">
        <v>0.18919522855937071</v>
      </c>
      <c r="M115" s="88">
        <v>23324.381952117459</v>
      </c>
      <c r="N115" s="89">
        <v>0</v>
      </c>
      <c r="O115" s="91">
        <v>3.3799999999999997E-2</v>
      </c>
      <c r="P115" s="83">
        <v>0.1873824000194669</v>
      </c>
      <c r="Q115" s="92">
        <v>23100.89267281385</v>
      </c>
      <c r="R115" s="89">
        <v>0</v>
      </c>
      <c r="S115" s="91">
        <v>3.5000000000000003E-2</v>
      </c>
      <c r="T115" s="83">
        <v>0.2163419801602493</v>
      </c>
      <c r="U115" s="92">
        <v>26671.090047873971</v>
      </c>
      <c r="V115" s="89">
        <v>0</v>
      </c>
      <c r="W115" s="85">
        <f t="shared" si="2"/>
        <v>123282.0834316026</v>
      </c>
      <c r="X115" s="86">
        <f t="shared" si="3"/>
        <v>3.7565076487882543E-2</v>
      </c>
    </row>
    <row r="116" spans="2:24" x14ac:dyDescent="0.35">
      <c r="B116" s="96" t="s">
        <v>112</v>
      </c>
      <c r="C116" s="91">
        <v>1.06E-2</v>
      </c>
      <c r="D116" s="83">
        <v>0.2865156801908898</v>
      </c>
      <c r="E116" s="88">
        <v>34664.476239963973</v>
      </c>
      <c r="F116" s="89">
        <v>0</v>
      </c>
      <c r="G116" s="94">
        <v>3.6900000000000002E-2</v>
      </c>
      <c r="H116" s="83">
        <v>0.13613921758666461</v>
      </c>
      <c r="I116" s="88">
        <v>16470.982217155011</v>
      </c>
      <c r="J116" s="89">
        <v>0</v>
      </c>
      <c r="K116" s="94">
        <v>6.4000000000000003E-3</v>
      </c>
      <c r="L116" s="83">
        <v>0.19401911746508799</v>
      </c>
      <c r="M116" s="88">
        <v>23473.657996611011</v>
      </c>
      <c r="N116" s="89">
        <v>0</v>
      </c>
      <c r="O116" s="87">
        <v>-8.2299999999999998E-2</v>
      </c>
      <c r="P116" s="83">
        <v>0.17522386118283351</v>
      </c>
      <c r="Q116" s="92">
        <v>21199.68920584127</v>
      </c>
      <c r="R116" s="89">
        <v>0</v>
      </c>
      <c r="S116" s="87">
        <v>-5.6000000000000001E-2</v>
      </c>
      <c r="T116" s="83">
        <v>0.20810212357452401</v>
      </c>
      <c r="U116" s="92">
        <v>25177.509005193031</v>
      </c>
      <c r="V116" s="89">
        <v>0</v>
      </c>
      <c r="W116" s="85">
        <f t="shared" si="2"/>
        <v>120986.31466476429</v>
      </c>
      <c r="X116" s="86">
        <f t="shared" si="3"/>
        <v>-1.862207956691464E-2</v>
      </c>
    </row>
    <row r="117" spans="2:24" x14ac:dyDescent="0.35">
      <c r="B117" s="97" t="s">
        <v>113</v>
      </c>
      <c r="C117" s="91">
        <v>7.3999999999999996E-2</v>
      </c>
      <c r="D117" s="83">
        <v>0.29943869965037601</v>
      </c>
      <c r="E117" s="88">
        <v>37229.647481721309</v>
      </c>
      <c r="F117" s="89">
        <v>0</v>
      </c>
      <c r="G117" s="93">
        <v>-2.1000000000000001E-2</v>
      </c>
      <c r="H117" s="83">
        <v>0.12969439100925009</v>
      </c>
      <c r="I117" s="88">
        <v>16125.09159059476</v>
      </c>
      <c r="J117" s="89">
        <v>0</v>
      </c>
      <c r="K117" s="94">
        <v>1.8200000000000001E-2</v>
      </c>
      <c r="L117" s="83">
        <v>0.1922351804072209</v>
      </c>
      <c r="M117" s="88">
        <v>23900.87857214933</v>
      </c>
      <c r="N117" s="89">
        <v>0</v>
      </c>
      <c r="O117" s="87">
        <v>-9.7999999999999997E-3</v>
      </c>
      <c r="P117" s="83">
        <v>0.16883847475755001</v>
      </c>
      <c r="Q117" s="92">
        <v>20991.932251624032</v>
      </c>
      <c r="R117" s="89">
        <v>0</v>
      </c>
      <c r="S117" s="91">
        <v>3.5999999999999997E-2</v>
      </c>
      <c r="T117" s="83">
        <v>0.20979325417560299</v>
      </c>
      <c r="U117" s="92">
        <v>26083.899329379979</v>
      </c>
      <c r="V117" s="89">
        <v>0</v>
      </c>
      <c r="W117" s="85">
        <f t="shared" si="2"/>
        <v>124331.44922546941</v>
      </c>
      <c r="X117" s="86">
        <f t="shared" si="3"/>
        <v>2.7648867311761638E-2</v>
      </c>
    </row>
    <row r="118" spans="2:24" x14ac:dyDescent="0.35">
      <c r="B118" s="96" t="s">
        <v>114</v>
      </c>
      <c r="C118" s="91">
        <v>2.0199999999999999E-2</v>
      </c>
      <c r="D118" s="83">
        <v>0.30497057139419892</v>
      </c>
      <c r="E118" s="88">
        <v>37981.68636085208</v>
      </c>
      <c r="F118" s="89">
        <v>0</v>
      </c>
      <c r="G118" s="93">
        <v>-5.0000000000000001E-4</v>
      </c>
      <c r="H118" s="83">
        <v>0.12941025077905791</v>
      </c>
      <c r="I118" s="88">
        <v>16117.029044799459</v>
      </c>
      <c r="J118" s="89">
        <v>0</v>
      </c>
      <c r="K118" s="94">
        <v>8.0000000000000002E-3</v>
      </c>
      <c r="L118" s="83">
        <v>0.19344525785207109</v>
      </c>
      <c r="M118" s="88">
        <v>24092.085600726528</v>
      </c>
      <c r="N118" s="89">
        <v>0</v>
      </c>
      <c r="O118" s="87">
        <v>-7.85E-2</v>
      </c>
      <c r="P118" s="83">
        <v>0.1553214534468666</v>
      </c>
      <c r="Q118" s="92">
        <v>19344.065569871542</v>
      </c>
      <c r="R118" s="89">
        <v>0</v>
      </c>
      <c r="S118" s="91">
        <v>3.5400000000000001E-2</v>
      </c>
      <c r="T118" s="83">
        <v>0.21685246652780549</v>
      </c>
      <c r="U118" s="92">
        <v>27007.26936564003</v>
      </c>
      <c r="V118" s="89">
        <v>0</v>
      </c>
      <c r="W118" s="85">
        <f t="shared" si="2"/>
        <v>124542.13594188963</v>
      </c>
      <c r="X118" s="86">
        <f t="shared" si="3"/>
        <v>1.6945569100392799E-3</v>
      </c>
    </row>
    <row r="119" spans="2:24" x14ac:dyDescent="0.35">
      <c r="B119" s="97" t="s">
        <v>115</v>
      </c>
      <c r="C119" s="91">
        <v>9.4600000000000004E-2</v>
      </c>
      <c r="D119" s="83">
        <v>0.2721746696339456</v>
      </c>
      <c r="E119" s="88">
        <v>36563.724965405127</v>
      </c>
      <c r="F119" s="100">
        <v>-5011.0289251835638</v>
      </c>
      <c r="G119" s="94">
        <v>1.7100000000000001E-2</v>
      </c>
      <c r="H119" s="83">
        <v>0.13052754348634821</v>
      </c>
      <c r="I119" s="88">
        <v>17534.964612480449</v>
      </c>
      <c r="J119" s="99">
        <v>1142.3343710149129</v>
      </c>
      <c r="K119" s="94">
        <v>3.7900000000000003E-2</v>
      </c>
      <c r="L119" s="83">
        <v>0.19616939631067701</v>
      </c>
      <c r="M119" s="88">
        <v>26353.23802534553</v>
      </c>
      <c r="N119" s="99">
        <v>1348.0623803514679</v>
      </c>
      <c r="O119" s="91">
        <v>0.11700000000000001</v>
      </c>
      <c r="P119" s="83">
        <v>0.17626747550450761</v>
      </c>
      <c r="Q119" s="92">
        <v>23679.630082259791</v>
      </c>
      <c r="R119" s="99">
        <v>2072.3088407132782</v>
      </c>
      <c r="S119" s="91">
        <v>0.1019</v>
      </c>
      <c r="T119" s="83">
        <v>0.2248609150645216</v>
      </c>
      <c r="U119" s="92">
        <v>30207.633447102649</v>
      </c>
      <c r="V119" s="99">
        <v>448.32333310389731</v>
      </c>
      <c r="W119" s="85">
        <f t="shared" si="2"/>
        <v>134339.19113259355</v>
      </c>
      <c r="X119" s="86">
        <f t="shared" si="3"/>
        <v>7.8664583007273414E-2</v>
      </c>
    </row>
    <row r="120" spans="2:24" x14ac:dyDescent="0.35">
      <c r="B120" s="96" t="s">
        <v>116</v>
      </c>
      <c r="C120" s="91">
        <v>8.6E-3</v>
      </c>
      <c r="D120" s="83">
        <v>0.26286369628112938</v>
      </c>
      <c r="E120" s="88">
        <v>36878.173000107607</v>
      </c>
      <c r="F120" s="89">
        <v>0</v>
      </c>
      <c r="G120" s="94">
        <v>2.46E-2</v>
      </c>
      <c r="H120" s="83">
        <v>0.1280620525925088</v>
      </c>
      <c r="I120" s="88">
        <v>17966.324741947461</v>
      </c>
      <c r="J120" s="89">
        <v>0</v>
      </c>
      <c r="K120" s="94">
        <v>2.4899999999999999E-2</v>
      </c>
      <c r="L120" s="83">
        <v>0.19252037144709849</v>
      </c>
      <c r="M120" s="88">
        <v>27009.433652176631</v>
      </c>
      <c r="N120" s="89">
        <v>0</v>
      </c>
      <c r="O120" s="91">
        <v>9.8500000000000004E-2</v>
      </c>
      <c r="P120" s="83">
        <v>0.18541129535720099</v>
      </c>
      <c r="Q120" s="92">
        <v>26012.073645362379</v>
      </c>
      <c r="R120" s="89">
        <v>0</v>
      </c>
      <c r="S120" s="91">
        <v>7.3499999999999996E-2</v>
      </c>
      <c r="T120" s="83">
        <v>0.23114258432206231</v>
      </c>
      <c r="U120" s="92">
        <v>32427.89450546469</v>
      </c>
      <c r="V120" s="89">
        <v>0</v>
      </c>
      <c r="W120" s="85">
        <f t="shared" si="2"/>
        <v>140293.89954505878</v>
      </c>
      <c r="X120" s="86">
        <f t="shared" si="3"/>
        <v>4.4325921291188175E-2</v>
      </c>
    </row>
    <row r="121" spans="2:24" x14ac:dyDescent="0.35">
      <c r="B121" s="97" t="s">
        <v>117</v>
      </c>
      <c r="C121" s="87">
        <v>-2.0899999999999998E-2</v>
      </c>
      <c r="D121" s="83">
        <v>0.27217728561673421</v>
      </c>
      <c r="E121" s="88">
        <v>36107.419184405357</v>
      </c>
      <c r="F121" s="89">
        <v>0</v>
      </c>
      <c r="G121" s="93">
        <v>-4.5499999999999999E-2</v>
      </c>
      <c r="H121" s="83">
        <v>0.12926787474477799</v>
      </c>
      <c r="I121" s="88">
        <v>17148.85696618885</v>
      </c>
      <c r="J121" s="89">
        <v>0</v>
      </c>
      <c r="K121" s="93">
        <v>-3.3000000000000002E-2</v>
      </c>
      <c r="L121" s="83">
        <v>0.19687808779830021</v>
      </c>
      <c r="M121" s="88">
        <v>26118.122341654809</v>
      </c>
      <c r="N121" s="89">
        <v>0</v>
      </c>
      <c r="O121" s="87">
        <v>-9.5500000000000002E-2</v>
      </c>
      <c r="P121" s="83">
        <v>0.1773531787397479</v>
      </c>
      <c r="Q121" s="92">
        <v>23527.920612230271</v>
      </c>
      <c r="R121" s="89">
        <v>0</v>
      </c>
      <c r="S121" s="87">
        <v>-8.2299999999999998E-2</v>
      </c>
      <c r="T121" s="83">
        <v>0.22432357310043979</v>
      </c>
      <c r="U121" s="92">
        <v>29759.078787664948</v>
      </c>
      <c r="V121" s="89">
        <v>0</v>
      </c>
      <c r="W121" s="85">
        <f t="shared" si="2"/>
        <v>132661.39789214425</v>
      </c>
      <c r="X121" s="86">
        <f t="shared" si="3"/>
        <v>-5.4403660299307433E-2</v>
      </c>
    </row>
    <row r="122" spans="2:24" x14ac:dyDescent="0.35">
      <c r="B122" s="96" t="s">
        <v>118</v>
      </c>
      <c r="C122" s="91">
        <v>1.0999999999999999E-2</v>
      </c>
      <c r="D122" s="83">
        <v>0.28120895593630052</v>
      </c>
      <c r="E122" s="88">
        <v>36504.600795433813</v>
      </c>
      <c r="F122" s="89">
        <v>0</v>
      </c>
      <c r="G122" s="93">
        <v>-2.0899999999999998E-2</v>
      </c>
      <c r="H122" s="83">
        <v>0.12934325114843059</v>
      </c>
      <c r="I122" s="88">
        <v>16790.44585559551</v>
      </c>
      <c r="J122" s="89">
        <v>0</v>
      </c>
      <c r="K122" s="93">
        <v>-2.6100000000000002E-2</v>
      </c>
      <c r="L122" s="83">
        <v>0.19594665866977579</v>
      </c>
      <c r="M122" s="88">
        <v>25436.439348537609</v>
      </c>
      <c r="N122" s="89">
        <v>0</v>
      </c>
      <c r="O122" s="87">
        <v>-3.5299999999999998E-2</v>
      </c>
      <c r="P122" s="83">
        <v>0.17484667147061361</v>
      </c>
      <c r="Q122" s="92">
        <v>22697.38501461855</v>
      </c>
      <c r="R122" s="89">
        <v>0</v>
      </c>
      <c r="S122" s="87">
        <v>-4.6199999999999998E-2</v>
      </c>
      <c r="T122" s="83">
        <v>0.21865446277487949</v>
      </c>
      <c r="U122" s="92">
        <v>28384.20934767483</v>
      </c>
      <c r="V122" s="89">
        <v>0</v>
      </c>
      <c r="W122" s="85">
        <f t="shared" si="2"/>
        <v>129813.08036186031</v>
      </c>
      <c r="X122" s="86">
        <f t="shared" si="3"/>
        <v>-2.1470582818670869E-2</v>
      </c>
    </row>
    <row r="123" spans="2:24" x14ac:dyDescent="0.35">
      <c r="B123" s="97" t="s">
        <v>119</v>
      </c>
      <c r="C123" s="91">
        <v>9.4700000000000006E-2</v>
      </c>
      <c r="D123" s="83">
        <v>0.29155574632873471</v>
      </c>
      <c r="E123" s="88">
        <v>39961.586490761387</v>
      </c>
      <c r="F123" s="89">
        <v>0</v>
      </c>
      <c r="G123" s="94">
        <v>3.3300000000000003E-2</v>
      </c>
      <c r="H123" s="83">
        <v>0.12658071423610889</v>
      </c>
      <c r="I123" s="88">
        <v>17349.567702586839</v>
      </c>
      <c r="J123" s="89">
        <v>0</v>
      </c>
      <c r="K123" s="94">
        <v>5.3900000000000003E-2</v>
      </c>
      <c r="L123" s="83">
        <v>0.1955845774329516</v>
      </c>
      <c r="M123" s="88">
        <v>26807.463429423791</v>
      </c>
      <c r="N123" s="89">
        <v>0</v>
      </c>
      <c r="O123" s="91">
        <v>7.3000000000000001E-3</v>
      </c>
      <c r="P123" s="83">
        <v>0.16680671990564341</v>
      </c>
      <c r="Q123" s="92">
        <v>22863.075925225261</v>
      </c>
      <c r="R123" s="89">
        <v>0</v>
      </c>
      <c r="S123" s="91">
        <v>5.9799999999999999E-2</v>
      </c>
      <c r="T123" s="83">
        <v>0.21947224209656141</v>
      </c>
      <c r="U123" s="92">
        <v>30081.585066665779</v>
      </c>
      <c r="V123" s="89">
        <v>0</v>
      </c>
      <c r="W123" s="85">
        <f t="shared" si="2"/>
        <v>137063.27861466305</v>
      </c>
      <c r="X123" s="86">
        <f t="shared" si="3"/>
        <v>5.5851060868384428E-2</v>
      </c>
    </row>
    <row r="124" spans="2:24" x14ac:dyDescent="0.35">
      <c r="B124" s="96" t="s">
        <v>120</v>
      </c>
      <c r="C124" s="91">
        <v>3.9800000000000002E-2</v>
      </c>
      <c r="D124" s="83">
        <v>0.29967581802113391</v>
      </c>
      <c r="E124" s="88">
        <v>41552.057633093696</v>
      </c>
      <c r="F124" s="89">
        <v>0</v>
      </c>
      <c r="G124" s="93">
        <v>-9.4000000000000004E-3</v>
      </c>
      <c r="H124" s="83">
        <v>0.1239498902235852</v>
      </c>
      <c r="I124" s="88">
        <v>17186.481766182518</v>
      </c>
      <c r="J124" s="89">
        <v>0</v>
      </c>
      <c r="K124" s="93">
        <v>-8.6E-3</v>
      </c>
      <c r="L124" s="83">
        <v>0.1916742628062624</v>
      </c>
      <c r="M124" s="88">
        <v>26576.919243930741</v>
      </c>
      <c r="N124" s="89">
        <v>0</v>
      </c>
      <c r="O124" s="87">
        <v>-2.1600000000000001E-2</v>
      </c>
      <c r="P124" s="83">
        <v>0.16132819227359299</v>
      </c>
      <c r="Q124" s="92">
        <v>22369.233485240398</v>
      </c>
      <c r="R124" s="89">
        <v>0</v>
      </c>
      <c r="S124" s="91">
        <v>2.9600000000000001E-2</v>
      </c>
      <c r="T124" s="83">
        <v>0.2233718366754254</v>
      </c>
      <c r="U124" s="92">
        <v>30971.999984639089</v>
      </c>
      <c r="V124" s="89">
        <v>0</v>
      </c>
      <c r="W124" s="85">
        <f t="shared" si="2"/>
        <v>138656.69211308644</v>
      </c>
      <c r="X124" s="86">
        <f t="shared" si="3"/>
        <v>1.162538584023709E-2</v>
      </c>
    </row>
    <row r="125" spans="2:24" x14ac:dyDescent="0.35">
      <c r="B125" s="97" t="s">
        <v>121</v>
      </c>
      <c r="C125" s="87">
        <v>-1.6799999999999999E-2</v>
      </c>
      <c r="D125" s="83">
        <v>0.26678216058320769</v>
      </c>
      <c r="E125" s="88">
        <v>37834.042022554422</v>
      </c>
      <c r="F125" s="100">
        <v>-3019.9410423032969</v>
      </c>
      <c r="G125" s="94">
        <v>8.3699999999999997E-2</v>
      </c>
      <c r="H125" s="83">
        <v>0.14387501089099011</v>
      </c>
      <c r="I125" s="88">
        <v>20403.812594311152</v>
      </c>
      <c r="J125" s="99">
        <v>1778.822304299156</v>
      </c>
      <c r="K125" s="94">
        <v>5.0700000000000002E-2</v>
      </c>
      <c r="L125" s="83">
        <v>0.21147010235550759</v>
      </c>
      <c r="M125" s="88">
        <v>29989.894082654631</v>
      </c>
      <c r="N125" s="99">
        <v>2065.5250330565982</v>
      </c>
      <c r="O125" s="91">
        <v>5.2200000000000003E-2</v>
      </c>
      <c r="P125" s="83">
        <v>0.168923131956707</v>
      </c>
      <c r="Q125" s="92">
        <v>23956.04285931342</v>
      </c>
      <c r="R125" s="99">
        <v>419.13538614347641</v>
      </c>
      <c r="S125" s="87">
        <v>-3.0999999999999999E-3</v>
      </c>
      <c r="T125" s="83">
        <v>0.20894959421358761</v>
      </c>
      <c r="U125" s="92">
        <v>29632.445103490791</v>
      </c>
      <c r="V125" s="100">
        <v>-1243.541681195926</v>
      </c>
      <c r="W125" s="85">
        <f t="shared" si="2"/>
        <v>141816.23666232443</v>
      </c>
      <c r="X125" s="86">
        <f t="shared" si="3"/>
        <v>2.2786816136224575E-2</v>
      </c>
    </row>
    <row r="126" spans="2:24" x14ac:dyDescent="0.35">
      <c r="B126" s="96" t="s">
        <v>122</v>
      </c>
      <c r="C126" s="91">
        <v>5.7999999999999996E-3</v>
      </c>
      <c r="D126" s="83">
        <v>0.26931638060050711</v>
      </c>
      <c r="E126" s="88">
        <v>38053.479466285236</v>
      </c>
      <c r="F126" s="89">
        <v>0</v>
      </c>
      <c r="G126" s="93">
        <v>-3.32E-2</v>
      </c>
      <c r="H126" s="83">
        <v>0.13960994750139971</v>
      </c>
      <c r="I126" s="88">
        <v>19726.406016180019</v>
      </c>
      <c r="J126" s="89">
        <v>0</v>
      </c>
      <c r="K126" s="93">
        <v>-3.4000000000000002E-2</v>
      </c>
      <c r="L126" s="83">
        <v>0.20503143648301519</v>
      </c>
      <c r="M126" s="88">
        <v>28970.237683844371</v>
      </c>
      <c r="N126" s="89">
        <v>0</v>
      </c>
      <c r="O126" s="91">
        <v>2.7E-2</v>
      </c>
      <c r="P126" s="83">
        <v>0.17412210992883539</v>
      </c>
      <c r="Q126" s="92">
        <v>24602.856016514881</v>
      </c>
      <c r="R126" s="89">
        <v>0</v>
      </c>
      <c r="S126" s="91">
        <v>1.0500000000000001E-2</v>
      </c>
      <c r="T126" s="83">
        <v>0.21192012548624251</v>
      </c>
      <c r="U126" s="92">
        <v>29943.585777077438</v>
      </c>
      <c r="V126" s="89">
        <v>0</v>
      </c>
      <c r="W126" s="85">
        <f t="shared" si="2"/>
        <v>141296.56495990194</v>
      </c>
      <c r="X126" s="86">
        <f t="shared" si="3"/>
        <v>-3.6644020082120532E-3</v>
      </c>
    </row>
    <row r="127" spans="2:24" x14ac:dyDescent="0.35">
      <c r="B127" s="97" t="s">
        <v>123</v>
      </c>
      <c r="C127" s="87">
        <v>-1.8599999999999998E-2</v>
      </c>
      <c r="D127" s="83">
        <v>0.27246523911863169</v>
      </c>
      <c r="E127" s="88">
        <v>37345.684748212327</v>
      </c>
      <c r="F127" s="89">
        <v>0</v>
      </c>
      <c r="G127" s="93">
        <v>-2.06E-2</v>
      </c>
      <c r="H127" s="83">
        <v>0.1409544345762572</v>
      </c>
      <c r="I127" s="88">
        <v>19320.04205224671</v>
      </c>
      <c r="J127" s="89">
        <v>0</v>
      </c>
      <c r="K127" s="93">
        <v>-3.2399999999999998E-2</v>
      </c>
      <c r="L127" s="83">
        <v>0.20451190515422099</v>
      </c>
      <c r="M127" s="88">
        <v>28031.60198288782</v>
      </c>
      <c r="N127" s="89">
        <v>0</v>
      </c>
      <c r="O127" s="87">
        <v>-5.7000000000000002E-2</v>
      </c>
      <c r="P127" s="83">
        <v>0.16926528396654311</v>
      </c>
      <c r="Q127" s="92">
        <v>23200.49322357354</v>
      </c>
      <c r="R127" s="89">
        <v>0</v>
      </c>
      <c r="S127" s="87">
        <v>-2.5899999999999999E-2</v>
      </c>
      <c r="T127" s="83">
        <v>0.2128031371843471</v>
      </c>
      <c r="U127" s="92">
        <v>29168.04690545113</v>
      </c>
      <c r="V127" s="89">
        <v>0</v>
      </c>
      <c r="W127" s="85">
        <f t="shared" si="2"/>
        <v>137065.86891237152</v>
      </c>
      <c r="X127" s="86">
        <f t="shared" si="3"/>
        <v>-2.9941959655785277E-2</v>
      </c>
    </row>
    <row r="128" spans="2:24" x14ac:dyDescent="0.35">
      <c r="B128" s="96" t="s">
        <v>124</v>
      </c>
      <c r="C128" s="87">
        <v>-8.8999999999999999E-3</v>
      </c>
      <c r="D128" s="83">
        <v>0.271761331897514</v>
      </c>
      <c r="E128" s="88">
        <v>37013.308153953243</v>
      </c>
      <c r="F128" s="89">
        <v>0</v>
      </c>
      <c r="G128" s="94">
        <v>3.0999999999999999E-3</v>
      </c>
      <c r="H128" s="83">
        <v>0.1422925155364525</v>
      </c>
      <c r="I128" s="88">
        <v>19379.934182608678</v>
      </c>
      <c r="J128" s="89">
        <v>0</v>
      </c>
      <c r="K128" s="93">
        <v>-9.4000000000000004E-3</v>
      </c>
      <c r="L128" s="83">
        <v>0.20388064603940961</v>
      </c>
      <c r="M128" s="88">
        <v>27768.10492424867</v>
      </c>
      <c r="N128" s="89">
        <v>0</v>
      </c>
      <c r="O128" s="87">
        <v>-7.9000000000000008E-3</v>
      </c>
      <c r="P128" s="83">
        <v>0.1689983353360559</v>
      </c>
      <c r="Q128" s="92">
        <v>23017.20932710731</v>
      </c>
      <c r="R128" s="89">
        <v>0</v>
      </c>
      <c r="S128" s="87">
        <v>-5.1000000000000004E-3</v>
      </c>
      <c r="T128" s="83">
        <v>0.21306717119056789</v>
      </c>
      <c r="U128" s="92">
        <v>29019.289866233328</v>
      </c>
      <c r="V128" s="89">
        <v>0</v>
      </c>
      <c r="W128" s="85">
        <f t="shared" si="2"/>
        <v>136197.84645415124</v>
      </c>
      <c r="X128" s="86">
        <f t="shared" si="3"/>
        <v>-6.3328855323947497E-3</v>
      </c>
    </row>
    <row r="129" spans="2:24" x14ac:dyDescent="0.35">
      <c r="B129" s="97" t="s">
        <v>125</v>
      </c>
      <c r="C129" s="91">
        <v>1.9400000000000001E-2</v>
      </c>
      <c r="D129" s="83">
        <v>0.27568843163052498</v>
      </c>
      <c r="E129" s="88">
        <v>37731.366332139944</v>
      </c>
      <c r="F129" s="89">
        <v>0</v>
      </c>
      <c r="G129" s="94">
        <v>2.5399999999999999E-2</v>
      </c>
      <c r="H129" s="83">
        <v>0.14519833002180851</v>
      </c>
      <c r="I129" s="88">
        <v>19872.18451084695</v>
      </c>
      <c r="J129" s="89">
        <v>0</v>
      </c>
      <c r="K129" s="94">
        <v>1.47E-2</v>
      </c>
      <c r="L129" s="83">
        <v>0.20587324623734121</v>
      </c>
      <c r="M129" s="88">
        <v>28176.296066635128</v>
      </c>
      <c r="N129" s="89">
        <v>0</v>
      </c>
      <c r="O129" s="87">
        <v>-3.3000000000000002E-2</v>
      </c>
      <c r="P129" s="83">
        <v>0.1626279366792529</v>
      </c>
      <c r="Q129" s="92">
        <v>22257.64141931276</v>
      </c>
      <c r="R129" s="89">
        <v>0</v>
      </c>
      <c r="S129" s="87">
        <v>-6.7000000000000002E-3</v>
      </c>
      <c r="T129" s="83">
        <v>0.21061205543107239</v>
      </c>
      <c r="U129" s="92">
        <v>28824.86062412956</v>
      </c>
      <c r="V129" s="89">
        <v>0</v>
      </c>
      <c r="W129" s="85">
        <f t="shared" si="2"/>
        <v>136862.34895306433</v>
      </c>
      <c r="X129" s="86">
        <f t="shared" si="3"/>
        <v>4.878950117150227E-3</v>
      </c>
    </row>
    <row r="130" spans="2:24" x14ac:dyDescent="0.35">
      <c r="B130" s="96" t="s">
        <v>126</v>
      </c>
      <c r="C130" s="91">
        <v>9.1000000000000004E-3</v>
      </c>
      <c r="D130" s="83">
        <v>0.27579902092786429</v>
      </c>
      <c r="E130" s="88">
        <v>38074.721765762413</v>
      </c>
      <c r="F130" s="89">
        <v>0</v>
      </c>
      <c r="G130" s="93">
        <v>-1.4800000000000001E-2</v>
      </c>
      <c r="H130" s="83">
        <v>0.14181624951424909</v>
      </c>
      <c r="I130" s="88">
        <v>19578.076180086409</v>
      </c>
      <c r="J130" s="89">
        <v>0</v>
      </c>
      <c r="K130" s="93">
        <v>-1.3599999999999999E-2</v>
      </c>
      <c r="L130" s="83">
        <v>0.20132279325628871</v>
      </c>
      <c r="M130" s="88">
        <v>27793.098440128892</v>
      </c>
      <c r="N130" s="89">
        <v>0</v>
      </c>
      <c r="O130" s="91">
        <v>5.0599999999999999E-2</v>
      </c>
      <c r="P130" s="83">
        <v>0.1693840527133334</v>
      </c>
      <c r="Q130" s="92">
        <v>23383.878075129989</v>
      </c>
      <c r="R130" s="89">
        <v>0</v>
      </c>
      <c r="S130" s="91">
        <v>1.38E-2</v>
      </c>
      <c r="T130" s="83">
        <v>0.2116778835882645</v>
      </c>
      <c r="U130" s="92">
        <v>29222.643700742548</v>
      </c>
      <c r="V130" s="89">
        <v>0</v>
      </c>
      <c r="W130" s="85">
        <f t="shared" si="2"/>
        <v>138052.41816185025</v>
      </c>
      <c r="X130" s="86">
        <f t="shared" si="3"/>
        <v>8.6953732556063201E-3</v>
      </c>
    </row>
    <row r="131" spans="2:24" x14ac:dyDescent="0.35">
      <c r="B131" s="97" t="s">
        <v>127</v>
      </c>
      <c r="C131" s="91">
        <v>4.4999999999999997E-3</v>
      </c>
      <c r="D131" s="83">
        <v>0.26731834981997288</v>
      </c>
      <c r="E131" s="88">
        <v>36803.417442439582</v>
      </c>
      <c r="F131" s="100">
        <v>-1442.6405712687631</v>
      </c>
      <c r="G131" s="94">
        <v>2.4E-2</v>
      </c>
      <c r="H131" s="83">
        <v>0.1406909219072405</v>
      </c>
      <c r="I131" s="88">
        <v>19369.81405429493</v>
      </c>
      <c r="J131" s="100">
        <v>-678.13595411355345</v>
      </c>
      <c r="K131" s="94">
        <v>1.5699999999999999E-2</v>
      </c>
      <c r="L131" s="83">
        <v>0.20501956468625099</v>
      </c>
      <c r="M131" s="88">
        <v>28226.347454624229</v>
      </c>
      <c r="N131" s="100">
        <v>-3.102631014688086</v>
      </c>
      <c r="O131" s="87">
        <v>-1.4800000000000001E-2</v>
      </c>
      <c r="P131" s="83">
        <v>0.16634663480412651</v>
      </c>
      <c r="Q131" s="92">
        <v>22901.99922663108</v>
      </c>
      <c r="R131" s="100">
        <v>-135.7974529869862</v>
      </c>
      <c r="S131" s="87">
        <v>-3.7900000000000003E-2</v>
      </c>
      <c r="T131" s="83">
        <v>0.22062452878240921</v>
      </c>
      <c r="U131" s="92">
        <v>30374.782113868401</v>
      </c>
      <c r="V131" s="99">
        <v>2259.6766093839979</v>
      </c>
      <c r="W131" s="85">
        <f t="shared" si="2"/>
        <v>137676.3602918582</v>
      </c>
      <c r="X131" s="86">
        <f t="shared" si="3"/>
        <v>-2.7240223315114775E-3</v>
      </c>
    </row>
    <row r="132" spans="2:24" x14ac:dyDescent="0.35">
      <c r="B132" s="96" t="s">
        <v>128</v>
      </c>
      <c r="C132" s="91">
        <v>3.44E-2</v>
      </c>
      <c r="D132" s="83">
        <v>0.27273894318826258</v>
      </c>
      <c r="E132" s="88">
        <v>38069.455002459501</v>
      </c>
      <c r="F132" s="89">
        <v>0</v>
      </c>
      <c r="G132" s="94">
        <v>4.1200000000000001E-2</v>
      </c>
      <c r="H132" s="83">
        <v>0.1444874428147436</v>
      </c>
      <c r="I132" s="88">
        <v>20167.850393331879</v>
      </c>
      <c r="J132" s="89">
        <v>0</v>
      </c>
      <c r="K132" s="94">
        <v>1.37E-2</v>
      </c>
      <c r="L132" s="83">
        <v>0.2049909195056781</v>
      </c>
      <c r="M132" s="88">
        <v>28613.048414752579</v>
      </c>
      <c r="N132" s="89">
        <v>0</v>
      </c>
      <c r="O132" s="91">
        <v>1E-3</v>
      </c>
      <c r="P132" s="83">
        <v>0.16423963339196179</v>
      </c>
      <c r="Q132" s="92">
        <v>22924.90122585771</v>
      </c>
      <c r="R132" s="89">
        <v>0</v>
      </c>
      <c r="S132" s="87">
        <v>-1.8700000000000001E-2</v>
      </c>
      <c r="T132" s="83">
        <v>0.21354306109935381</v>
      </c>
      <c r="U132" s="92">
        <v>29806.773688339061</v>
      </c>
      <c r="V132" s="89">
        <v>0</v>
      </c>
      <c r="W132" s="85">
        <f t="shared" si="2"/>
        <v>139582.02872474073</v>
      </c>
      <c r="X132" s="86">
        <f t="shared" si="3"/>
        <v>1.3841653199160087E-2</v>
      </c>
    </row>
    <row r="133" spans="2:24" x14ac:dyDescent="0.35">
      <c r="B133" s="97" t="s">
        <v>129</v>
      </c>
      <c r="C133" s="91">
        <v>7.51E-2</v>
      </c>
      <c r="D133" s="83">
        <v>0.27769698966651041</v>
      </c>
      <c r="E133" s="88">
        <v>40928.47107314421</v>
      </c>
      <c r="F133" s="89">
        <v>0</v>
      </c>
      <c r="G133" s="94">
        <v>6.6500000000000004E-2</v>
      </c>
      <c r="H133" s="83">
        <v>0.14593723757380259</v>
      </c>
      <c r="I133" s="88">
        <v>21509.01244448845</v>
      </c>
      <c r="J133" s="89">
        <v>0</v>
      </c>
      <c r="K133" s="94">
        <v>7.8700000000000006E-2</v>
      </c>
      <c r="L133" s="83">
        <v>0.20941628879332161</v>
      </c>
      <c r="M133" s="88">
        <v>30864.895324993609</v>
      </c>
      <c r="N133" s="89">
        <v>0</v>
      </c>
      <c r="O133" s="91">
        <v>2.5399999999999999E-2</v>
      </c>
      <c r="P133" s="83">
        <v>0.1594947663461643</v>
      </c>
      <c r="Q133" s="92">
        <v>23507.193716994501</v>
      </c>
      <c r="R133" s="89">
        <v>0</v>
      </c>
      <c r="S133" s="91">
        <v>2.58E-2</v>
      </c>
      <c r="T133" s="83">
        <v>0.2074547176202014</v>
      </c>
      <c r="U133" s="92">
        <v>30575.78844949821</v>
      </c>
      <c r="V133" s="89">
        <v>0</v>
      </c>
      <c r="W133" s="85">
        <f t="shared" si="2"/>
        <v>147385.36100911899</v>
      </c>
      <c r="X133" s="86">
        <f t="shared" si="3"/>
        <v>5.5904992610235293E-2</v>
      </c>
    </row>
    <row r="134" spans="2:24" x14ac:dyDescent="0.35">
      <c r="B134" s="96" t="s">
        <v>130</v>
      </c>
      <c r="C134" s="91">
        <v>6.0000000000000001E-3</v>
      </c>
      <c r="D134" s="83">
        <v>0.2852970657794574</v>
      </c>
      <c r="E134" s="88">
        <v>41174.041899583077</v>
      </c>
      <c r="F134" s="89">
        <v>0</v>
      </c>
      <c r="G134" s="94">
        <v>8.3999999999999995E-3</v>
      </c>
      <c r="H134" s="83">
        <v>0.15028897094142579</v>
      </c>
      <c r="I134" s="88">
        <v>21689.688149022149</v>
      </c>
      <c r="J134" s="89">
        <v>0</v>
      </c>
      <c r="K134" s="93">
        <v>-3.5000000000000001E-3</v>
      </c>
      <c r="L134" s="83">
        <v>0.21311593039517179</v>
      </c>
      <c r="M134" s="88">
        <v>30756.86819135613</v>
      </c>
      <c r="N134" s="89">
        <v>0</v>
      </c>
      <c r="O134" s="87">
        <v>-4.5999999999999999E-2</v>
      </c>
      <c r="P134" s="83">
        <v>0.15538996321351911</v>
      </c>
      <c r="Q134" s="92">
        <v>22425.862806012748</v>
      </c>
      <c r="R134" s="89">
        <v>0</v>
      </c>
      <c r="S134" s="87">
        <v>-7.5300000000000006E-2</v>
      </c>
      <c r="T134" s="83">
        <v>0.19590806967042601</v>
      </c>
      <c r="U134" s="92">
        <v>28273.431579250999</v>
      </c>
      <c r="V134" s="89">
        <v>0</v>
      </c>
      <c r="W134" s="85">
        <f t="shared" si="2"/>
        <v>144319.8926252251</v>
      </c>
      <c r="X134" s="86">
        <f t="shared" si="3"/>
        <v>-2.0799001765882452E-2</v>
      </c>
    </row>
    <row r="135" spans="2:24" x14ac:dyDescent="0.35">
      <c r="B135" s="97" t="s">
        <v>131</v>
      </c>
      <c r="C135" s="91">
        <v>7.6799999999999993E-2</v>
      </c>
      <c r="D135" s="83">
        <v>0.29436136784756972</v>
      </c>
      <c r="E135" s="88">
        <v>44336.208317471057</v>
      </c>
      <c r="F135" s="89">
        <v>0</v>
      </c>
      <c r="G135" s="94">
        <v>7.9600000000000004E-2</v>
      </c>
      <c r="H135" s="83">
        <v>0.15546708193012501</v>
      </c>
      <c r="I135" s="88">
        <v>23416.187325684321</v>
      </c>
      <c r="J135" s="89">
        <v>0</v>
      </c>
      <c r="K135" s="94">
        <v>6.2799999999999995E-2</v>
      </c>
      <c r="L135" s="83">
        <v>0.2170280761205832</v>
      </c>
      <c r="M135" s="88">
        <v>32688.3995137733</v>
      </c>
      <c r="N135" s="89">
        <v>0</v>
      </c>
      <c r="O135" s="91">
        <v>4.6199999999999998E-2</v>
      </c>
      <c r="P135" s="83">
        <v>0.1557708321548677</v>
      </c>
      <c r="Q135" s="92">
        <v>23461.937667650542</v>
      </c>
      <c r="R135" s="89">
        <v>0</v>
      </c>
      <c r="S135" s="87">
        <v>-5.5100000000000003E-2</v>
      </c>
      <c r="T135" s="83">
        <v>0.1773726419468544</v>
      </c>
      <c r="U135" s="92">
        <v>26715.565499234272</v>
      </c>
      <c r="V135" s="89">
        <v>0</v>
      </c>
      <c r="W135" s="85">
        <f t="shared" si="2"/>
        <v>150618.29832381348</v>
      </c>
      <c r="X135" s="86">
        <f t="shared" si="3"/>
        <v>4.3641978829240813E-2</v>
      </c>
    </row>
    <row r="136" spans="2:24" x14ac:dyDescent="0.35">
      <c r="B136" s="96" t="s">
        <v>132</v>
      </c>
      <c r="C136" s="91">
        <v>4.6699999999999998E-2</v>
      </c>
      <c r="D136" s="83">
        <v>0.29892619519529179</v>
      </c>
      <c r="E136" s="88">
        <v>46406.709245896956</v>
      </c>
      <c r="F136" s="89">
        <v>0</v>
      </c>
      <c r="G136" s="94">
        <v>8.0600000000000005E-2</v>
      </c>
      <c r="H136" s="83">
        <v>0.16299127164776289</v>
      </c>
      <c r="I136" s="88">
        <v>25303.532024134471</v>
      </c>
      <c r="J136" s="89">
        <v>0</v>
      </c>
      <c r="K136" s="94">
        <v>4.9200000000000001E-2</v>
      </c>
      <c r="L136" s="83">
        <v>0.22092005379914281</v>
      </c>
      <c r="M136" s="88">
        <v>34296.668769850941</v>
      </c>
      <c r="N136" s="89">
        <v>0</v>
      </c>
      <c r="O136" s="91">
        <v>6.6299999999999998E-2</v>
      </c>
      <c r="P136" s="83">
        <v>0.16114858150551009</v>
      </c>
      <c r="Q136" s="92">
        <v>25017.464135015769</v>
      </c>
      <c r="R136" s="89">
        <v>0</v>
      </c>
      <c r="S136" s="87">
        <v>-9.3399999999999997E-2</v>
      </c>
      <c r="T136" s="83">
        <v>0.15601389785229239</v>
      </c>
      <c r="U136" s="92">
        <v>24220.331681605781</v>
      </c>
      <c r="V136" s="89">
        <v>0</v>
      </c>
      <c r="W136" s="85">
        <f t="shared" si="2"/>
        <v>155244.70585650392</v>
      </c>
      <c r="X136" s="86">
        <f t="shared" si="3"/>
        <v>3.0716105441213726E-2</v>
      </c>
    </row>
    <row r="137" spans="2:24" x14ac:dyDescent="0.35">
      <c r="B137" s="97" t="s">
        <v>133</v>
      </c>
      <c r="C137" s="87">
        <v>-4.8000000000000001E-2</v>
      </c>
      <c r="D137" s="83">
        <v>0.24058212879600491</v>
      </c>
      <c r="E137" s="88">
        <v>37285.965390415236</v>
      </c>
      <c r="F137" s="100">
        <v>-6893.2218116786526</v>
      </c>
      <c r="G137" s="94">
        <v>7.8899999999999998E-2</v>
      </c>
      <c r="H137" s="83">
        <v>0.1796284950720575</v>
      </c>
      <c r="I137" s="88">
        <v>27839.23263089994</v>
      </c>
      <c r="J137" s="99">
        <v>539.25193006125482</v>
      </c>
      <c r="K137" s="94">
        <v>2.47E-2</v>
      </c>
      <c r="L137" s="83">
        <v>0.23320780656501031</v>
      </c>
      <c r="M137" s="88">
        <v>36143.076162280682</v>
      </c>
      <c r="N137" s="99">
        <v>999.27967381442431</v>
      </c>
      <c r="O137" s="91">
        <v>6.4699999999999994E-2</v>
      </c>
      <c r="P137" s="83">
        <v>0.16905889575584421</v>
      </c>
      <c r="Q137" s="92">
        <v>26201.132094226039</v>
      </c>
      <c r="R137" s="100">
        <v>-434.96197032525379</v>
      </c>
      <c r="S137" s="87">
        <v>-0.1031</v>
      </c>
      <c r="T137" s="83">
        <v>0.17752267381108319</v>
      </c>
      <c r="U137" s="92">
        <v>27512.867663360459</v>
      </c>
      <c r="V137" s="99">
        <v>5789.6521781282281</v>
      </c>
      <c r="W137" s="85">
        <f t="shared" si="2"/>
        <v>154982.27394118236</v>
      </c>
      <c r="X137" s="86">
        <f t="shared" si="3"/>
        <v>-1.6904403526915024E-3</v>
      </c>
    </row>
    <row r="138" spans="2:24" x14ac:dyDescent="0.35">
      <c r="B138" s="96" t="s">
        <v>134</v>
      </c>
      <c r="C138" s="91">
        <v>0.17510000000000001</v>
      </c>
      <c r="D138" s="83">
        <v>0.25454487537548021</v>
      </c>
      <c r="E138" s="88">
        <v>43814.737930276962</v>
      </c>
      <c r="F138" s="89">
        <v>0</v>
      </c>
      <c r="G138" s="94">
        <v>4.3499999999999997E-2</v>
      </c>
      <c r="H138" s="83">
        <v>0.16876945701178989</v>
      </c>
      <c r="I138" s="88">
        <v>29050.23925034409</v>
      </c>
      <c r="J138" s="89">
        <v>0</v>
      </c>
      <c r="K138" s="94">
        <v>8.4699999999999998E-2</v>
      </c>
      <c r="L138" s="83">
        <v>0.22776075443676921</v>
      </c>
      <c r="M138" s="88">
        <v>39204.394713225847</v>
      </c>
      <c r="N138" s="89">
        <v>0</v>
      </c>
      <c r="O138" s="91">
        <v>5.3100000000000001E-2</v>
      </c>
      <c r="P138" s="83">
        <v>0.1603001058246693</v>
      </c>
      <c r="Q138" s="92">
        <v>27592.412208429439</v>
      </c>
      <c r="R138" s="89">
        <v>0</v>
      </c>
      <c r="S138" s="91">
        <v>0.18010000000000001</v>
      </c>
      <c r="T138" s="83">
        <v>0.1886248073512915</v>
      </c>
      <c r="U138" s="92">
        <v>32467.935129531681</v>
      </c>
      <c r="V138" s="89">
        <v>0</v>
      </c>
      <c r="W138" s="85">
        <f t="shared" si="2"/>
        <v>172129.71923180803</v>
      </c>
      <c r="X138" s="86">
        <f t="shared" si="3"/>
        <v>0.1106413324218829</v>
      </c>
    </row>
    <row r="139" spans="2:24" x14ac:dyDescent="0.35">
      <c r="B139" s="97" t="s">
        <v>135</v>
      </c>
      <c r="C139" s="91">
        <v>9.1300000000000006E-2</v>
      </c>
      <c r="D139" s="83">
        <v>0.25461070950874942</v>
      </c>
      <c r="E139" s="88">
        <v>47815.02350331124</v>
      </c>
      <c r="F139" s="89">
        <v>0</v>
      </c>
      <c r="G139" s="94">
        <v>0.1206</v>
      </c>
      <c r="H139" s="83">
        <v>0.1733455212210171</v>
      </c>
      <c r="I139" s="88">
        <v>32553.698103935589</v>
      </c>
      <c r="J139" s="89">
        <v>0</v>
      </c>
      <c r="K139" s="94">
        <v>0.1183</v>
      </c>
      <c r="L139" s="83">
        <v>0.2334561781318894</v>
      </c>
      <c r="M139" s="88">
        <v>43842.274607800478</v>
      </c>
      <c r="N139" s="89">
        <v>0</v>
      </c>
      <c r="O139" s="91">
        <v>8.3400000000000002E-2</v>
      </c>
      <c r="P139" s="83">
        <v>0.1591808407515018</v>
      </c>
      <c r="Q139" s="92">
        <v>29893.619386612449</v>
      </c>
      <c r="R139" s="89">
        <v>0</v>
      </c>
      <c r="S139" s="91">
        <v>3.7699999999999997E-2</v>
      </c>
      <c r="T139" s="83">
        <v>0.1794067503868424</v>
      </c>
      <c r="U139" s="92">
        <v>33691.976283915021</v>
      </c>
      <c r="V139" s="89">
        <v>0</v>
      </c>
      <c r="W139" s="85">
        <f t="shared" si="2"/>
        <v>187796.59188557477</v>
      </c>
      <c r="X139" s="86">
        <f t="shared" si="3"/>
        <v>9.1017824950194059E-2</v>
      </c>
    </row>
    <row r="140" spans="2:24" x14ac:dyDescent="0.35">
      <c r="B140" s="96" t="s">
        <v>136</v>
      </c>
      <c r="C140" s="87">
        <v>-7.7299999999999994E-2</v>
      </c>
      <c r="D140" s="83">
        <v>0.25331244222333982</v>
      </c>
      <c r="E140" s="88">
        <v>44118.922186505282</v>
      </c>
      <c r="F140" s="89">
        <v>0</v>
      </c>
      <c r="G140" s="93">
        <v>-0.1183</v>
      </c>
      <c r="H140" s="83">
        <v>0.16479832765337171</v>
      </c>
      <c r="I140" s="88">
        <v>28702.595618240011</v>
      </c>
      <c r="J140" s="89">
        <v>0</v>
      </c>
      <c r="K140" s="93">
        <v>-9.2399999999999996E-2</v>
      </c>
      <c r="L140" s="83">
        <v>0.2284647452930143</v>
      </c>
      <c r="M140" s="88">
        <v>39791.248434039713</v>
      </c>
      <c r="N140" s="89">
        <v>0</v>
      </c>
      <c r="O140" s="87">
        <v>-8.4599999999999995E-2</v>
      </c>
      <c r="P140" s="83">
        <v>0.15711622526366911</v>
      </c>
      <c r="Q140" s="92">
        <v>27364.619186505039</v>
      </c>
      <c r="R140" s="89">
        <v>0</v>
      </c>
      <c r="S140" s="91">
        <v>1.4800000000000001E-2</v>
      </c>
      <c r="T140" s="83">
        <v>0.19630825956660519</v>
      </c>
      <c r="U140" s="92">
        <v>34190.617532916956</v>
      </c>
      <c r="V140" s="89">
        <v>0</v>
      </c>
      <c r="W140" s="85">
        <f t="shared" si="2"/>
        <v>174168.00295820698</v>
      </c>
      <c r="X140" s="86">
        <f t="shared" si="3"/>
        <v>-7.25710130867111E-2</v>
      </c>
    </row>
    <row r="141" spans="2:24" x14ac:dyDescent="0.35">
      <c r="B141" s="97" t="s">
        <v>137</v>
      </c>
      <c r="C141" s="91">
        <v>8.2199999999999995E-2</v>
      </c>
      <c r="D141" s="83">
        <v>0.25760438654337159</v>
      </c>
      <c r="E141" s="88">
        <v>47745.497590236017</v>
      </c>
      <c r="F141" s="89">
        <v>0</v>
      </c>
      <c r="G141" s="94">
        <v>4.3400000000000001E-2</v>
      </c>
      <c r="H141" s="83">
        <v>0.16158194629221609</v>
      </c>
      <c r="I141" s="88">
        <v>29948.288268071628</v>
      </c>
      <c r="J141" s="89">
        <v>0</v>
      </c>
      <c r="K141" s="94">
        <v>6.4899999999999999E-2</v>
      </c>
      <c r="L141" s="83">
        <v>0.2286215803128557</v>
      </c>
      <c r="M141" s="88">
        <v>42373.700457408893</v>
      </c>
      <c r="N141" s="89">
        <v>0</v>
      </c>
      <c r="O141" s="91">
        <v>7.6399999999999996E-2</v>
      </c>
      <c r="P141" s="83">
        <v>0.15892196565542149</v>
      </c>
      <c r="Q141" s="92">
        <v>29455.276092354019</v>
      </c>
      <c r="R141" s="89">
        <v>0</v>
      </c>
      <c r="S141" s="91">
        <v>4.7699999999999999E-2</v>
      </c>
      <c r="T141" s="83">
        <v>0.19327012119613499</v>
      </c>
      <c r="U141" s="92">
        <v>35821.509989237107</v>
      </c>
      <c r="V141" s="89">
        <v>0</v>
      </c>
      <c r="W141" s="85">
        <f t="shared" si="2"/>
        <v>185344.27239730768</v>
      </c>
      <c r="X141" s="86">
        <f t="shared" si="3"/>
        <v>6.4169475731903125E-2</v>
      </c>
    </row>
    <row r="142" spans="2:24" x14ac:dyDescent="0.35">
      <c r="B142" s="96" t="s">
        <v>138</v>
      </c>
      <c r="C142" s="87">
        <v>-3.49E-2</v>
      </c>
      <c r="D142" s="83">
        <v>0.25712270152664218</v>
      </c>
      <c r="E142" s="88">
        <v>46079.179724336776</v>
      </c>
      <c r="F142" s="89">
        <v>0</v>
      </c>
      <c r="G142" s="93">
        <v>-5.6399999999999999E-2</v>
      </c>
      <c r="H142" s="83">
        <v>0.15768690170152111</v>
      </c>
      <c r="I142" s="88">
        <v>28259.204809752391</v>
      </c>
      <c r="J142" s="89">
        <v>0</v>
      </c>
      <c r="K142" s="93">
        <v>-3.1800000000000002E-2</v>
      </c>
      <c r="L142" s="83">
        <v>0.22892707196035719</v>
      </c>
      <c r="M142" s="88">
        <v>41026.216782863281</v>
      </c>
      <c r="N142" s="89">
        <v>0</v>
      </c>
      <c r="O142" s="87">
        <v>-2.8500000000000001E-2</v>
      </c>
      <c r="P142" s="83">
        <v>0.1596767137012513</v>
      </c>
      <c r="Q142" s="92">
        <v>28615.800723721932</v>
      </c>
      <c r="R142" s="89">
        <v>0</v>
      </c>
      <c r="S142" s="87">
        <v>-1.6500000000000001E-2</v>
      </c>
      <c r="T142" s="83">
        <v>0.19658661111022821</v>
      </c>
      <c r="U142" s="92">
        <v>35230.455074414698</v>
      </c>
      <c r="V142" s="89">
        <v>0</v>
      </c>
      <c r="W142" s="85">
        <f t="shared" si="2"/>
        <v>179210.85711508908</v>
      </c>
      <c r="X142" s="86">
        <f t="shared" si="3"/>
        <v>-3.3092014136109293E-2</v>
      </c>
    </row>
    <row r="143" spans="2:24" x14ac:dyDescent="0.35">
      <c r="B143" s="97" t="s">
        <v>139</v>
      </c>
      <c r="C143" s="91">
        <v>0.10249999999999999</v>
      </c>
      <c r="D143" s="83">
        <v>0.20546484574311469</v>
      </c>
      <c r="E143" s="88">
        <v>38877.065909960729</v>
      </c>
      <c r="F143" s="100">
        <v>-11925.229736120569</v>
      </c>
      <c r="G143" s="94">
        <v>0.1278</v>
      </c>
      <c r="H143" s="83">
        <v>0.20540677551041411</v>
      </c>
      <c r="I143" s="88">
        <v>38866.078140953607</v>
      </c>
      <c r="J143" s="99">
        <v>6995.3469565148698</v>
      </c>
      <c r="K143" s="94">
        <v>9.5899999999999999E-2</v>
      </c>
      <c r="L143" s="83">
        <v>0.23824151490405679</v>
      </c>
      <c r="M143" s="88">
        <v>45078.908968174612</v>
      </c>
      <c r="N143" s="99">
        <v>118.27799583473821</v>
      </c>
      <c r="O143" s="91">
        <v>9.4999999999999998E-3</v>
      </c>
      <c r="P143" s="83">
        <v>0.18027096803434919</v>
      </c>
      <c r="Q143" s="92">
        <v>34110.002032591867</v>
      </c>
      <c r="R143" s="99">
        <v>5222.3512019945811</v>
      </c>
      <c r="S143" s="87">
        <v>-7.1999999999999995E-2</v>
      </c>
      <c r="T143" s="83">
        <v>0.1706158958080651</v>
      </c>
      <c r="U143" s="92">
        <v>32283.115890833211</v>
      </c>
      <c r="V143" s="100">
        <v>-410.74641822363259</v>
      </c>
      <c r="W143" s="85">
        <f t="shared" si="2"/>
        <v>189215.17094251403</v>
      </c>
      <c r="X143" s="86">
        <f t="shared" si="3"/>
        <v>5.5824261925158769E-2</v>
      </c>
    </row>
    <row r="144" spans="2:24" x14ac:dyDescent="0.35">
      <c r="B144" s="96" t="s">
        <v>140</v>
      </c>
      <c r="C144" s="87">
        <v>-4.5999999999999999E-3</v>
      </c>
      <c r="D144" s="83">
        <v>0.19415645649232549</v>
      </c>
      <c r="E144" s="88">
        <v>38698.23140677491</v>
      </c>
      <c r="F144" s="89">
        <v>0</v>
      </c>
      <c r="G144" s="94">
        <v>5.2200000000000003E-2</v>
      </c>
      <c r="H144" s="83">
        <v>0.20517750143776639</v>
      </c>
      <c r="I144" s="88">
        <v>40894.887419911392</v>
      </c>
      <c r="J144" s="89">
        <v>0</v>
      </c>
      <c r="K144" s="94">
        <v>6.0999999999999999E-2</v>
      </c>
      <c r="L144" s="83">
        <v>0.23996588280959541</v>
      </c>
      <c r="M144" s="88">
        <v>47828.722415233256</v>
      </c>
      <c r="N144" s="89">
        <v>0</v>
      </c>
      <c r="O144" s="91">
        <v>0.1</v>
      </c>
      <c r="P144" s="83">
        <v>0.188250071730102</v>
      </c>
      <c r="Q144" s="92">
        <v>37521.002235851061</v>
      </c>
      <c r="R144" s="89">
        <v>0</v>
      </c>
      <c r="S144" s="91">
        <v>6.4699999999999994E-2</v>
      </c>
      <c r="T144" s="83">
        <v>0.17245008753021071</v>
      </c>
      <c r="U144" s="92">
        <v>34371.833488970107</v>
      </c>
      <c r="V144" s="89">
        <v>0</v>
      </c>
      <c r="W144" s="85">
        <f t="shared" si="2"/>
        <v>199314.67696674075</v>
      </c>
      <c r="X144" s="86">
        <f t="shared" si="3"/>
        <v>5.3375773062589671E-2</v>
      </c>
    </row>
    <row r="145" spans="2:24" x14ac:dyDescent="0.35">
      <c r="B145" s="97" t="s">
        <v>141</v>
      </c>
      <c r="C145" s="91">
        <v>0.1043</v>
      </c>
      <c r="D145" s="83">
        <v>0.19127301720005241</v>
      </c>
      <c r="E145" s="88">
        <v>42734.456942501543</v>
      </c>
      <c r="F145" s="89">
        <v>0</v>
      </c>
      <c r="G145" s="94">
        <v>0.15409999999999999</v>
      </c>
      <c r="H145" s="83">
        <v>0.21124574849771929</v>
      </c>
      <c r="I145" s="88">
        <v>47196.789571319743</v>
      </c>
      <c r="J145" s="89">
        <v>0</v>
      </c>
      <c r="K145" s="94">
        <v>0.15040000000000001</v>
      </c>
      <c r="L145" s="83">
        <v>0.24627094252634441</v>
      </c>
      <c r="M145" s="88">
        <v>55022.162266484353</v>
      </c>
      <c r="N145" s="89">
        <v>0</v>
      </c>
      <c r="O145" s="91">
        <v>0.1145</v>
      </c>
      <c r="P145" s="83">
        <v>0.18716732025686911</v>
      </c>
      <c r="Q145" s="92">
        <v>41817.156991856013</v>
      </c>
      <c r="R145" s="89">
        <v>0</v>
      </c>
      <c r="S145" s="91">
        <v>6.6299999999999998E-2</v>
      </c>
      <c r="T145" s="83">
        <v>0.16404297151901481</v>
      </c>
      <c r="U145" s="92">
        <v>36650.686049288837</v>
      </c>
      <c r="V145" s="89">
        <v>0</v>
      </c>
      <c r="W145" s="85">
        <f t="shared" si="2"/>
        <v>223421.25182145048</v>
      </c>
      <c r="X145" s="86">
        <f t="shared" si="3"/>
        <v>0.12094731417462223</v>
      </c>
    </row>
    <row r="146" spans="2:24" x14ac:dyDescent="0.35">
      <c r="B146" s="96" t="s">
        <v>142</v>
      </c>
      <c r="C146" s="91">
        <v>2.5499999999999998E-2</v>
      </c>
      <c r="D146" s="83">
        <v>0.20366378785635489</v>
      </c>
      <c r="E146" s="88">
        <v>43824.185594535331</v>
      </c>
      <c r="F146" s="89">
        <v>0</v>
      </c>
      <c r="G146" s="93">
        <v>-5.8900000000000001E-2</v>
      </c>
      <c r="H146" s="83">
        <v>0.20641829857962421</v>
      </c>
      <c r="I146" s="88">
        <v>44416.898665569002</v>
      </c>
      <c r="J146" s="89">
        <v>0</v>
      </c>
      <c r="K146" s="93">
        <v>-6.0499999999999998E-2</v>
      </c>
      <c r="L146" s="83">
        <v>0.24023396009362541</v>
      </c>
      <c r="M146" s="88">
        <v>51693.321449362047</v>
      </c>
      <c r="N146" s="89">
        <v>0</v>
      </c>
      <c r="O146" s="87">
        <v>-3.0099999999999998E-2</v>
      </c>
      <c r="P146" s="83">
        <v>0.18848701000403481</v>
      </c>
      <c r="Q146" s="92">
        <v>40558.460566401147</v>
      </c>
      <c r="R146" s="89">
        <v>0</v>
      </c>
      <c r="S146" s="87">
        <v>-5.3600000000000002E-2</v>
      </c>
      <c r="T146" s="83">
        <v>0.1611969434663609</v>
      </c>
      <c r="U146" s="92">
        <v>34686.209277046954</v>
      </c>
      <c r="V146" s="89">
        <v>0</v>
      </c>
      <c r="W146" s="85">
        <f t="shared" si="2"/>
        <v>215179.07555291447</v>
      </c>
      <c r="X146" s="86">
        <f t="shared" si="3"/>
        <v>-3.689074428390926E-2</v>
      </c>
    </row>
    <row r="147" spans="2:24" x14ac:dyDescent="0.35">
      <c r="B147" s="97" t="s">
        <v>143</v>
      </c>
      <c r="C147" s="91">
        <v>1E-4</v>
      </c>
      <c r="D147" s="83">
        <v>0.21027461227733549</v>
      </c>
      <c r="E147" s="88">
        <v>43828.56801309478</v>
      </c>
      <c r="F147" s="89">
        <v>0</v>
      </c>
      <c r="G147" s="93">
        <v>-1.12E-2</v>
      </c>
      <c r="H147" s="83">
        <v>0.21071053441389681</v>
      </c>
      <c r="I147" s="88">
        <v>43919.429400514629</v>
      </c>
      <c r="J147" s="89">
        <v>0</v>
      </c>
      <c r="K147" s="93">
        <v>-6.1999999999999998E-3</v>
      </c>
      <c r="L147" s="83">
        <v>0.2464693896567472</v>
      </c>
      <c r="M147" s="88">
        <v>51372.822856376013</v>
      </c>
      <c r="N147" s="89">
        <v>0</v>
      </c>
      <c r="O147" s="87">
        <v>-6.7799999999999999E-2</v>
      </c>
      <c r="P147" s="83">
        <v>0.1813928317241183</v>
      </c>
      <c r="Q147" s="92">
        <v>37808.596939999152</v>
      </c>
      <c r="R147" s="89">
        <v>0</v>
      </c>
      <c r="S147" s="87">
        <v>-9.1700000000000004E-2</v>
      </c>
      <c r="T147" s="83">
        <v>0.1511526319279024</v>
      </c>
      <c r="U147" s="92">
        <v>31505.48388634175</v>
      </c>
      <c r="V147" s="89">
        <v>0</v>
      </c>
      <c r="W147" s="85">
        <f t="shared" si="2"/>
        <v>208434.9010963263</v>
      </c>
      <c r="X147" s="86">
        <f t="shared" si="3"/>
        <v>-3.1342148112025514E-2</v>
      </c>
    </row>
    <row r="148" spans="2:24" x14ac:dyDescent="0.35">
      <c r="B148" s="96" t="s">
        <v>144</v>
      </c>
      <c r="C148" s="91">
        <v>1.18E-2</v>
      </c>
      <c r="D148" s="83">
        <v>0.21082864835177359</v>
      </c>
      <c r="E148" s="88">
        <v>44345.745115649297</v>
      </c>
      <c r="F148" s="89">
        <v>0</v>
      </c>
      <c r="G148" s="94">
        <v>2.2499999999999999E-2</v>
      </c>
      <c r="H148" s="83">
        <v>0.21349989893687871</v>
      </c>
      <c r="I148" s="88">
        <v>44907.616562026204</v>
      </c>
      <c r="J148" s="89">
        <v>0</v>
      </c>
      <c r="K148" s="94">
        <v>2.1999999999999999E-2</v>
      </c>
      <c r="L148" s="83">
        <v>0.24961000785224779</v>
      </c>
      <c r="M148" s="88">
        <v>52503.02495921628</v>
      </c>
      <c r="N148" s="89">
        <v>0</v>
      </c>
      <c r="O148" s="91">
        <v>2.6599999999999999E-2</v>
      </c>
      <c r="P148" s="83">
        <v>0.18453106535794719</v>
      </c>
      <c r="Q148" s="92">
        <v>38814.305618603117</v>
      </c>
      <c r="R148" s="89">
        <v>0</v>
      </c>
      <c r="S148" s="87">
        <v>-5.5100000000000003E-2</v>
      </c>
      <c r="T148" s="83">
        <v>0.1415303795011528</v>
      </c>
      <c r="U148" s="92">
        <v>29769.53172420432</v>
      </c>
      <c r="V148" s="89">
        <v>0</v>
      </c>
      <c r="W148" s="85">
        <f t="shared" si="2"/>
        <v>210340.22397969922</v>
      </c>
      <c r="X148" s="86">
        <f t="shared" si="3"/>
        <v>9.1410933262678906E-3</v>
      </c>
    </row>
    <row r="149" spans="2:24" x14ac:dyDescent="0.35">
      <c r="B149" s="97" t="s">
        <v>145</v>
      </c>
      <c r="C149" s="87">
        <v>-2.3800000000000002E-2</v>
      </c>
      <c r="D149" s="83">
        <v>0.21866586635994931</v>
      </c>
      <c r="E149" s="88">
        <v>47862.796288845602</v>
      </c>
      <c r="F149" s="99">
        <v>4572.4799069487644</v>
      </c>
      <c r="G149" s="94">
        <v>8.5599999999999996E-2</v>
      </c>
      <c r="H149" s="83">
        <v>0.1962181221224136</v>
      </c>
      <c r="I149" s="88">
        <v>42949.309664386928</v>
      </c>
      <c r="J149" s="100">
        <v>-5802.3988753487138</v>
      </c>
      <c r="K149" s="94">
        <v>6.2600000000000003E-2</v>
      </c>
      <c r="L149" s="83">
        <v>0.2206771338281302</v>
      </c>
      <c r="M149" s="88">
        <v>48303.033655172643</v>
      </c>
      <c r="N149" s="100">
        <v>-7486.6806664905744</v>
      </c>
      <c r="O149" s="91">
        <v>8.3500000000000005E-2</v>
      </c>
      <c r="P149" s="83">
        <v>0.1848088018879209</v>
      </c>
      <c r="Q149" s="92">
        <v>40451.974441161838</v>
      </c>
      <c r="R149" s="100">
        <v>-1603.325696594635</v>
      </c>
      <c r="S149" s="87">
        <v>-2.5899999999999999E-2</v>
      </c>
      <c r="T149" s="83">
        <v>0.17963007580158591</v>
      </c>
      <c r="U149" s="92">
        <v>39318.426184032578</v>
      </c>
      <c r="V149" s="99">
        <v>10319.925331485159</v>
      </c>
      <c r="W149" s="85">
        <f t="shared" si="2"/>
        <v>218885.54023359958</v>
      </c>
      <c r="X149" s="86">
        <f t="shared" si="3"/>
        <v>4.062616313808376E-2</v>
      </c>
    </row>
    <row r="150" spans="2:24" x14ac:dyDescent="0.35">
      <c r="B150" s="96" t="s">
        <v>146</v>
      </c>
      <c r="C150" s="87">
        <v>-2.1499999999999998E-2</v>
      </c>
      <c r="D150" s="83">
        <v>0.21268455270333469</v>
      </c>
      <c r="E150" s="88">
        <v>46833.746168635422</v>
      </c>
      <c r="F150" s="89">
        <v>0</v>
      </c>
      <c r="G150" s="94">
        <v>1.0999999999999999E-2</v>
      </c>
      <c r="H150" s="83">
        <v>0.19718977601103529</v>
      </c>
      <c r="I150" s="88">
        <v>43421.752070695176</v>
      </c>
      <c r="J150" s="89">
        <v>0</v>
      </c>
      <c r="K150" s="93">
        <v>-4.3E-3</v>
      </c>
      <c r="L150" s="83">
        <v>0.21841374467828001</v>
      </c>
      <c r="M150" s="88">
        <v>48095.330610455399</v>
      </c>
      <c r="N150" s="89">
        <v>0</v>
      </c>
      <c r="O150" s="91">
        <v>8.8200000000000001E-2</v>
      </c>
      <c r="P150" s="83">
        <v>0.19990584665618519</v>
      </c>
      <c r="Q150" s="92">
        <v>44019.83858687232</v>
      </c>
      <c r="R150" s="89">
        <v>0</v>
      </c>
      <c r="S150" s="87">
        <v>-3.78E-2</v>
      </c>
      <c r="T150" s="83">
        <v>0.1718060799511649</v>
      </c>
      <c r="U150" s="92">
        <v>37832.189674276153</v>
      </c>
      <c r="V150" s="89">
        <v>0</v>
      </c>
      <c r="W150" s="85">
        <f t="shared" si="2"/>
        <v>220202.85711093451</v>
      </c>
      <c r="X150" s="86">
        <f t="shared" si="3"/>
        <v>6.0182910023616198E-3</v>
      </c>
    </row>
    <row r="151" spans="2:24" x14ac:dyDescent="0.35">
      <c r="B151" s="97" t="s">
        <v>147</v>
      </c>
      <c r="C151" s="87">
        <v>-3.6799999999999999E-2</v>
      </c>
      <c r="D151" s="83">
        <v>0.22234459962824649</v>
      </c>
      <c r="E151" s="88">
        <v>45110.264309629638</v>
      </c>
      <c r="F151" s="89">
        <v>0</v>
      </c>
      <c r="G151" s="93">
        <v>-9.9000000000000005E-2</v>
      </c>
      <c r="H151" s="83">
        <v>0.19283388374220919</v>
      </c>
      <c r="I151" s="88">
        <v>39122.998615696357</v>
      </c>
      <c r="J151" s="89">
        <v>0</v>
      </c>
      <c r="K151" s="93">
        <v>-9.8299999999999998E-2</v>
      </c>
      <c r="L151" s="83">
        <v>0.21375495857165819</v>
      </c>
      <c r="M151" s="88">
        <v>43367.559611447628</v>
      </c>
      <c r="N151" s="89">
        <v>0</v>
      </c>
      <c r="O151" s="87">
        <v>-0.10100000000000001</v>
      </c>
      <c r="P151" s="83">
        <v>0.1950560168277207</v>
      </c>
      <c r="Q151" s="92">
        <v>39573.83488959822</v>
      </c>
      <c r="R151" s="89">
        <v>0</v>
      </c>
      <c r="S151" s="87">
        <v>-5.6099999999999997E-2</v>
      </c>
      <c r="T151" s="83">
        <v>0.17601054123016549</v>
      </c>
      <c r="U151" s="92">
        <v>35709.803833549253</v>
      </c>
      <c r="V151" s="89">
        <v>0</v>
      </c>
      <c r="W151" s="85">
        <f t="shared" si="2"/>
        <v>202884.46125992108</v>
      </c>
      <c r="X151" s="86">
        <f t="shared" si="3"/>
        <v>-7.8647462063985429E-2</v>
      </c>
    </row>
    <row r="152" spans="2:24" x14ac:dyDescent="0.35">
      <c r="B152" s="96" t="s">
        <v>148</v>
      </c>
      <c r="C152" s="87">
        <v>-3.2899999999999999E-2</v>
      </c>
      <c r="D152" s="83">
        <v>0.21730491595359189</v>
      </c>
      <c r="E152" s="88">
        <v>43626.13661384282</v>
      </c>
      <c r="F152" s="89">
        <v>0</v>
      </c>
      <c r="G152" s="93">
        <v>-4.4600000000000001E-2</v>
      </c>
      <c r="H152" s="83">
        <v>0.18618306152642161</v>
      </c>
      <c r="I152" s="88">
        <v>37378.11287743631</v>
      </c>
      <c r="J152" s="89">
        <v>0</v>
      </c>
      <c r="K152" s="93">
        <v>-3.85E-2</v>
      </c>
      <c r="L152" s="83">
        <v>0.207700273729681</v>
      </c>
      <c r="M152" s="88">
        <v>41697.908566406899</v>
      </c>
      <c r="N152" s="89">
        <v>0</v>
      </c>
      <c r="O152" s="91">
        <v>1.1900000000000001E-2</v>
      </c>
      <c r="P152" s="83">
        <v>0.19946583969054871</v>
      </c>
      <c r="Q152" s="92">
        <v>40044.763524784437</v>
      </c>
      <c r="R152" s="89">
        <v>0</v>
      </c>
      <c r="S152" s="91">
        <v>6.4500000000000002E-2</v>
      </c>
      <c r="T152" s="83">
        <v>0.18934590909975679</v>
      </c>
      <c r="U152" s="92">
        <v>38013.086180813181</v>
      </c>
      <c r="V152" s="89">
        <v>0</v>
      </c>
      <c r="W152" s="85">
        <f t="shared" si="2"/>
        <v>200760.00776328365</v>
      </c>
      <c r="X152" s="86">
        <f t="shared" si="3"/>
        <v>-1.047124793808496E-2</v>
      </c>
    </row>
    <row r="153" spans="2:24" x14ac:dyDescent="0.35">
      <c r="B153" s="97" t="s">
        <v>149</v>
      </c>
      <c r="C153" s="91">
        <v>3.9899999999999998E-2</v>
      </c>
      <c r="D153" s="83">
        <v>0.2218673210563008</v>
      </c>
      <c r="E153" s="88">
        <v>45366.819464735148</v>
      </c>
      <c r="F153" s="89">
        <v>0</v>
      </c>
      <c r="G153" s="94">
        <v>3.04E-2</v>
      </c>
      <c r="H153" s="83">
        <v>0.1883554658865815</v>
      </c>
      <c r="I153" s="88">
        <v>38514.407508910372</v>
      </c>
      <c r="J153" s="89">
        <v>0</v>
      </c>
      <c r="K153" s="94">
        <v>2.1700000000000001E-2</v>
      </c>
      <c r="L153" s="83">
        <v>0.20834960064870001</v>
      </c>
      <c r="M153" s="88">
        <v>42602.753182297929</v>
      </c>
      <c r="N153" s="89">
        <v>0</v>
      </c>
      <c r="O153" s="87">
        <v>-3.7400000000000003E-2</v>
      </c>
      <c r="P153" s="83">
        <v>0.18851529716462451</v>
      </c>
      <c r="Q153" s="92">
        <v>38547.089368957502</v>
      </c>
      <c r="R153" s="89">
        <v>0</v>
      </c>
      <c r="S153" s="91">
        <v>3.7699999999999997E-2</v>
      </c>
      <c r="T153" s="83">
        <v>0.19291231524379321</v>
      </c>
      <c r="U153" s="92">
        <v>39446.179529829838</v>
      </c>
      <c r="V153" s="89">
        <v>0</v>
      </c>
      <c r="W153" s="85">
        <f t="shared" si="2"/>
        <v>204477.24905473075</v>
      </c>
      <c r="X153" s="86">
        <f t="shared" si="3"/>
        <v>1.8515845525519659E-2</v>
      </c>
    </row>
    <row r="154" spans="2:24" x14ac:dyDescent="0.35">
      <c r="B154" s="96" t="s">
        <v>150</v>
      </c>
      <c r="C154" s="87">
        <v>-9.3200000000000005E-2</v>
      </c>
      <c r="D154" s="83">
        <v>0.2141913998992252</v>
      </c>
      <c r="E154" s="88">
        <v>41138.631890621837</v>
      </c>
      <c r="F154" s="89">
        <v>0</v>
      </c>
      <c r="G154" s="93">
        <v>-3.32E-2</v>
      </c>
      <c r="H154" s="83">
        <v>0.19387064160167711</v>
      </c>
      <c r="I154" s="88">
        <v>37235.729179614536</v>
      </c>
      <c r="J154" s="89">
        <v>0</v>
      </c>
      <c r="K154" s="93">
        <v>-6.7400000000000002E-2</v>
      </c>
      <c r="L154" s="83">
        <v>0.20686416371210689</v>
      </c>
      <c r="M154" s="88">
        <v>39731.327617811046</v>
      </c>
      <c r="N154" s="89">
        <v>0</v>
      </c>
      <c r="O154" s="87">
        <v>-1.4500000000000001E-2</v>
      </c>
      <c r="P154" s="83">
        <v>0.19778821176208741</v>
      </c>
      <c r="Q154" s="92">
        <v>37988.156573107619</v>
      </c>
      <c r="R154" s="89">
        <v>0</v>
      </c>
      <c r="S154" s="87">
        <v>-8.8099999999999998E-2</v>
      </c>
      <c r="T154" s="83">
        <v>0.1872855830249035</v>
      </c>
      <c r="U154" s="92">
        <v>35970.971113251828</v>
      </c>
      <c r="V154" s="89">
        <v>0</v>
      </c>
      <c r="W154" s="85">
        <f t="shared" si="2"/>
        <v>192064.81637440686</v>
      </c>
      <c r="X154" s="86">
        <f t="shared" si="3"/>
        <v>-6.0703245655469251E-2</v>
      </c>
    </row>
    <row r="155" spans="2:24" x14ac:dyDescent="0.35">
      <c r="B155" s="97" t="s">
        <v>151</v>
      </c>
      <c r="C155" s="91">
        <v>4.9700000000000001E-2</v>
      </c>
      <c r="D155" s="83">
        <v>0.21019421371224431</v>
      </c>
      <c r="E155" s="88">
        <v>40800.751326087659</v>
      </c>
      <c r="F155" s="100">
        <v>-2382.470569498088</v>
      </c>
      <c r="G155" s="94">
        <v>3.3000000000000002E-2</v>
      </c>
      <c r="H155" s="83">
        <v>0.19584239372212611</v>
      </c>
      <c r="I155" s="88">
        <v>38014.922790887242</v>
      </c>
      <c r="J155" s="100">
        <v>-449.58545165458048</v>
      </c>
      <c r="K155" s="94">
        <v>1.47E-2</v>
      </c>
      <c r="L155" s="83">
        <v>0.21109431544646831</v>
      </c>
      <c r="M155" s="88">
        <v>40975.46987032186</v>
      </c>
      <c r="N155" s="99">
        <v>660.09173652899335</v>
      </c>
      <c r="O155" s="91">
        <v>3.5900000000000001E-2</v>
      </c>
      <c r="P155" s="83">
        <v>0.19575484538455401</v>
      </c>
      <c r="Q155" s="92">
        <v>37997.928802864422</v>
      </c>
      <c r="R155" s="100">
        <v>-1354.0025912177659</v>
      </c>
      <c r="S155" s="87">
        <v>-8.8300000000000003E-2</v>
      </c>
      <c r="T155" s="83">
        <v>0.18711423173460731</v>
      </c>
      <c r="U155" s="92">
        <v>36320.701239793118</v>
      </c>
      <c r="V155" s="99">
        <v>3525.9668758414341</v>
      </c>
      <c r="W155" s="85">
        <f t="shared" si="2"/>
        <v>194109.77402995431</v>
      </c>
      <c r="X155" s="86">
        <f t="shared" si="3"/>
        <v>1.0647226775574836E-2</v>
      </c>
    </row>
    <row r="156" spans="2:24" x14ac:dyDescent="0.35">
      <c r="B156" s="96" t="s">
        <v>152</v>
      </c>
      <c r="C156" s="87">
        <v>-1.3899999999999999E-2</v>
      </c>
      <c r="D156" s="83">
        <v>0.2114757866602732</v>
      </c>
      <c r="E156" s="88">
        <v>40233.620882655043</v>
      </c>
      <c r="F156" s="89">
        <v>0</v>
      </c>
      <c r="G156" s="93">
        <v>-2.4400000000000002E-2</v>
      </c>
      <c r="H156" s="83">
        <v>0.19493841664855069</v>
      </c>
      <c r="I156" s="88">
        <v>37087.358674789597</v>
      </c>
      <c r="J156" s="89">
        <v>0</v>
      </c>
      <c r="K156" s="93">
        <v>-2.4E-2</v>
      </c>
      <c r="L156" s="83">
        <v>0.21020608798489321</v>
      </c>
      <c r="M156" s="88">
        <v>39992.058593434143</v>
      </c>
      <c r="N156" s="89">
        <v>0</v>
      </c>
      <c r="O156" s="87">
        <v>-4.3200000000000002E-2</v>
      </c>
      <c r="P156" s="83">
        <v>0.1910964508523105</v>
      </c>
      <c r="Q156" s="92">
        <v>36356.41827858067</v>
      </c>
      <c r="R156" s="89">
        <v>0</v>
      </c>
      <c r="S156" s="91">
        <v>7.1999999999999998E-3</v>
      </c>
      <c r="T156" s="83">
        <v>0.19228325785397241</v>
      </c>
      <c r="U156" s="92">
        <v>36582.210288719638</v>
      </c>
      <c r="V156" s="89">
        <v>0</v>
      </c>
      <c r="W156" s="85">
        <f t="shared" ref="W156:W219" si="4">Q156+M156+I156+E156+U156</f>
        <v>190251.66671817907</v>
      </c>
      <c r="X156" s="86">
        <f t="shared" si="3"/>
        <v>-1.9875904400258992E-2</v>
      </c>
    </row>
    <row r="157" spans="2:24" x14ac:dyDescent="0.35">
      <c r="B157" s="97" t="s">
        <v>153</v>
      </c>
      <c r="C157" s="91">
        <v>5.1000000000000004E-3</v>
      </c>
      <c r="D157" s="83">
        <v>0.2100632984148024</v>
      </c>
      <c r="E157" s="88">
        <v>40438.812349156578</v>
      </c>
      <c r="F157" s="89">
        <v>0</v>
      </c>
      <c r="G157" s="93">
        <v>-1.06E-2</v>
      </c>
      <c r="H157" s="83">
        <v>0.19061171929341</v>
      </c>
      <c r="I157" s="88">
        <v>36694.232672836828</v>
      </c>
      <c r="J157" s="89">
        <v>0</v>
      </c>
      <c r="K157" s="94">
        <v>7.3000000000000001E-3</v>
      </c>
      <c r="L157" s="83">
        <v>0.2092591140106175</v>
      </c>
      <c r="M157" s="88">
        <v>40284.000621166211</v>
      </c>
      <c r="N157" s="89">
        <v>0</v>
      </c>
      <c r="O157" s="91">
        <v>1.1599999999999999E-2</v>
      </c>
      <c r="P157" s="83">
        <v>0.19104765010134889</v>
      </c>
      <c r="Q157" s="92">
        <v>36778.152730612208</v>
      </c>
      <c r="R157" s="89">
        <v>0</v>
      </c>
      <c r="S157" s="91">
        <v>4.7300000000000002E-2</v>
      </c>
      <c r="T157" s="83">
        <v>0.19901821817982129</v>
      </c>
      <c r="U157" s="92">
        <v>38312.548835376067</v>
      </c>
      <c r="V157" s="89">
        <v>0</v>
      </c>
      <c r="W157" s="85">
        <f t="shared" si="4"/>
        <v>192507.74720914793</v>
      </c>
      <c r="X157" s="86">
        <f t="shared" si="3"/>
        <v>1.1858400664162438E-2</v>
      </c>
    </row>
    <row r="158" spans="2:24" x14ac:dyDescent="0.35">
      <c r="B158" s="96" t="s">
        <v>154</v>
      </c>
      <c r="C158" s="87">
        <v>-3.6700000000000003E-2</v>
      </c>
      <c r="D158" s="83">
        <v>0.21133202701971471</v>
      </c>
      <c r="E158" s="88">
        <v>38954.707935942533</v>
      </c>
      <c r="F158" s="89">
        <v>0</v>
      </c>
      <c r="G158" s="93">
        <v>-6.2399999999999997E-2</v>
      </c>
      <c r="H158" s="83">
        <v>0.18664689743353019</v>
      </c>
      <c r="I158" s="88">
        <v>34404.512554051813</v>
      </c>
      <c r="J158" s="89">
        <v>0</v>
      </c>
      <c r="K158" s="93">
        <v>-3.3599999999999998E-2</v>
      </c>
      <c r="L158" s="83">
        <v>0.2112004705003459</v>
      </c>
      <c r="M158" s="88">
        <v>38930.458200295026</v>
      </c>
      <c r="N158" s="89">
        <v>0</v>
      </c>
      <c r="O158" s="87">
        <v>-4.6600000000000003E-2</v>
      </c>
      <c r="P158" s="83">
        <v>0.19022624083801989</v>
      </c>
      <c r="Q158" s="92">
        <v>35064.290813365682</v>
      </c>
      <c r="R158" s="89">
        <v>0</v>
      </c>
      <c r="S158" s="87">
        <v>-3.49E-2</v>
      </c>
      <c r="T158" s="83">
        <v>0.20059436420838919</v>
      </c>
      <c r="U158" s="92">
        <v>36975.440881021437</v>
      </c>
      <c r="V158" s="89">
        <v>0</v>
      </c>
      <c r="W158" s="85">
        <f t="shared" si="4"/>
        <v>184329.41038467651</v>
      </c>
      <c r="X158" s="86">
        <f t="shared" ref="X158:X221" si="5">W158/W157-1</f>
        <v>-4.2483156875687489E-2</v>
      </c>
    </row>
    <row r="159" spans="2:24" x14ac:dyDescent="0.35">
      <c r="B159" s="97" t="s">
        <v>155</v>
      </c>
      <c r="C159" s="91">
        <v>9.7900000000000001E-2</v>
      </c>
      <c r="D159" s="83">
        <v>0.22489614737367161</v>
      </c>
      <c r="E159" s="88">
        <v>42768.373842871311</v>
      </c>
      <c r="F159" s="89">
        <v>0</v>
      </c>
      <c r="G159" s="93">
        <v>-2.75E-2</v>
      </c>
      <c r="H159" s="83">
        <v>0.17593988233839569</v>
      </c>
      <c r="I159" s="88">
        <v>33458.388458815389</v>
      </c>
      <c r="J159" s="89">
        <v>0</v>
      </c>
      <c r="K159" s="94">
        <v>1.5299999999999999E-2</v>
      </c>
      <c r="L159" s="83">
        <v>0.20784672200507989</v>
      </c>
      <c r="M159" s="88">
        <v>39526.094210759547</v>
      </c>
      <c r="N159" s="89">
        <v>0</v>
      </c>
      <c r="O159" s="87">
        <v>-2.4799999999999999E-2</v>
      </c>
      <c r="P159" s="83">
        <v>0.17981173447217119</v>
      </c>
      <c r="Q159" s="92">
        <v>34194.696401194211</v>
      </c>
      <c r="R159" s="89">
        <v>0</v>
      </c>
      <c r="S159" s="91">
        <v>8.7800000000000003E-2</v>
      </c>
      <c r="T159" s="83">
        <v>0.21150551381068169</v>
      </c>
      <c r="U159" s="92">
        <v>40221.884590375128</v>
      </c>
      <c r="V159" s="89">
        <v>0</v>
      </c>
      <c r="W159" s="85">
        <f t="shared" si="4"/>
        <v>190169.43750401557</v>
      </c>
      <c r="X159" s="86">
        <f t="shared" si="5"/>
        <v>3.16825573691768E-2</v>
      </c>
    </row>
    <row r="160" spans="2:24" x14ac:dyDescent="0.35">
      <c r="B160" s="96" t="s">
        <v>156</v>
      </c>
      <c r="C160" s="87">
        <v>-2.5000000000000001E-2</v>
      </c>
      <c r="D160" s="83">
        <v>0.22699239346853489</v>
      </c>
      <c r="E160" s="88">
        <v>41699.164496799531</v>
      </c>
      <c r="F160" s="89">
        <v>0</v>
      </c>
      <c r="G160" s="93">
        <v>-5.1299999999999998E-2</v>
      </c>
      <c r="H160" s="83">
        <v>0.1727897079315574</v>
      </c>
      <c r="I160" s="88">
        <v>31741.973130878159</v>
      </c>
      <c r="J160" s="89">
        <v>0</v>
      </c>
      <c r="K160" s="93">
        <v>-4.65E-2</v>
      </c>
      <c r="L160" s="83">
        <v>0.20515804394844239</v>
      </c>
      <c r="M160" s="88">
        <v>37688.130829959227</v>
      </c>
      <c r="N160" s="89">
        <v>0</v>
      </c>
      <c r="O160" s="87">
        <v>-6.0600000000000001E-2</v>
      </c>
      <c r="P160" s="83">
        <v>0.1748611212631459</v>
      </c>
      <c r="Q160" s="92">
        <v>32122.497799281839</v>
      </c>
      <c r="R160" s="89">
        <v>0</v>
      </c>
      <c r="S160" s="91">
        <v>5.7000000000000002E-3</v>
      </c>
      <c r="T160" s="83">
        <v>0.22019873338831961</v>
      </c>
      <c r="U160" s="92">
        <v>40451.14933254027</v>
      </c>
      <c r="V160" s="89">
        <v>0</v>
      </c>
      <c r="W160" s="85">
        <f t="shared" si="4"/>
        <v>183702.91558945901</v>
      </c>
      <c r="X160" s="86">
        <f t="shared" si="5"/>
        <v>-3.4004001901830394E-2</v>
      </c>
    </row>
    <row r="161" spans="2:24" x14ac:dyDescent="0.35">
      <c r="B161" s="97" t="s">
        <v>157</v>
      </c>
      <c r="C161" s="87">
        <v>-2.24E-2</v>
      </c>
      <c r="D161" s="83">
        <v>0.20688657671702579</v>
      </c>
      <c r="E161" s="88">
        <v>36927.324567730349</v>
      </c>
      <c r="F161" s="100">
        <v>-3837.77864434087</v>
      </c>
      <c r="G161" s="93">
        <v>-3.1699999999999999E-2</v>
      </c>
      <c r="H161" s="83">
        <v>0.18577200590897219</v>
      </c>
      <c r="I161" s="88">
        <v>33158.570588085837</v>
      </c>
      <c r="J161" s="99">
        <v>2422.81800545652</v>
      </c>
      <c r="K161" s="93">
        <v>-3.7400000000000003E-2</v>
      </c>
      <c r="L161" s="83">
        <v>0.20666599656271681</v>
      </c>
      <c r="M161" s="88">
        <v>36887.953067265582</v>
      </c>
      <c r="N161" s="99">
        <v>609.35833034682582</v>
      </c>
      <c r="O161" s="91">
        <v>1.04E-2</v>
      </c>
      <c r="P161" s="83">
        <v>0.20877913309655891</v>
      </c>
      <c r="Q161" s="92">
        <v>37265.12823193489</v>
      </c>
      <c r="R161" s="99">
        <v>4808.5564555405181</v>
      </c>
      <c r="S161" s="87">
        <v>-5.4300000000000001E-2</v>
      </c>
      <c r="T161" s="83">
        <v>0.19189628771472611</v>
      </c>
      <c r="U161" s="92">
        <v>34251.697776780376</v>
      </c>
      <c r="V161" s="100">
        <v>-4002.9541470029508</v>
      </c>
      <c r="W161" s="85">
        <f t="shared" si="4"/>
        <v>178490.67423179702</v>
      </c>
      <c r="X161" s="86">
        <f t="shared" si="5"/>
        <v>-2.8373209760646168E-2</v>
      </c>
    </row>
    <row r="162" spans="2:24" x14ac:dyDescent="0.35">
      <c r="B162" s="96" t="s">
        <v>158</v>
      </c>
      <c r="C162" s="91">
        <v>3.1600000000000003E-2</v>
      </c>
      <c r="D162" s="83">
        <v>0.21076382954456699</v>
      </c>
      <c r="E162" s="88">
        <v>38094.228024070631</v>
      </c>
      <c r="F162" s="89">
        <v>0</v>
      </c>
      <c r="G162" s="94">
        <v>8.0999999999999996E-3</v>
      </c>
      <c r="H162" s="83">
        <v>0.18494232764617319</v>
      </c>
      <c r="I162" s="88">
        <v>33427.155009849339</v>
      </c>
      <c r="J162" s="89">
        <v>0</v>
      </c>
      <c r="K162" s="94">
        <v>2.0000000000000001E-4</v>
      </c>
      <c r="L162" s="83">
        <v>0.20413069341775611</v>
      </c>
      <c r="M162" s="88">
        <v>36895.330657879043</v>
      </c>
      <c r="N162" s="89">
        <v>0</v>
      </c>
      <c r="O162" s="91">
        <v>2.5600000000000001E-2</v>
      </c>
      <c r="P162" s="83">
        <v>0.2114547942168217</v>
      </c>
      <c r="Q162" s="92">
        <v>38219.115514672427</v>
      </c>
      <c r="R162" s="89">
        <v>0</v>
      </c>
      <c r="S162" s="87">
        <v>-4.1999999999999997E-3</v>
      </c>
      <c r="T162" s="83">
        <v>0.1887083551746821</v>
      </c>
      <c r="U162" s="92">
        <v>34107.840646117897</v>
      </c>
      <c r="V162" s="89">
        <v>0</v>
      </c>
      <c r="W162" s="85">
        <f t="shared" si="4"/>
        <v>180743.66985258934</v>
      </c>
      <c r="X162" s="86">
        <f t="shared" si="5"/>
        <v>1.2622483670303497E-2</v>
      </c>
    </row>
    <row r="163" spans="2:24" x14ac:dyDescent="0.35">
      <c r="B163" s="97" t="s">
        <v>159</v>
      </c>
      <c r="C163" s="91">
        <v>1.34E-2</v>
      </c>
      <c r="D163" s="83">
        <v>0.21266219921630231</v>
      </c>
      <c r="E163" s="88">
        <v>38604.690679593179</v>
      </c>
      <c r="F163" s="89">
        <v>0</v>
      </c>
      <c r="G163" s="94">
        <v>5.3E-3</v>
      </c>
      <c r="H163" s="83">
        <v>0.18511658146494389</v>
      </c>
      <c r="I163" s="88">
        <v>33604.31893140154</v>
      </c>
      <c r="J163" s="89">
        <v>0</v>
      </c>
      <c r="K163" s="94">
        <v>1.3299999999999999E-2</v>
      </c>
      <c r="L163" s="83">
        <v>0.20594899322501911</v>
      </c>
      <c r="M163" s="88">
        <v>37386.038555628831</v>
      </c>
      <c r="N163" s="89">
        <v>0</v>
      </c>
      <c r="O163" s="91">
        <v>1.43E-2</v>
      </c>
      <c r="P163" s="83">
        <v>0.21354887183078899</v>
      </c>
      <c r="Q163" s="92">
        <v>38765.648866532239</v>
      </c>
      <c r="R163" s="89">
        <v>0</v>
      </c>
      <c r="S163" s="87">
        <v>-2.75E-2</v>
      </c>
      <c r="T163" s="83">
        <v>0.18272335426294581</v>
      </c>
      <c r="U163" s="92">
        <v>33169.875028349663</v>
      </c>
      <c r="V163" s="89">
        <v>0</v>
      </c>
      <c r="W163" s="85">
        <f t="shared" si="4"/>
        <v>181530.57206150546</v>
      </c>
      <c r="X163" s="86">
        <f t="shared" si="5"/>
        <v>4.3536916648749813E-3</v>
      </c>
    </row>
    <row r="164" spans="2:24" x14ac:dyDescent="0.35">
      <c r="B164" s="96" t="s">
        <v>160</v>
      </c>
      <c r="C164" s="91">
        <v>1.89E-2</v>
      </c>
      <c r="D164" s="83">
        <v>0.2135473560636445</v>
      </c>
      <c r="E164" s="88">
        <v>39334.319333437488</v>
      </c>
      <c r="F164" s="89">
        <v>0</v>
      </c>
      <c r="G164" s="94">
        <v>2.35E-2</v>
      </c>
      <c r="H164" s="83">
        <v>0.1867263054477071</v>
      </c>
      <c r="I164" s="88">
        <v>34394.020426289477</v>
      </c>
      <c r="J164" s="89">
        <v>0</v>
      </c>
      <c r="K164" s="94">
        <v>1.9400000000000001E-2</v>
      </c>
      <c r="L164" s="83">
        <v>0.2069076929535717</v>
      </c>
      <c r="M164" s="88">
        <v>38111.327703608033</v>
      </c>
      <c r="N164" s="89">
        <v>0</v>
      </c>
      <c r="O164" s="91">
        <v>2.52E-2</v>
      </c>
      <c r="P164" s="83">
        <v>0.21576361740236799</v>
      </c>
      <c r="Q164" s="92">
        <v>39742.543217968851</v>
      </c>
      <c r="R164" s="89">
        <v>0</v>
      </c>
      <c r="S164" s="87">
        <v>-1.6799999999999999E-2</v>
      </c>
      <c r="T164" s="83">
        <v>0.17705502813270849</v>
      </c>
      <c r="U164" s="92">
        <v>32612.62112787339</v>
      </c>
      <c r="V164" s="89">
        <v>0</v>
      </c>
      <c r="W164" s="85">
        <f t="shared" si="4"/>
        <v>184194.83180917724</v>
      </c>
      <c r="X164" s="86">
        <f t="shared" si="5"/>
        <v>1.4676644916697956E-2</v>
      </c>
    </row>
    <row r="165" spans="2:24" x14ac:dyDescent="0.35">
      <c r="B165" s="97" t="s">
        <v>161</v>
      </c>
      <c r="C165" s="91">
        <v>3.5400000000000001E-2</v>
      </c>
      <c r="D165" s="83">
        <v>0.21494947162471831</v>
      </c>
      <c r="E165" s="88">
        <v>40726.754237841182</v>
      </c>
      <c r="F165" s="89">
        <v>0</v>
      </c>
      <c r="G165" s="94">
        <v>4.07E-2</v>
      </c>
      <c r="H165" s="83">
        <v>0.18891440788575159</v>
      </c>
      <c r="I165" s="88">
        <v>35793.857057639463</v>
      </c>
      <c r="J165" s="89">
        <v>0</v>
      </c>
      <c r="K165" s="94">
        <v>3.04E-2</v>
      </c>
      <c r="L165" s="83">
        <v>0.20726048533102559</v>
      </c>
      <c r="M165" s="88">
        <v>39269.912065797718</v>
      </c>
      <c r="N165" s="89">
        <v>0</v>
      </c>
      <c r="O165" s="91">
        <v>2.4E-2</v>
      </c>
      <c r="P165" s="83">
        <v>0.21478907802513911</v>
      </c>
      <c r="Q165" s="92">
        <v>40696.364255200097</v>
      </c>
      <c r="R165" s="89">
        <v>0</v>
      </c>
      <c r="S165" s="91">
        <v>1.14E-2</v>
      </c>
      <c r="T165" s="83">
        <v>0.1740865571333654</v>
      </c>
      <c r="U165" s="92">
        <v>32984.405008731148</v>
      </c>
      <c r="V165" s="89">
        <v>0</v>
      </c>
      <c r="W165" s="85">
        <f t="shared" si="4"/>
        <v>189471.29262520961</v>
      </c>
      <c r="X165" s="86">
        <f t="shared" si="5"/>
        <v>2.8646085040533009E-2</v>
      </c>
    </row>
    <row r="166" spans="2:24" x14ac:dyDescent="0.35">
      <c r="B166" s="96" t="s">
        <v>162</v>
      </c>
      <c r="C166" s="91">
        <v>1.9300000000000001E-2</v>
      </c>
      <c r="D166" s="83">
        <v>0.2174543011806182</v>
      </c>
      <c r="E166" s="88">
        <v>41512.78059463152</v>
      </c>
      <c r="F166" s="89">
        <v>0</v>
      </c>
      <c r="G166" s="94">
        <v>2.0299999999999999E-2</v>
      </c>
      <c r="H166" s="83">
        <v>0.19130334516708819</v>
      </c>
      <c r="I166" s="88">
        <v>36520.472355909536</v>
      </c>
      <c r="J166" s="89">
        <v>0</v>
      </c>
      <c r="K166" s="94">
        <v>7.7000000000000002E-3</v>
      </c>
      <c r="L166" s="83">
        <v>0.20728952937700901</v>
      </c>
      <c r="M166" s="88">
        <v>39572.290388704358</v>
      </c>
      <c r="N166" s="89">
        <v>0</v>
      </c>
      <c r="O166" s="87">
        <v>-7.3000000000000001E-3</v>
      </c>
      <c r="P166" s="83">
        <v>0.21162151144507191</v>
      </c>
      <c r="Q166" s="92">
        <v>40399.280796137144</v>
      </c>
      <c r="R166" s="89">
        <v>0</v>
      </c>
      <c r="S166" s="87">
        <v>-2.5999999999999999E-3</v>
      </c>
      <c r="T166" s="83">
        <v>0.1723313128302128</v>
      </c>
      <c r="U166" s="92">
        <v>32898.645555708448</v>
      </c>
      <c r="V166" s="89">
        <v>0</v>
      </c>
      <c r="W166" s="85">
        <f t="shared" si="4"/>
        <v>190903.46969109098</v>
      </c>
      <c r="X166" s="86">
        <f t="shared" si="5"/>
        <v>7.5588077013564181E-3</v>
      </c>
    </row>
    <row r="167" spans="2:24" x14ac:dyDescent="0.35">
      <c r="B167" s="97" t="s">
        <v>163</v>
      </c>
      <c r="C167" s="87">
        <v>-3.39E-2</v>
      </c>
      <c r="D167" s="83">
        <v>0.20443505098467571</v>
      </c>
      <c r="E167" s="88">
        <v>37543.823944911477</v>
      </c>
      <c r="F167" s="100">
        <v>-2561.6733875620271</v>
      </c>
      <c r="G167" s="93">
        <v>-6.0400000000000002E-2</v>
      </c>
      <c r="H167" s="83">
        <v>0.18690476157084199</v>
      </c>
      <c r="I167" s="88">
        <v>34324.444018199931</v>
      </c>
      <c r="J167" s="99">
        <v>9.808192587333906</v>
      </c>
      <c r="K167" s="93">
        <v>-5.0099999999999999E-2</v>
      </c>
      <c r="L167" s="83">
        <v>0.20662786537452271</v>
      </c>
      <c r="M167" s="88">
        <v>37946.527087057373</v>
      </c>
      <c r="N167" s="99">
        <v>356.80844682709721</v>
      </c>
      <c r="O167" s="87">
        <v>-3.1099999999999999E-2</v>
      </c>
      <c r="P167" s="83">
        <v>0.2145014575457756</v>
      </c>
      <c r="Q167" s="92">
        <v>39392.486362963107</v>
      </c>
      <c r="R167" s="99">
        <v>249.62319958583251</v>
      </c>
      <c r="S167" s="87">
        <v>-1.23E-2</v>
      </c>
      <c r="T167" s="83">
        <v>0.18753086452418399</v>
      </c>
      <c r="U167" s="92">
        <v>34439.425763935033</v>
      </c>
      <c r="V167" s="99">
        <v>1945.433548561788</v>
      </c>
      <c r="W167" s="85">
        <f t="shared" si="4"/>
        <v>183646.70717706691</v>
      </c>
      <c r="X167" s="86">
        <f t="shared" si="5"/>
        <v>-3.8012732433656327E-2</v>
      </c>
    </row>
    <row r="168" spans="2:24" x14ac:dyDescent="0.35">
      <c r="B168" s="96" t="s">
        <v>164</v>
      </c>
      <c r="C168" s="91">
        <v>9.7000000000000003E-3</v>
      </c>
      <c r="D168" s="83">
        <v>0.20140816879698131</v>
      </c>
      <c r="E168" s="88">
        <v>37907.999037177127</v>
      </c>
      <c r="F168" s="89">
        <v>0</v>
      </c>
      <c r="G168" s="94">
        <v>4.1300000000000003E-2</v>
      </c>
      <c r="H168" s="83">
        <v>0.18990027763392339</v>
      </c>
      <c r="I168" s="88">
        <v>35742.043556151591</v>
      </c>
      <c r="J168" s="89">
        <v>0</v>
      </c>
      <c r="K168" s="94">
        <v>2.23E-2</v>
      </c>
      <c r="L168" s="83">
        <v>0.20610883837546759</v>
      </c>
      <c r="M168" s="88">
        <v>38792.734641098752</v>
      </c>
      <c r="N168" s="89">
        <v>0</v>
      </c>
      <c r="O168" s="91">
        <v>5.0299999999999997E-2</v>
      </c>
      <c r="P168" s="83">
        <v>0.21982292318439481</v>
      </c>
      <c r="Q168" s="92">
        <v>41373.928427020153</v>
      </c>
      <c r="R168" s="89">
        <v>0</v>
      </c>
      <c r="S168" s="87">
        <v>-1.1999999999999999E-3</v>
      </c>
      <c r="T168" s="83">
        <v>0.1827597920092329</v>
      </c>
      <c r="U168" s="92">
        <v>34398.098453018312</v>
      </c>
      <c r="V168" s="89">
        <v>0</v>
      </c>
      <c r="W168" s="85">
        <f t="shared" si="4"/>
        <v>188214.80411446595</v>
      </c>
      <c r="X168" s="86">
        <f t="shared" si="5"/>
        <v>2.4874374322402693E-2</v>
      </c>
    </row>
    <row r="169" spans="2:24" x14ac:dyDescent="0.35">
      <c r="B169" s="97" t="s">
        <v>165</v>
      </c>
      <c r="C169" s="91">
        <v>2.64E-2</v>
      </c>
      <c r="D169" s="83">
        <v>0.2064154953064361</v>
      </c>
      <c r="E169" s="88">
        <v>38908.770211758601</v>
      </c>
      <c r="F169" s="89">
        <v>0</v>
      </c>
      <c r="G169" s="93">
        <v>-1.8499999999999999E-2</v>
      </c>
      <c r="H169" s="83">
        <v>0.18610775718315031</v>
      </c>
      <c r="I169" s="88">
        <v>35080.815750362788</v>
      </c>
      <c r="J169" s="89">
        <v>0</v>
      </c>
      <c r="K169" s="93">
        <v>-8.9999999999999993E-3</v>
      </c>
      <c r="L169" s="83">
        <v>0.20394771405595069</v>
      </c>
      <c r="M169" s="88">
        <v>38443.60002932886</v>
      </c>
      <c r="N169" s="89">
        <v>0</v>
      </c>
      <c r="O169" s="87">
        <v>-2.4199999999999999E-2</v>
      </c>
      <c r="P169" s="83">
        <v>0.21418170148783691</v>
      </c>
      <c r="Q169" s="92">
        <v>40372.679359086273</v>
      </c>
      <c r="R169" s="89">
        <v>0</v>
      </c>
      <c r="S169" s="91">
        <v>3.7600000000000001E-2</v>
      </c>
      <c r="T169" s="83">
        <v>0.18934733196662609</v>
      </c>
      <c r="U169" s="92">
        <v>35691.4669548518</v>
      </c>
      <c r="V169" s="89">
        <v>0</v>
      </c>
      <c r="W169" s="85">
        <f t="shared" si="4"/>
        <v>188497.33230538835</v>
      </c>
      <c r="X169" s="86">
        <f t="shared" si="5"/>
        <v>1.501094413118409E-3</v>
      </c>
    </row>
    <row r="170" spans="2:24" x14ac:dyDescent="0.35">
      <c r="B170" s="96" t="s">
        <v>166</v>
      </c>
      <c r="C170" s="91">
        <v>5.6399999999999999E-2</v>
      </c>
      <c r="D170" s="83">
        <v>0.2090524680583265</v>
      </c>
      <c r="E170" s="88">
        <v>41103.224851701787</v>
      </c>
      <c r="F170" s="89">
        <v>0</v>
      </c>
      <c r="G170" s="94">
        <v>3.1E-2</v>
      </c>
      <c r="H170" s="83">
        <v>0.18395337119971009</v>
      </c>
      <c r="I170" s="88">
        <v>36168.321038624032</v>
      </c>
      <c r="J170" s="89">
        <v>0</v>
      </c>
      <c r="K170" s="94">
        <v>0.03</v>
      </c>
      <c r="L170" s="83">
        <v>0.2013912869625113</v>
      </c>
      <c r="M170" s="88">
        <v>39596.908030208717</v>
      </c>
      <c r="N170" s="89">
        <v>0</v>
      </c>
      <c r="O170" s="91">
        <v>2.6100000000000002E-2</v>
      </c>
      <c r="P170" s="83">
        <v>0.21069618038565771</v>
      </c>
      <c r="Q170" s="92">
        <v>41426.40629035842</v>
      </c>
      <c r="R170" s="89">
        <v>0</v>
      </c>
      <c r="S170" s="91">
        <v>7.3700000000000002E-2</v>
      </c>
      <c r="T170" s="83">
        <v>0.19490669339379429</v>
      </c>
      <c r="U170" s="92">
        <v>38321.928069424379</v>
      </c>
      <c r="V170" s="89">
        <v>0</v>
      </c>
      <c r="W170" s="85">
        <f t="shared" si="4"/>
        <v>196616.78828031733</v>
      </c>
      <c r="X170" s="86">
        <f t="shared" si="5"/>
        <v>4.3074646604411848E-2</v>
      </c>
    </row>
    <row r="171" spans="2:24" x14ac:dyDescent="0.35">
      <c r="B171" s="97" t="s">
        <v>167</v>
      </c>
      <c r="C171" s="91">
        <v>1.47E-2</v>
      </c>
      <c r="D171" s="83">
        <v>0.21296725246570911</v>
      </c>
      <c r="E171" s="88">
        <v>41707.442257021801</v>
      </c>
      <c r="F171" s="89">
        <v>0</v>
      </c>
      <c r="G171" s="93">
        <v>-7.7000000000000002E-3</v>
      </c>
      <c r="H171" s="83">
        <v>0.1832612359088229</v>
      </c>
      <c r="I171" s="88">
        <v>35889.824966626627</v>
      </c>
      <c r="J171" s="89">
        <v>0</v>
      </c>
      <c r="K171" s="93">
        <v>-1.7299999999999999E-2</v>
      </c>
      <c r="L171" s="83">
        <v>0.19869251259262541</v>
      </c>
      <c r="M171" s="88">
        <v>38911.881521286123</v>
      </c>
      <c r="N171" s="89">
        <v>0</v>
      </c>
      <c r="O171" s="87">
        <v>-9.9000000000000008E-3</v>
      </c>
      <c r="P171" s="83">
        <v>0.2094380528270354</v>
      </c>
      <c r="Q171" s="92">
        <v>41016.284868083872</v>
      </c>
      <c r="R171" s="89">
        <v>0</v>
      </c>
      <c r="S171" s="87">
        <v>-2.0000000000000001E-4</v>
      </c>
      <c r="T171" s="83">
        <v>0.1956409462058073</v>
      </c>
      <c r="U171" s="92">
        <v>38314.263683810503</v>
      </c>
      <c r="V171" s="89">
        <v>0</v>
      </c>
      <c r="W171" s="85">
        <f t="shared" si="4"/>
        <v>195839.69729682893</v>
      </c>
      <c r="X171" s="86">
        <f t="shared" si="5"/>
        <v>-3.952312466728336E-3</v>
      </c>
    </row>
    <row r="172" spans="2:24" x14ac:dyDescent="0.35">
      <c r="B172" s="96" t="s">
        <v>168</v>
      </c>
      <c r="C172" s="91">
        <v>3.04E-2</v>
      </c>
      <c r="D172" s="83">
        <v>0.21156774438227</v>
      </c>
      <c r="E172" s="88">
        <v>42975.348501635257</v>
      </c>
      <c r="F172" s="89">
        <v>0</v>
      </c>
      <c r="G172" s="94">
        <v>3.4599999999999999E-2</v>
      </c>
      <c r="H172" s="83">
        <v>0.18279901996478731</v>
      </c>
      <c r="I172" s="88">
        <v>37131.612910471908</v>
      </c>
      <c r="J172" s="89">
        <v>0</v>
      </c>
      <c r="K172" s="94">
        <v>1.9099999999999999E-2</v>
      </c>
      <c r="L172" s="83">
        <v>0.19522214540666619</v>
      </c>
      <c r="M172" s="88">
        <v>39655.098458342683</v>
      </c>
      <c r="N172" s="89">
        <v>0</v>
      </c>
      <c r="O172" s="91">
        <v>4.2900000000000001E-2</v>
      </c>
      <c r="P172" s="83">
        <v>0.21058577764334391</v>
      </c>
      <c r="Q172" s="92">
        <v>42775.883488924657</v>
      </c>
      <c r="R172" s="89">
        <v>0</v>
      </c>
      <c r="S172" s="91">
        <v>5.9400000000000001E-2</v>
      </c>
      <c r="T172" s="83">
        <v>0.1998253126029326</v>
      </c>
      <c r="U172" s="92">
        <v>40590.130946628837</v>
      </c>
      <c r="V172" s="89">
        <v>0</v>
      </c>
      <c r="W172" s="85">
        <f t="shared" si="4"/>
        <v>203128.07430600334</v>
      </c>
      <c r="X172" s="86">
        <f t="shared" si="5"/>
        <v>3.7216034898826633E-2</v>
      </c>
    </row>
    <row r="173" spans="2:24" x14ac:dyDescent="0.35">
      <c r="B173" s="97" t="s">
        <v>169</v>
      </c>
      <c r="C173" s="91">
        <v>1.44E-2</v>
      </c>
      <c r="D173" s="83">
        <v>0.20475132930718609</v>
      </c>
      <c r="E173" s="88">
        <v>40584.270719709792</v>
      </c>
      <c r="F173" s="100">
        <v>-3009.9228003490211</v>
      </c>
      <c r="G173" s="93">
        <v>-7.0800000000000002E-2</v>
      </c>
      <c r="H173" s="83">
        <v>0.18734062415893701</v>
      </c>
      <c r="I173" s="88">
        <v>37133.251507534209</v>
      </c>
      <c r="J173" s="99">
        <v>2630.556791123709</v>
      </c>
      <c r="K173" s="93">
        <v>-6.0199999999999997E-2</v>
      </c>
      <c r="L173" s="83">
        <v>0.20673076798086371</v>
      </c>
      <c r="M173" s="88">
        <v>40976.620187121887</v>
      </c>
      <c r="N173" s="99">
        <v>3708.75865597144</v>
      </c>
      <c r="O173" s="87">
        <v>-8.6999999999999994E-3</v>
      </c>
      <c r="P173" s="83">
        <v>0.21339759764645991</v>
      </c>
      <c r="Q173" s="92">
        <v>42298.069092514917</v>
      </c>
      <c r="R173" s="100">
        <v>-105.6642100561003</v>
      </c>
      <c r="S173" s="87">
        <v>-3.5999999999999999E-3</v>
      </c>
      <c r="T173" s="83">
        <v>0.18777968090655339</v>
      </c>
      <c r="U173" s="92">
        <v>37220.278038530967</v>
      </c>
      <c r="V173" s="100">
        <v>-3223.7284366900062</v>
      </c>
      <c r="W173" s="85">
        <f t="shared" si="4"/>
        <v>198212.48954541178</v>
      </c>
      <c r="X173" s="86">
        <f t="shared" si="5"/>
        <v>-2.4199435638751043E-2</v>
      </c>
    </row>
    <row r="174" spans="2:24" x14ac:dyDescent="0.35">
      <c r="B174" s="96" t="s">
        <v>170</v>
      </c>
      <c r="C174" s="87">
        <v>-1.78E-2</v>
      </c>
      <c r="D174" s="83">
        <v>0.20231141473169759</v>
      </c>
      <c r="E174" s="88">
        <v>39861.870700898959</v>
      </c>
      <c r="F174" s="89">
        <v>0</v>
      </c>
      <c r="G174" s="93">
        <v>-1.11E-2</v>
      </c>
      <c r="H174" s="83">
        <v>0.18637088476477831</v>
      </c>
      <c r="I174" s="88">
        <v>36721.072415800583</v>
      </c>
      <c r="J174" s="89">
        <v>0</v>
      </c>
      <c r="K174" s="94">
        <v>1.09E-2</v>
      </c>
      <c r="L174" s="83">
        <v>0.21023597909070929</v>
      </c>
      <c r="M174" s="88">
        <v>41423.265347161512</v>
      </c>
      <c r="N174" s="89">
        <v>0</v>
      </c>
      <c r="O174" s="91">
        <v>2E-3</v>
      </c>
      <c r="P174" s="83">
        <v>0.2151052324478456</v>
      </c>
      <c r="Q174" s="92">
        <v>42382.665230699953</v>
      </c>
      <c r="R174" s="89">
        <v>0</v>
      </c>
      <c r="S174" s="87">
        <v>-1.55E-2</v>
      </c>
      <c r="T174" s="83">
        <v>0.1859764889649691</v>
      </c>
      <c r="U174" s="92">
        <v>36643.363728933742</v>
      </c>
      <c r="V174" s="89">
        <v>0</v>
      </c>
      <c r="W174" s="85">
        <f t="shared" si="4"/>
        <v>197032.23742349475</v>
      </c>
      <c r="X174" s="86">
        <f t="shared" si="5"/>
        <v>-5.9544790775993839E-3</v>
      </c>
    </row>
    <row r="175" spans="2:24" x14ac:dyDescent="0.35">
      <c r="B175" s="97" t="s">
        <v>171</v>
      </c>
      <c r="C175" s="87">
        <v>-6.1000000000000004E-3</v>
      </c>
      <c r="D175" s="83">
        <v>0.1954984499265871</v>
      </c>
      <c r="E175" s="88">
        <v>39618.713289623483</v>
      </c>
      <c r="F175" s="89">
        <v>0</v>
      </c>
      <c r="G175" s="94">
        <v>4.8399999999999999E-2</v>
      </c>
      <c r="H175" s="83">
        <v>0.18997012998323839</v>
      </c>
      <c r="I175" s="88">
        <v>38498.372320725321</v>
      </c>
      <c r="J175" s="89">
        <v>0</v>
      </c>
      <c r="K175" s="94">
        <v>3.15E-2</v>
      </c>
      <c r="L175" s="83">
        <v>0.21084170266814359</v>
      </c>
      <c r="M175" s="88">
        <v>42728.098205597104</v>
      </c>
      <c r="N175" s="89">
        <v>0</v>
      </c>
      <c r="O175" s="91">
        <v>2.6599999999999999E-2</v>
      </c>
      <c r="P175" s="83">
        <v>0.21470021301944439</v>
      </c>
      <c r="Q175" s="92">
        <v>43510.044125836561</v>
      </c>
      <c r="R175" s="89">
        <v>0</v>
      </c>
      <c r="S175" s="91">
        <v>4.5199999999999997E-2</v>
      </c>
      <c r="T175" s="83">
        <v>0.18898950440258661</v>
      </c>
      <c r="U175" s="92">
        <v>38299.643769481547</v>
      </c>
      <c r="V175" s="89">
        <v>0</v>
      </c>
      <c r="W175" s="85">
        <f t="shared" si="4"/>
        <v>202654.87171126399</v>
      </c>
      <c r="X175" s="86">
        <f t="shared" si="5"/>
        <v>2.8536621018438346E-2</v>
      </c>
    </row>
    <row r="176" spans="2:24" x14ac:dyDescent="0.35">
      <c r="B176" s="96" t="s">
        <v>172</v>
      </c>
      <c r="C176" s="91">
        <v>4.3499999999999997E-2</v>
      </c>
      <c r="D176" s="83">
        <v>0.1959672796412664</v>
      </c>
      <c r="E176" s="88">
        <v>41342.127317722101</v>
      </c>
      <c r="F176" s="89">
        <v>0</v>
      </c>
      <c r="G176" s="94">
        <v>1.6799999999999999E-2</v>
      </c>
      <c r="H176" s="83">
        <v>0.1855532859521036</v>
      </c>
      <c r="I176" s="88">
        <v>39145.144975713512</v>
      </c>
      <c r="J176" s="89">
        <v>0</v>
      </c>
      <c r="K176" s="94">
        <v>2.5600000000000001E-2</v>
      </c>
      <c r="L176" s="83">
        <v>0.20772191567065601</v>
      </c>
      <c r="M176" s="88">
        <v>43821.937519660387</v>
      </c>
      <c r="N176" s="89">
        <v>0</v>
      </c>
      <c r="O176" s="91">
        <v>3.32E-2</v>
      </c>
      <c r="P176" s="83">
        <v>0.21309078292441189</v>
      </c>
      <c r="Q176" s="92">
        <v>44954.577590814333</v>
      </c>
      <c r="R176" s="89">
        <v>0</v>
      </c>
      <c r="S176" s="91">
        <v>8.8800000000000004E-2</v>
      </c>
      <c r="T176" s="83">
        <v>0.19766673581156199</v>
      </c>
      <c r="U176" s="92">
        <v>41700.652136211509</v>
      </c>
      <c r="V176" s="89">
        <v>0</v>
      </c>
      <c r="W176" s="85">
        <f t="shared" si="4"/>
        <v>210964.43954012185</v>
      </c>
      <c r="X176" s="86">
        <f t="shared" si="5"/>
        <v>4.1003543407024834E-2</v>
      </c>
    </row>
    <row r="177" spans="2:24" x14ac:dyDescent="0.35">
      <c r="B177" s="97" t="s">
        <v>173</v>
      </c>
      <c r="C177" s="91">
        <v>0.1012</v>
      </c>
      <c r="D177" s="83">
        <v>0.19833614729359039</v>
      </c>
      <c r="E177" s="88">
        <v>45525.950602275567</v>
      </c>
      <c r="F177" s="89">
        <v>0</v>
      </c>
      <c r="G177" s="94">
        <v>9.7100000000000006E-2</v>
      </c>
      <c r="H177" s="83">
        <v>0.1870970633018324</v>
      </c>
      <c r="I177" s="88">
        <v>42946.138552855293</v>
      </c>
      <c r="J177" s="89">
        <v>0</v>
      </c>
      <c r="K177" s="94">
        <v>8.6499999999999994E-2</v>
      </c>
      <c r="L177" s="83">
        <v>0.2074264601328257</v>
      </c>
      <c r="M177" s="88">
        <v>47612.535115111023</v>
      </c>
      <c r="N177" s="89">
        <v>0</v>
      </c>
      <c r="O177" s="91">
        <v>6.3500000000000001E-2</v>
      </c>
      <c r="P177" s="83">
        <v>0.2082832114983296</v>
      </c>
      <c r="Q177" s="92">
        <v>47809.19326783104</v>
      </c>
      <c r="R177" s="89">
        <v>0</v>
      </c>
      <c r="S177" s="91">
        <v>9.4600000000000004E-2</v>
      </c>
      <c r="T177" s="83">
        <v>0.19885711777342191</v>
      </c>
      <c r="U177" s="92">
        <v>45645.533828297121</v>
      </c>
      <c r="V177" s="89">
        <v>0</v>
      </c>
      <c r="W177" s="85">
        <f t="shared" si="4"/>
        <v>229539.35136637004</v>
      </c>
      <c r="X177" s="86">
        <f t="shared" si="5"/>
        <v>8.8047596394631E-2</v>
      </c>
    </row>
    <row r="178" spans="2:24" x14ac:dyDescent="0.35">
      <c r="B178" s="96" t="s">
        <v>174</v>
      </c>
      <c r="C178" s="91">
        <v>4.1799999999999997E-2</v>
      </c>
      <c r="D178" s="83">
        <v>0.19991351326449239</v>
      </c>
      <c r="E178" s="88">
        <v>47428.935337450697</v>
      </c>
      <c r="F178" s="89">
        <v>0</v>
      </c>
      <c r="G178" s="94">
        <v>4.1099999999999998E-2</v>
      </c>
      <c r="H178" s="83">
        <v>0.188458331986635</v>
      </c>
      <c r="I178" s="88">
        <v>44711.224847377627</v>
      </c>
      <c r="J178" s="89">
        <v>0</v>
      </c>
      <c r="K178" s="94">
        <v>3.6799999999999999E-2</v>
      </c>
      <c r="L178" s="83">
        <v>0.20807268435488349</v>
      </c>
      <c r="M178" s="88">
        <v>49364.676407347113</v>
      </c>
      <c r="N178" s="89">
        <v>0</v>
      </c>
      <c r="O178" s="91">
        <v>4.0000000000000002E-4</v>
      </c>
      <c r="P178" s="83">
        <v>0.20159691137912339</v>
      </c>
      <c r="Q178" s="92">
        <v>47828.316945138169</v>
      </c>
      <c r="R178" s="89">
        <v>0</v>
      </c>
      <c r="S178" s="91">
        <v>4.9700000000000001E-2</v>
      </c>
      <c r="T178" s="83">
        <v>0.20195855901486559</v>
      </c>
      <c r="U178" s="92">
        <v>47914.116859563488</v>
      </c>
      <c r="V178" s="89">
        <v>0</v>
      </c>
      <c r="W178" s="85">
        <f t="shared" si="4"/>
        <v>237247.27039687711</v>
      </c>
      <c r="X178" s="86">
        <f t="shared" si="5"/>
        <v>3.3579946029403729E-2</v>
      </c>
    </row>
    <row r="179" spans="2:24" x14ac:dyDescent="0.35">
      <c r="B179" s="97" t="s">
        <v>175</v>
      </c>
      <c r="C179" s="91">
        <v>0</v>
      </c>
      <c r="D179" s="83">
        <v>0.22601746473708351</v>
      </c>
      <c r="E179" s="88">
        <v>51272.422729998972</v>
      </c>
      <c r="F179" s="99">
        <v>3843.487392548268</v>
      </c>
      <c r="G179" s="93">
        <v>-5.0799999999999998E-2</v>
      </c>
      <c r="H179" s="83">
        <v>0.1801897896822531</v>
      </c>
      <c r="I179" s="88">
        <v>40876.341476377289</v>
      </c>
      <c r="J179" s="100">
        <v>-1563.5531487535629</v>
      </c>
      <c r="K179" s="93">
        <v>-4.1700000000000001E-2</v>
      </c>
      <c r="L179" s="83">
        <v>0.2010667672493307</v>
      </c>
      <c r="M179" s="88">
        <v>45612.317169180817</v>
      </c>
      <c r="N179" s="100">
        <v>-1693.852231979909</v>
      </c>
      <c r="O179" s="87">
        <v>-5.6899999999999999E-2</v>
      </c>
      <c r="P179" s="83">
        <v>0.20944099656337969</v>
      </c>
      <c r="Q179" s="92">
        <v>47512.024459178683</v>
      </c>
      <c r="R179" s="99">
        <v>2405.1387482188661</v>
      </c>
      <c r="S179" s="87">
        <v>-6.9800000000000001E-2</v>
      </c>
      <c r="T179" s="83">
        <v>0.1832849817679531</v>
      </c>
      <c r="U179" s="92">
        <v>41578.490742732283</v>
      </c>
      <c r="V179" s="100">
        <v>-2991.2207600336769</v>
      </c>
      <c r="W179" s="85">
        <f t="shared" si="4"/>
        <v>226851.59657746804</v>
      </c>
      <c r="X179" s="86">
        <f t="shared" si="5"/>
        <v>-4.3817885879229523E-2</v>
      </c>
    </row>
    <row r="180" spans="2:24" x14ac:dyDescent="0.35">
      <c r="B180" s="96" t="s">
        <v>176</v>
      </c>
      <c r="C180" s="91">
        <v>0.14710000000000001</v>
      </c>
      <c r="D180" s="83">
        <v>0.23088388140289801</v>
      </c>
      <c r="E180" s="88">
        <v>58814.596113581807</v>
      </c>
      <c r="F180" s="89">
        <v>0</v>
      </c>
      <c r="G180" s="94">
        <v>0.1255</v>
      </c>
      <c r="H180" s="83">
        <v>0.18060343810733351</v>
      </c>
      <c r="I180" s="88">
        <v>46006.322331662639</v>
      </c>
      <c r="J180" s="89">
        <v>0</v>
      </c>
      <c r="K180" s="94">
        <v>0.1225</v>
      </c>
      <c r="L180" s="83">
        <v>0.200991171245606</v>
      </c>
      <c r="M180" s="88">
        <v>51199.826022405483</v>
      </c>
      <c r="N180" s="89">
        <v>0</v>
      </c>
      <c r="O180" s="91">
        <v>9.3200000000000005E-2</v>
      </c>
      <c r="P180" s="83">
        <v>0.20389738436885629</v>
      </c>
      <c r="Q180" s="92">
        <v>51940.145138774133</v>
      </c>
      <c r="R180" s="89">
        <v>0</v>
      </c>
      <c r="S180" s="91">
        <v>0.125</v>
      </c>
      <c r="T180" s="83">
        <v>0.1836241248753063</v>
      </c>
      <c r="U180" s="92">
        <v>46775.802085573821</v>
      </c>
      <c r="V180" s="89">
        <v>0</v>
      </c>
      <c r="W180" s="85">
        <f t="shared" si="4"/>
        <v>254736.6916919979</v>
      </c>
      <c r="X180" s="86">
        <f t="shared" si="5"/>
        <v>0.12292219025669193</v>
      </c>
    </row>
    <row r="181" spans="2:24" x14ac:dyDescent="0.35">
      <c r="B181" s="97" t="s">
        <v>177</v>
      </c>
      <c r="C181" s="87">
        <v>-2.8899999999999999E-2</v>
      </c>
      <c r="D181" s="83">
        <v>0.23239865332639389</v>
      </c>
      <c r="E181" s="88">
        <v>57114.854285899302</v>
      </c>
      <c r="F181" s="89">
        <v>0</v>
      </c>
      <c r="G181" s="93">
        <v>-6.2899999999999998E-2</v>
      </c>
      <c r="H181" s="83">
        <v>0.17542358808506309</v>
      </c>
      <c r="I181" s="88">
        <v>43112.524657001057</v>
      </c>
      <c r="J181" s="89">
        <v>0</v>
      </c>
      <c r="K181" s="93">
        <v>-4.6699999999999998E-2</v>
      </c>
      <c r="L181" s="83">
        <v>0.19860154021412571</v>
      </c>
      <c r="M181" s="88">
        <v>48808.79414715914</v>
      </c>
      <c r="N181" s="89">
        <v>0</v>
      </c>
      <c r="O181" s="87">
        <v>-4.2000000000000003E-2</v>
      </c>
      <c r="P181" s="83">
        <v>0.20246651238962671</v>
      </c>
      <c r="Q181" s="92">
        <v>49758.659042945612</v>
      </c>
      <c r="R181" s="89">
        <v>0</v>
      </c>
      <c r="S181" s="91">
        <v>4.1000000000000003E-3</v>
      </c>
      <c r="T181" s="83">
        <v>0.1911097059847906</v>
      </c>
      <c r="U181" s="92">
        <v>46967.582874124673</v>
      </c>
      <c r="V181" s="89">
        <v>0</v>
      </c>
      <c r="W181" s="85">
        <f t="shared" si="4"/>
        <v>245762.41500712975</v>
      </c>
      <c r="X181" s="86">
        <f t="shared" si="5"/>
        <v>-3.5229619358168263E-2</v>
      </c>
    </row>
    <row r="182" spans="2:24" x14ac:dyDescent="0.35">
      <c r="B182" s="96" t="s">
        <v>178</v>
      </c>
      <c r="C182" s="87">
        <v>-0.1426</v>
      </c>
      <c r="D182" s="83">
        <v>0.2230283584826033</v>
      </c>
      <c r="E182" s="88">
        <v>48970.276064730053</v>
      </c>
      <c r="F182" s="89">
        <v>0</v>
      </c>
      <c r="G182" s="93">
        <v>-0.1077</v>
      </c>
      <c r="H182" s="83">
        <v>0.17520313960183889</v>
      </c>
      <c r="I182" s="88">
        <v>38469.305751442051</v>
      </c>
      <c r="J182" s="89">
        <v>0</v>
      </c>
      <c r="K182" s="93">
        <v>-8.3299999999999999E-2</v>
      </c>
      <c r="L182" s="83">
        <v>0.20377591187412061</v>
      </c>
      <c r="M182" s="88">
        <v>44743.021594700782</v>
      </c>
      <c r="N182" s="89">
        <v>0</v>
      </c>
      <c r="O182" s="87">
        <v>-5.96E-2</v>
      </c>
      <c r="P182" s="83">
        <v>0.2131124510482432</v>
      </c>
      <c r="Q182" s="92">
        <v>46793.042963986052</v>
      </c>
      <c r="R182" s="89">
        <v>0</v>
      </c>
      <c r="S182" s="87">
        <v>-0.13569999999999999</v>
      </c>
      <c r="T182" s="83">
        <v>0.18488013899319389</v>
      </c>
      <c r="U182" s="92">
        <v>40594.081878105957</v>
      </c>
      <c r="V182" s="89">
        <v>0</v>
      </c>
      <c r="W182" s="85">
        <f t="shared" si="4"/>
        <v>219569.72825296491</v>
      </c>
      <c r="X182" s="86">
        <f t="shared" si="5"/>
        <v>-0.10657726794149935</v>
      </c>
    </row>
    <row r="183" spans="2:24" x14ac:dyDescent="0.35">
      <c r="B183" s="97" t="s">
        <v>179</v>
      </c>
      <c r="C183" s="91">
        <v>6.0400000000000002E-2</v>
      </c>
      <c r="D183" s="83">
        <v>0.22936628177096829</v>
      </c>
      <c r="E183" s="88">
        <v>51928.080739039753</v>
      </c>
      <c r="F183" s="89">
        <v>0</v>
      </c>
      <c r="G183" s="94">
        <v>5.7799999999999997E-2</v>
      </c>
      <c r="H183" s="83">
        <v>0.17974019743201031</v>
      </c>
      <c r="I183" s="88">
        <v>40692.831623875412</v>
      </c>
      <c r="J183" s="89">
        <v>0</v>
      </c>
      <c r="K183" s="94">
        <v>5.3400000000000003E-2</v>
      </c>
      <c r="L183" s="83">
        <v>0.2081833182958453</v>
      </c>
      <c r="M183" s="88">
        <v>47132.298947857802</v>
      </c>
      <c r="N183" s="89">
        <v>0</v>
      </c>
      <c r="O183" s="91">
        <v>4.7899999999999998E-2</v>
      </c>
      <c r="P183" s="83">
        <v>0.21658502806229499</v>
      </c>
      <c r="Q183" s="92">
        <v>49034.429721960987</v>
      </c>
      <c r="R183" s="89">
        <v>0</v>
      </c>
      <c r="S183" s="87">
        <v>-7.3499999999999996E-2</v>
      </c>
      <c r="T183" s="83">
        <v>0.1661251744388812</v>
      </c>
      <c r="U183" s="92">
        <v>37610.416860065168</v>
      </c>
      <c r="V183" s="89">
        <v>0</v>
      </c>
      <c r="W183" s="85">
        <f t="shared" si="4"/>
        <v>226398.05789279912</v>
      </c>
      <c r="X183" s="86">
        <f t="shared" si="5"/>
        <v>3.1098684204624583E-2</v>
      </c>
    </row>
    <row r="184" spans="2:24" x14ac:dyDescent="0.35">
      <c r="B184" s="96" t="s">
        <v>180</v>
      </c>
      <c r="C184" s="87">
        <v>-8.5000000000000006E-2</v>
      </c>
      <c r="D184" s="83">
        <v>0.2099479024577659</v>
      </c>
      <c r="E184" s="88">
        <v>47514.193876221369</v>
      </c>
      <c r="F184" s="89">
        <v>0</v>
      </c>
      <c r="G184" s="94">
        <v>6.1499999999999999E-2</v>
      </c>
      <c r="H184" s="83">
        <v>0.19086490678472659</v>
      </c>
      <c r="I184" s="88">
        <v>43195.440768743749</v>
      </c>
      <c r="J184" s="89">
        <v>0</v>
      </c>
      <c r="K184" s="94">
        <v>3.15E-2</v>
      </c>
      <c r="L184" s="83">
        <v>0.21482065209234</v>
      </c>
      <c r="M184" s="88">
        <v>48616.966364715328</v>
      </c>
      <c r="N184" s="89">
        <v>0</v>
      </c>
      <c r="O184" s="91">
        <v>5.7000000000000002E-2</v>
      </c>
      <c r="P184" s="83">
        <v>0.2290151909086561</v>
      </c>
      <c r="Q184" s="92">
        <v>51829.392216112763</v>
      </c>
      <c r="R184" s="89">
        <v>0</v>
      </c>
      <c r="S184" s="87">
        <v>-6.5199999999999994E-2</v>
      </c>
      <c r="T184" s="83">
        <v>0.15535134775651149</v>
      </c>
      <c r="U184" s="92">
        <v>35158.217680788919</v>
      </c>
      <c r="V184" s="89">
        <v>0</v>
      </c>
      <c r="W184" s="85">
        <f t="shared" si="4"/>
        <v>226314.21090658213</v>
      </c>
      <c r="X184" s="86">
        <f t="shared" si="5"/>
        <v>-3.7035205600877141E-4</v>
      </c>
    </row>
    <row r="185" spans="2:24" x14ac:dyDescent="0.35">
      <c r="B185" s="97" t="s">
        <v>181</v>
      </c>
      <c r="C185" s="91">
        <v>2.4299999999999999E-2</v>
      </c>
      <c r="D185" s="83">
        <v>0.18845710969738019</v>
      </c>
      <c r="E185" s="88">
        <v>42063.651352747343</v>
      </c>
      <c r="F185" s="100">
        <v>-6605.1374346662051</v>
      </c>
      <c r="G185" s="93">
        <v>-4.6800000000000001E-2</v>
      </c>
      <c r="H185" s="83">
        <v>0.19090072446473599</v>
      </c>
      <c r="I185" s="88">
        <v>42609.066486087417</v>
      </c>
      <c r="J185" s="99">
        <v>1435.172345320876</v>
      </c>
      <c r="K185" s="93">
        <v>-4.4200000000000003E-2</v>
      </c>
      <c r="L185" s="83">
        <v>0.220980329983643</v>
      </c>
      <c r="M185" s="88">
        <v>49322.838343287178</v>
      </c>
      <c r="N185" s="99">
        <v>2854.7418918922699</v>
      </c>
      <c r="O185" s="87">
        <v>-2.1499999999999998E-2</v>
      </c>
      <c r="P185" s="83">
        <v>0.22559261343523829</v>
      </c>
      <c r="Q185" s="92">
        <v>50352.30060851817</v>
      </c>
      <c r="R185" s="100">
        <v>-362.75967494816717</v>
      </c>
      <c r="S185" s="91">
        <v>2.8899999999999999E-2</v>
      </c>
      <c r="T185" s="83">
        <v>0.1740692224190025</v>
      </c>
      <c r="U185" s="92">
        <v>38852.273044164896</v>
      </c>
      <c r="V185" s="99">
        <v>2677.98287240119</v>
      </c>
      <c r="W185" s="85">
        <f t="shared" si="4"/>
        <v>223200.129834805</v>
      </c>
      <c r="X185" s="86">
        <f t="shared" si="5"/>
        <v>-1.3759989084656032E-2</v>
      </c>
    </row>
    <row r="186" spans="2:24" x14ac:dyDescent="0.35">
      <c r="B186" s="96" t="s">
        <v>182</v>
      </c>
      <c r="C186" s="91">
        <v>4.0899999999999999E-2</v>
      </c>
      <c r="D186" s="83">
        <v>0.1929789666959279</v>
      </c>
      <c r="E186" s="88">
        <v>43784.054693074708</v>
      </c>
      <c r="F186" s="89">
        <v>0</v>
      </c>
      <c r="G186" s="93">
        <v>-5.3E-3</v>
      </c>
      <c r="H186" s="83">
        <v>0.1868048451770821</v>
      </c>
      <c r="I186" s="88">
        <v>42383.238433711158</v>
      </c>
      <c r="J186" s="89">
        <v>0</v>
      </c>
      <c r="K186" s="94">
        <v>3.3999999999999998E-3</v>
      </c>
      <c r="L186" s="83">
        <v>0.21813038020879461</v>
      </c>
      <c r="M186" s="88">
        <v>49490.535993654361</v>
      </c>
      <c r="N186" s="89">
        <v>0</v>
      </c>
      <c r="O186" s="91">
        <v>4.5999999999999999E-3</v>
      </c>
      <c r="P186" s="83">
        <v>0.2229494940876881</v>
      </c>
      <c r="Q186" s="92">
        <v>50583.921191317349</v>
      </c>
      <c r="R186" s="89">
        <v>0</v>
      </c>
      <c r="S186" s="91">
        <v>4.6100000000000002E-2</v>
      </c>
      <c r="T186" s="83">
        <v>0.17913631383050729</v>
      </c>
      <c r="U186" s="92">
        <v>40643.362831500897</v>
      </c>
      <c r="V186" s="89">
        <v>0</v>
      </c>
      <c r="W186" s="85">
        <f t="shared" si="4"/>
        <v>226885.1131432585</v>
      </c>
      <c r="X186" s="86">
        <f t="shared" si="5"/>
        <v>1.6509772244222454E-2</v>
      </c>
    </row>
    <row r="187" spans="2:24" x14ac:dyDescent="0.35">
      <c r="B187" s="97" t="s">
        <v>183</v>
      </c>
      <c r="C187" s="91">
        <v>6.59E-2</v>
      </c>
      <c r="D187" s="83">
        <v>0.19299488686132421</v>
      </c>
      <c r="E187" s="88">
        <v>46669.423897348337</v>
      </c>
      <c r="F187" s="89">
        <v>0</v>
      </c>
      <c r="G187" s="94">
        <v>0.1031</v>
      </c>
      <c r="H187" s="83">
        <v>0.193340298705208</v>
      </c>
      <c r="I187" s="88">
        <v>46752.950316226779</v>
      </c>
      <c r="J187" s="89">
        <v>0</v>
      </c>
      <c r="K187" s="94">
        <v>7.2900000000000006E-2</v>
      </c>
      <c r="L187" s="83">
        <v>0.21958100370218861</v>
      </c>
      <c r="M187" s="88">
        <v>53098.396067591762</v>
      </c>
      <c r="N187" s="89">
        <v>0</v>
      </c>
      <c r="O187" s="91">
        <v>3.0300000000000001E-2</v>
      </c>
      <c r="P187" s="83">
        <v>0.2155209810454877</v>
      </c>
      <c r="Q187" s="92">
        <v>52116.614003414274</v>
      </c>
      <c r="R187" s="89">
        <v>0</v>
      </c>
      <c r="S187" s="91">
        <v>6.2399999999999997E-2</v>
      </c>
      <c r="T187" s="83">
        <v>0.1785628296857914</v>
      </c>
      <c r="U187" s="92">
        <v>43179.508672186559</v>
      </c>
      <c r="V187" s="89">
        <v>0</v>
      </c>
      <c r="W187" s="85">
        <f t="shared" si="4"/>
        <v>241816.89295676773</v>
      </c>
      <c r="X187" s="86">
        <f t="shared" si="5"/>
        <v>6.5812073814120575E-2</v>
      </c>
    </row>
    <row r="188" spans="2:24" x14ac:dyDescent="0.35">
      <c r="B188" s="96" t="s">
        <v>184</v>
      </c>
      <c r="C188" s="91">
        <v>5.0999999999999997E-2</v>
      </c>
      <c r="D188" s="83">
        <v>0.1995442129335909</v>
      </c>
      <c r="E188" s="88">
        <v>49049.564516113103</v>
      </c>
      <c r="F188" s="89">
        <v>0</v>
      </c>
      <c r="G188" s="93">
        <v>-1.11E-2</v>
      </c>
      <c r="H188" s="83">
        <v>0.18808985867085129</v>
      </c>
      <c r="I188" s="88">
        <v>46233.992567716661</v>
      </c>
      <c r="J188" s="89">
        <v>0</v>
      </c>
      <c r="K188" s="94">
        <v>3.8999999999999998E-3</v>
      </c>
      <c r="L188" s="83">
        <v>0.21685819474889859</v>
      </c>
      <c r="M188" s="88">
        <v>53305.479812255369</v>
      </c>
      <c r="N188" s="89">
        <v>0</v>
      </c>
      <c r="O188" s="91">
        <v>4.4999999999999997E-3</v>
      </c>
      <c r="P188" s="83">
        <v>0.21297572943573639</v>
      </c>
      <c r="Q188" s="92">
        <v>52351.138766429627</v>
      </c>
      <c r="R188" s="89">
        <v>0</v>
      </c>
      <c r="S188" s="91">
        <v>3.9100000000000003E-2</v>
      </c>
      <c r="T188" s="83">
        <v>0.18253200421092289</v>
      </c>
      <c r="U188" s="92">
        <v>44867.827461269051</v>
      </c>
      <c r="V188" s="89">
        <v>0</v>
      </c>
      <c r="W188" s="85">
        <f t="shared" si="4"/>
        <v>245808.00312378383</v>
      </c>
      <c r="X188" s="86">
        <f t="shared" si="5"/>
        <v>1.6504678884157409E-2</v>
      </c>
    </row>
    <row r="189" spans="2:24" x14ac:dyDescent="0.35">
      <c r="B189" s="97" t="s">
        <v>185</v>
      </c>
      <c r="C189" s="87">
        <v>-5.6899999999999999E-2</v>
      </c>
      <c r="D189" s="83">
        <v>0.18759239171559719</v>
      </c>
      <c r="E189" s="88">
        <v>46258.644295146267</v>
      </c>
      <c r="F189" s="89">
        <v>0</v>
      </c>
      <c r="G189" s="94">
        <v>7.6300000000000007E-2</v>
      </c>
      <c r="H189" s="83">
        <v>0.2017980934962606</v>
      </c>
      <c r="I189" s="88">
        <v>49761.64620063344</v>
      </c>
      <c r="J189" s="89">
        <v>0</v>
      </c>
      <c r="K189" s="94">
        <v>3.8199999999999998E-2</v>
      </c>
      <c r="L189" s="83">
        <v>0.2244270501500574</v>
      </c>
      <c r="M189" s="88">
        <v>55341.749141083528</v>
      </c>
      <c r="N189" s="89">
        <v>0</v>
      </c>
      <c r="O189" s="91">
        <v>2.6700000000000002E-2</v>
      </c>
      <c r="P189" s="83">
        <v>0.2179676364316786</v>
      </c>
      <c r="Q189" s="92">
        <v>53748.914171493292</v>
      </c>
      <c r="R189" s="89">
        <v>0</v>
      </c>
      <c r="S189" s="87">
        <v>-7.5499999999999998E-2</v>
      </c>
      <c r="T189" s="83">
        <v>0.1682148282064061</v>
      </c>
      <c r="U189" s="92">
        <v>41480.306487943228</v>
      </c>
      <c r="V189" s="89">
        <v>0</v>
      </c>
      <c r="W189" s="85">
        <f t="shared" si="4"/>
        <v>246591.26029629976</v>
      </c>
      <c r="X189" s="86">
        <f t="shared" si="5"/>
        <v>3.1864591980819146E-3</v>
      </c>
    </row>
    <row r="190" spans="2:24" x14ac:dyDescent="0.35">
      <c r="B190" s="96" t="s">
        <v>186</v>
      </c>
      <c r="C190" s="91">
        <v>2.53E-2</v>
      </c>
      <c r="D190" s="83">
        <v>0.1925763644674488</v>
      </c>
      <c r="E190" s="88">
        <v>47428.98799581347</v>
      </c>
      <c r="F190" s="89">
        <v>0</v>
      </c>
      <c r="G190" s="93">
        <v>-3.3700000000000001E-2</v>
      </c>
      <c r="H190" s="83">
        <v>0.19523867167495609</v>
      </c>
      <c r="I190" s="88">
        <v>48084.678723672099</v>
      </c>
      <c r="J190" s="89">
        <v>0</v>
      </c>
      <c r="K190" s="93">
        <v>-3.1E-2</v>
      </c>
      <c r="L190" s="83">
        <v>0.21773877940074021</v>
      </c>
      <c r="M190" s="88">
        <v>53626.154917709937</v>
      </c>
      <c r="N190" s="89">
        <v>0</v>
      </c>
      <c r="O190" s="91">
        <v>3.56E-2</v>
      </c>
      <c r="P190" s="83">
        <v>0.22600646497958379</v>
      </c>
      <c r="Q190" s="92">
        <v>55662.375515998458</v>
      </c>
      <c r="R190" s="89">
        <v>0</v>
      </c>
      <c r="S190" s="91">
        <v>1E-4</v>
      </c>
      <c r="T190" s="83">
        <v>0.16843971947727121</v>
      </c>
      <c r="U190" s="92">
        <v>41484.454518592029</v>
      </c>
      <c r="V190" s="89">
        <v>0</v>
      </c>
      <c r="W190" s="85">
        <f t="shared" si="4"/>
        <v>246286.65167178604</v>
      </c>
      <c r="X190" s="86">
        <f t="shared" si="5"/>
        <v>-1.235277455282513E-3</v>
      </c>
    </row>
    <row r="191" spans="2:24" x14ac:dyDescent="0.35">
      <c r="B191" s="97" t="s">
        <v>187</v>
      </c>
      <c r="C191" s="91">
        <v>5.7000000000000002E-3</v>
      </c>
      <c r="D191" s="83">
        <v>0.18098820887464009</v>
      </c>
      <c r="E191" s="88">
        <v>44341.185841242783</v>
      </c>
      <c r="F191" s="100">
        <v>-3358.147386146833</v>
      </c>
      <c r="G191" s="93">
        <v>-6.7000000000000002E-3</v>
      </c>
      <c r="H191" s="83">
        <v>0.1783263408677746</v>
      </c>
      <c r="I191" s="88">
        <v>43689.041788814291</v>
      </c>
      <c r="J191" s="100">
        <v>-4073.4695874092072</v>
      </c>
      <c r="K191" s="93">
        <v>-8.6999999999999994E-3</v>
      </c>
      <c r="L191" s="83">
        <v>0.2212336282953552</v>
      </c>
      <c r="M191" s="88">
        <v>54201.107837756521</v>
      </c>
      <c r="N191" s="99">
        <v>1041.500467830665</v>
      </c>
      <c r="O191" s="87">
        <v>-5.1000000000000004E-3</v>
      </c>
      <c r="P191" s="83">
        <v>0.25444790296914171</v>
      </c>
      <c r="Q191" s="92">
        <v>62338.435319197852</v>
      </c>
      <c r="R191" s="99">
        <v>6959.9379183309866</v>
      </c>
      <c r="S191" s="87">
        <v>-1.18E-2</v>
      </c>
      <c r="T191" s="83">
        <v>0.16500391899308831</v>
      </c>
      <c r="U191" s="92">
        <v>40425.116542667063</v>
      </c>
      <c r="V191" s="100">
        <v>-569.82141260557546</v>
      </c>
      <c r="W191" s="85">
        <f t="shared" si="4"/>
        <v>244994.88732967852</v>
      </c>
      <c r="X191" s="86">
        <f t="shared" si="5"/>
        <v>-5.2449628647718294E-3</v>
      </c>
    </row>
    <row r="192" spans="2:24" x14ac:dyDescent="0.35">
      <c r="B192" s="96" t="s">
        <v>188</v>
      </c>
      <c r="C192" s="91">
        <v>7.9699999999999993E-2</v>
      </c>
      <c r="D192" s="83">
        <v>0.17157794450377739</v>
      </c>
      <c r="E192" s="88">
        <v>47875.178352789822</v>
      </c>
      <c r="F192" s="89">
        <v>0</v>
      </c>
      <c r="G192" s="94">
        <v>0.21859999999999999</v>
      </c>
      <c r="H192" s="83">
        <v>0.190802802467091</v>
      </c>
      <c r="I192" s="88">
        <v>53239.46632384909</v>
      </c>
      <c r="J192" s="89">
        <v>0</v>
      </c>
      <c r="K192" s="94">
        <v>0.14099999999999999</v>
      </c>
      <c r="L192" s="83">
        <v>0.22163832713643189</v>
      </c>
      <c r="M192" s="88">
        <v>61843.464042880187</v>
      </c>
      <c r="N192" s="89">
        <v>0</v>
      </c>
      <c r="O192" s="91">
        <v>0.1837</v>
      </c>
      <c r="P192" s="83">
        <v>0.26445306254055367</v>
      </c>
      <c r="Q192" s="92">
        <v>73790.005887334497</v>
      </c>
      <c r="R192" s="89">
        <v>0</v>
      </c>
      <c r="S192" s="91">
        <v>4.5900000000000003E-2</v>
      </c>
      <c r="T192" s="83">
        <v>0.15152786335214591</v>
      </c>
      <c r="U192" s="92">
        <v>42280.629391975483</v>
      </c>
      <c r="V192" s="89">
        <v>0</v>
      </c>
      <c r="W192" s="85">
        <f t="shared" si="4"/>
        <v>279028.7439988291</v>
      </c>
      <c r="X192" s="86">
        <f t="shared" si="5"/>
        <v>0.13891659960786362</v>
      </c>
    </row>
    <row r="193" spans="2:24" x14ac:dyDescent="0.35">
      <c r="B193" s="97" t="s">
        <v>189</v>
      </c>
      <c r="C193" s="91">
        <v>1.4999999999999999E-2</v>
      </c>
      <c r="D193" s="83">
        <v>0.17655345559056351</v>
      </c>
      <c r="E193" s="88">
        <v>48593.306028081657</v>
      </c>
      <c r="F193" s="89">
        <v>0</v>
      </c>
      <c r="G193" s="93">
        <v>-3.0599999999999999E-2</v>
      </c>
      <c r="H193" s="83">
        <v>0.1875152027803397</v>
      </c>
      <c r="I193" s="88">
        <v>51610.338654339314</v>
      </c>
      <c r="J193" s="89">
        <v>0</v>
      </c>
      <c r="K193" s="93">
        <v>-1.5599999999999999E-2</v>
      </c>
      <c r="L193" s="83">
        <v>0.22118984682053711</v>
      </c>
      <c r="M193" s="88">
        <v>60878.706003811269</v>
      </c>
      <c r="N193" s="89">
        <v>0</v>
      </c>
      <c r="O193" s="87">
        <v>-3.3700000000000001E-2</v>
      </c>
      <c r="P193" s="83">
        <v>0.25906533188761938</v>
      </c>
      <c r="Q193" s="92">
        <v>71303.282688931329</v>
      </c>
      <c r="R193" s="89">
        <v>0</v>
      </c>
      <c r="S193" s="91">
        <v>1.34E-2</v>
      </c>
      <c r="T193" s="83">
        <v>0.1556761629209405</v>
      </c>
      <c r="U193" s="92">
        <v>42847.189825827947</v>
      </c>
      <c r="V193" s="89">
        <v>0</v>
      </c>
      <c r="W193" s="85">
        <f t="shared" si="4"/>
        <v>275232.82320099149</v>
      </c>
      <c r="X193" s="86">
        <f t="shared" si="5"/>
        <v>-1.3604049329962731E-2</v>
      </c>
    </row>
    <row r="194" spans="2:24" x14ac:dyDescent="0.35">
      <c r="B194" s="96" t="s">
        <v>190</v>
      </c>
      <c r="C194" s="87">
        <v>-2.1499999999999998E-2</v>
      </c>
      <c r="D194" s="83">
        <v>0.17844004900537561</v>
      </c>
      <c r="E194" s="88">
        <v>47548.549948477907</v>
      </c>
      <c r="F194" s="89">
        <v>0</v>
      </c>
      <c r="G194" s="93">
        <v>-5.3400000000000003E-2</v>
      </c>
      <c r="H194" s="83">
        <v>0.18334043846884379</v>
      </c>
      <c r="I194" s="88">
        <v>48854.346570197587</v>
      </c>
      <c r="J194" s="89">
        <v>0</v>
      </c>
      <c r="K194" s="93">
        <v>-4.07E-2</v>
      </c>
      <c r="L194" s="83">
        <v>0.2191668743461119</v>
      </c>
      <c r="M194" s="88">
        <v>58400.942669456163</v>
      </c>
      <c r="N194" s="89">
        <v>0</v>
      </c>
      <c r="O194" s="87">
        <v>-1.4800000000000001E-2</v>
      </c>
      <c r="P194" s="83">
        <v>0.26362645178942862</v>
      </c>
      <c r="Q194" s="92">
        <v>70247.994105135149</v>
      </c>
      <c r="R194" s="89">
        <v>0</v>
      </c>
      <c r="S194" s="87">
        <v>-3.3399999999999999E-2</v>
      </c>
      <c r="T194" s="83">
        <v>0.1554261863902402</v>
      </c>
      <c r="U194" s="92">
        <v>41416.093685645297</v>
      </c>
      <c r="V194" s="89">
        <v>0</v>
      </c>
      <c r="W194" s="85">
        <f t="shared" si="4"/>
        <v>266467.92697891209</v>
      </c>
      <c r="X194" s="86">
        <f t="shared" si="5"/>
        <v>-3.1845388642759209E-2</v>
      </c>
    </row>
    <row r="195" spans="2:24" x14ac:dyDescent="0.35">
      <c r="B195" s="97" t="s">
        <v>191</v>
      </c>
      <c r="C195" s="91">
        <v>8.6199999999999999E-2</v>
      </c>
      <c r="D195" s="83">
        <v>0.18539880253798791</v>
      </c>
      <c r="E195" s="88">
        <v>51647.234954036707</v>
      </c>
      <c r="F195" s="89">
        <v>0</v>
      </c>
      <c r="G195" s="94">
        <v>4.4299999999999999E-2</v>
      </c>
      <c r="H195" s="83">
        <v>0.18314216174479339</v>
      </c>
      <c r="I195" s="88">
        <v>51018.594123257353</v>
      </c>
      <c r="J195" s="89">
        <v>0</v>
      </c>
      <c r="K195" s="94">
        <v>4.1599999999999998E-2</v>
      </c>
      <c r="L195" s="83">
        <v>0.2183638172557478</v>
      </c>
      <c r="M195" s="88">
        <v>60830.421884505537</v>
      </c>
      <c r="N195" s="89">
        <v>0</v>
      </c>
      <c r="O195" s="91">
        <v>1.6400000000000001E-2</v>
      </c>
      <c r="P195" s="83">
        <v>0.25630579954508831</v>
      </c>
      <c r="Q195" s="92">
        <v>71400.061208459359</v>
      </c>
      <c r="R195" s="89">
        <v>0</v>
      </c>
      <c r="S195" s="91">
        <v>5.4600000000000003E-2</v>
      </c>
      <c r="T195" s="83">
        <v>0.15678941891638259</v>
      </c>
      <c r="U195" s="92">
        <v>43677.412400881527</v>
      </c>
      <c r="V195" s="89">
        <v>0</v>
      </c>
      <c r="W195" s="85">
        <f t="shared" si="4"/>
        <v>278573.72457114048</v>
      </c>
      <c r="X195" s="86">
        <f t="shared" si="5"/>
        <v>4.5430599207485267E-2</v>
      </c>
    </row>
    <row r="196" spans="2:24" x14ac:dyDescent="0.35">
      <c r="B196" s="96" t="s">
        <v>192</v>
      </c>
      <c r="C196" s="87">
        <v>-1.34E-2</v>
      </c>
      <c r="D196" s="83">
        <v>0.187749909289226</v>
      </c>
      <c r="E196" s="88">
        <v>50955.162005652623</v>
      </c>
      <c r="F196" s="89">
        <v>0</v>
      </c>
      <c r="G196" s="93">
        <v>-7.4499999999999997E-2</v>
      </c>
      <c r="H196" s="83">
        <v>0.1739788513385242</v>
      </c>
      <c r="I196" s="88">
        <v>47217.708861074672</v>
      </c>
      <c r="J196" s="89">
        <v>0</v>
      </c>
      <c r="K196" s="93">
        <v>-5.2400000000000002E-2</v>
      </c>
      <c r="L196" s="83">
        <v>0.21239164552632789</v>
      </c>
      <c r="M196" s="88">
        <v>57642.907777757449</v>
      </c>
      <c r="N196" s="89">
        <v>0</v>
      </c>
      <c r="O196" s="87">
        <v>-5.7000000000000002E-3</v>
      </c>
      <c r="P196" s="83">
        <v>0.26158182933592772</v>
      </c>
      <c r="Q196" s="92">
        <v>70993.080859571142</v>
      </c>
      <c r="R196" s="89">
        <v>0</v>
      </c>
      <c r="S196" s="91">
        <v>2.0899999999999998E-2</v>
      </c>
      <c r="T196" s="83">
        <v>0.16429776450999431</v>
      </c>
      <c r="U196" s="92">
        <v>44590.270320059957</v>
      </c>
      <c r="V196" s="89">
        <v>0</v>
      </c>
      <c r="W196" s="85">
        <f t="shared" si="4"/>
        <v>271399.12982411584</v>
      </c>
      <c r="X196" s="86">
        <f t="shared" si="5"/>
        <v>-2.5754743230251953E-2</v>
      </c>
    </row>
    <row r="197" spans="2:24" x14ac:dyDescent="0.35">
      <c r="B197" s="97" t="s">
        <v>193</v>
      </c>
      <c r="C197" s="91">
        <v>5.3900000000000003E-2</v>
      </c>
      <c r="D197" s="83">
        <v>0.2002920591437318</v>
      </c>
      <c r="E197" s="88">
        <v>58273.345858793633</v>
      </c>
      <c r="F197" s="99">
        <v>4571.7006210363252</v>
      </c>
      <c r="G197" s="94">
        <v>0.13689999999999999</v>
      </c>
      <c r="H197" s="83">
        <v>0.16145292644854439</v>
      </c>
      <c r="I197" s="88">
        <v>46973.416035923932</v>
      </c>
      <c r="J197" s="100">
        <v>-6708.3971682318661</v>
      </c>
      <c r="K197" s="94">
        <v>9.2200000000000004E-2</v>
      </c>
      <c r="L197" s="83">
        <v>0.21149838499132589</v>
      </c>
      <c r="M197" s="88">
        <v>61533.73523576124</v>
      </c>
      <c r="N197" s="100">
        <v>-1423.8486391054471</v>
      </c>
      <c r="O197" s="91">
        <v>0.1061</v>
      </c>
      <c r="P197" s="83">
        <v>0.23501592103705751</v>
      </c>
      <c r="Q197" s="92">
        <v>68375.97110671064</v>
      </c>
      <c r="R197" s="100">
        <v>-10149.475632060999</v>
      </c>
      <c r="S197" s="87">
        <v>-5.6399999999999999E-2</v>
      </c>
      <c r="T197" s="83">
        <v>0.1917407083793406</v>
      </c>
      <c r="U197" s="92">
        <v>55785.399892370508</v>
      </c>
      <c r="V197" s="99">
        <v>13710.020818361931</v>
      </c>
      <c r="W197" s="85">
        <f t="shared" si="4"/>
        <v>290941.86812955997</v>
      </c>
      <c r="X197" s="86">
        <f t="shared" si="5"/>
        <v>7.2007372750638732E-2</v>
      </c>
    </row>
    <row r="198" spans="2:24" x14ac:dyDescent="0.35">
      <c r="B198" s="96" t="s">
        <v>194</v>
      </c>
      <c r="C198" s="87">
        <v>-3.15E-2</v>
      </c>
      <c r="D198" s="83">
        <v>0.18643325400387151</v>
      </c>
      <c r="E198" s="88">
        <v>56437.735464241618</v>
      </c>
      <c r="F198" s="89">
        <v>0</v>
      </c>
      <c r="G198" s="94">
        <v>0.12559999999999999</v>
      </c>
      <c r="H198" s="83">
        <v>0.17465862187169551</v>
      </c>
      <c r="I198" s="88">
        <v>52873.277090035983</v>
      </c>
      <c r="J198" s="89">
        <v>0</v>
      </c>
      <c r="K198" s="94">
        <v>8.7300000000000003E-2</v>
      </c>
      <c r="L198" s="83">
        <v>0.22101231152310069</v>
      </c>
      <c r="M198" s="88">
        <v>66905.630321843186</v>
      </c>
      <c r="N198" s="89">
        <v>0</v>
      </c>
      <c r="O198" s="91">
        <v>5.4699999999999999E-2</v>
      </c>
      <c r="P198" s="83">
        <v>0.23822440651576079</v>
      </c>
      <c r="Q198" s="92">
        <v>72116.136726247714</v>
      </c>
      <c r="R198" s="89">
        <v>0</v>
      </c>
      <c r="S198" s="87">
        <v>-2.5000000000000001E-2</v>
      </c>
      <c r="T198" s="83">
        <v>0.17967140608557139</v>
      </c>
      <c r="U198" s="92">
        <v>54390.764895061242</v>
      </c>
      <c r="V198" s="89">
        <v>0</v>
      </c>
      <c r="W198" s="85">
        <f t="shared" si="4"/>
        <v>302723.54449742974</v>
      </c>
      <c r="X198" s="86">
        <f t="shared" si="5"/>
        <v>4.0494949879895881E-2</v>
      </c>
    </row>
    <row r="199" spans="2:24" x14ac:dyDescent="0.35">
      <c r="B199" s="97" t="s">
        <v>195</v>
      </c>
      <c r="C199" s="91">
        <v>1.2800000000000001E-2</v>
      </c>
      <c r="D199" s="83">
        <v>0.17365063170460071</v>
      </c>
      <c r="E199" s="88">
        <v>57160.138478183922</v>
      </c>
      <c r="F199" s="89">
        <v>0</v>
      </c>
      <c r="G199" s="94">
        <v>0.2296</v>
      </c>
      <c r="H199" s="83">
        <v>0.1975073120668511</v>
      </c>
      <c r="I199" s="88">
        <v>65012.981509908233</v>
      </c>
      <c r="J199" s="89">
        <v>0</v>
      </c>
      <c r="K199" s="94">
        <v>0.1993</v>
      </c>
      <c r="L199" s="83">
        <v>0.2437662607451189</v>
      </c>
      <c r="M199" s="88">
        <v>80239.922444986529</v>
      </c>
      <c r="N199" s="89">
        <v>0</v>
      </c>
      <c r="O199" s="91">
        <v>0.14990000000000001</v>
      </c>
      <c r="P199" s="83">
        <v>0.25192752651615302</v>
      </c>
      <c r="Q199" s="92">
        <v>82926.345621512242</v>
      </c>
      <c r="R199" s="89">
        <v>0</v>
      </c>
      <c r="S199" s="87">
        <v>-0.19420000000000001</v>
      </c>
      <c r="T199" s="83">
        <v>0.1331482689672765</v>
      </c>
      <c r="U199" s="92">
        <v>43828.078352440352</v>
      </c>
      <c r="V199" s="89">
        <v>0</v>
      </c>
      <c r="W199" s="85">
        <f t="shared" si="4"/>
        <v>329167.46640703129</v>
      </c>
      <c r="X199" s="86">
        <f t="shared" si="5"/>
        <v>8.7353370394439356E-2</v>
      </c>
    </row>
    <row r="200" spans="2:24" x14ac:dyDescent="0.35">
      <c r="B200" s="96" t="s">
        <v>196</v>
      </c>
      <c r="C200" s="91">
        <v>0.1575</v>
      </c>
      <c r="D200" s="83">
        <v>0.18990727759666279</v>
      </c>
      <c r="E200" s="88">
        <v>66162.860288497875</v>
      </c>
      <c r="F200" s="89">
        <v>0</v>
      </c>
      <c r="G200" s="94">
        <v>3.8199999999999998E-2</v>
      </c>
      <c r="H200" s="83">
        <v>0.1937351591994004</v>
      </c>
      <c r="I200" s="88">
        <v>67496.47740358673</v>
      </c>
      <c r="J200" s="89">
        <v>0</v>
      </c>
      <c r="K200" s="94">
        <v>2.8799999999999999E-2</v>
      </c>
      <c r="L200" s="83">
        <v>0.23694567828911789</v>
      </c>
      <c r="M200" s="88">
        <v>82550.832211402128</v>
      </c>
      <c r="N200" s="89">
        <v>0</v>
      </c>
      <c r="O200" s="91">
        <v>9.9000000000000005E-2</v>
      </c>
      <c r="P200" s="83">
        <v>0.26158784248168682</v>
      </c>
      <c r="Q200" s="92">
        <v>91136.053838041946</v>
      </c>
      <c r="R200" s="89">
        <v>0</v>
      </c>
      <c r="S200" s="87">
        <v>-6.3399999999999998E-2</v>
      </c>
      <c r="T200" s="83">
        <v>0.1178240424331321</v>
      </c>
      <c r="U200" s="92">
        <v>41049.378184895628</v>
      </c>
      <c r="V200" s="89">
        <v>0</v>
      </c>
      <c r="W200" s="85">
        <f t="shared" si="4"/>
        <v>348395.60192642431</v>
      </c>
      <c r="X200" s="86">
        <f t="shared" si="5"/>
        <v>5.8414446996461367E-2</v>
      </c>
    </row>
    <row r="201" spans="2:24" x14ac:dyDescent="0.35">
      <c r="B201" s="97" t="s">
        <v>197</v>
      </c>
      <c r="C201" s="91">
        <v>5.8900000000000001E-2</v>
      </c>
      <c r="D201" s="83">
        <v>0.19254695776165709</v>
      </c>
      <c r="E201" s="88">
        <v>70059.852759490401</v>
      </c>
      <c r="F201" s="89">
        <v>0</v>
      </c>
      <c r="G201" s="93">
        <v>-6.1000000000000004E-3</v>
      </c>
      <c r="H201" s="83">
        <v>0.18437041761408501</v>
      </c>
      <c r="I201" s="88">
        <v>67084.748891424853</v>
      </c>
      <c r="J201" s="89">
        <v>0</v>
      </c>
      <c r="K201" s="94">
        <v>1.5299999999999999E-2</v>
      </c>
      <c r="L201" s="83">
        <v>0.23034738319997791</v>
      </c>
      <c r="M201" s="88">
        <v>83813.859944236596</v>
      </c>
      <c r="N201" s="89">
        <v>0</v>
      </c>
      <c r="O201" s="91">
        <v>3.9600000000000003E-2</v>
      </c>
      <c r="P201" s="83">
        <v>0.26038977815064712</v>
      </c>
      <c r="Q201" s="92">
        <v>94745.041570028421</v>
      </c>
      <c r="R201" s="89">
        <v>0</v>
      </c>
      <c r="S201" s="91">
        <v>0.1731</v>
      </c>
      <c r="T201" s="83">
        <v>0.13234546327363289</v>
      </c>
      <c r="U201" s="92">
        <v>48155.025548701073</v>
      </c>
      <c r="V201" s="89">
        <v>0</v>
      </c>
      <c r="W201" s="85">
        <f t="shared" si="4"/>
        <v>363858.52871388133</v>
      </c>
      <c r="X201" s="86">
        <f t="shared" si="5"/>
        <v>4.4383243364600755E-2</v>
      </c>
    </row>
    <row r="202" spans="2:24" x14ac:dyDescent="0.35">
      <c r="B202" s="96" t="s">
        <v>198</v>
      </c>
      <c r="C202" s="91">
        <v>1.8200000000000001E-2</v>
      </c>
      <c r="D202" s="83">
        <v>0.1924110816234543</v>
      </c>
      <c r="E202" s="88">
        <v>71334.942079713132</v>
      </c>
      <c r="F202" s="89">
        <v>0</v>
      </c>
      <c r="G202" s="94">
        <v>1.9E-3</v>
      </c>
      <c r="H202" s="83">
        <v>0.18129087416185791</v>
      </c>
      <c r="I202" s="88">
        <v>67212.209914318562</v>
      </c>
      <c r="J202" s="89">
        <v>0</v>
      </c>
      <c r="K202" s="93">
        <v>-8.0000000000000004E-4</v>
      </c>
      <c r="L202" s="83">
        <v>0.22588949545292111</v>
      </c>
      <c r="M202" s="88">
        <v>83746.808856281204</v>
      </c>
      <c r="N202" s="89">
        <v>0</v>
      </c>
      <c r="O202" s="91">
        <v>3.0200000000000001E-2</v>
      </c>
      <c r="P202" s="83">
        <v>0.26327268595740722</v>
      </c>
      <c r="Q202" s="92">
        <v>97606.341825443276</v>
      </c>
      <c r="R202" s="89">
        <v>0</v>
      </c>
      <c r="S202" s="91">
        <v>5.5800000000000002E-2</v>
      </c>
      <c r="T202" s="83">
        <v>0.1371358628043596</v>
      </c>
      <c r="U202" s="92">
        <v>50842.075974318592</v>
      </c>
      <c r="V202" s="89">
        <v>0</v>
      </c>
      <c r="W202" s="85">
        <f t="shared" si="4"/>
        <v>370742.37865007477</v>
      </c>
      <c r="X202" s="86">
        <f t="shared" si="5"/>
        <v>1.8919028668987314E-2</v>
      </c>
    </row>
    <row r="203" spans="2:24" x14ac:dyDescent="0.35">
      <c r="B203" s="97" t="s">
        <v>199</v>
      </c>
      <c r="C203" s="91">
        <v>6.1999999999999998E-3</v>
      </c>
      <c r="D203" s="83">
        <v>0.21819880406023609</v>
      </c>
      <c r="E203" s="88">
        <v>81285.192779928388</v>
      </c>
      <c r="F203" s="99">
        <v>9507.9740593210299</v>
      </c>
      <c r="G203" s="93">
        <v>-5.3E-3</v>
      </c>
      <c r="H203" s="83">
        <v>0.16106709760515611</v>
      </c>
      <c r="I203" s="88">
        <v>60002.024922759752</v>
      </c>
      <c r="J203" s="100">
        <v>-6853.9602790129356</v>
      </c>
      <c r="K203" s="93">
        <v>-3.9100000000000003E-2</v>
      </c>
      <c r="L203" s="83">
        <v>0.20831650431341461</v>
      </c>
      <c r="M203" s="88">
        <v>77603.758119967228</v>
      </c>
      <c r="N203" s="100">
        <v>-2868.550510033383</v>
      </c>
      <c r="O203" s="91">
        <v>5.6899999999999999E-2</v>
      </c>
      <c r="P203" s="83">
        <v>0.23568849394619629</v>
      </c>
      <c r="Q203" s="92">
        <v>87800.59427428752</v>
      </c>
      <c r="R203" s="100">
        <v>-15359.54840102348</v>
      </c>
      <c r="S203" s="87">
        <v>-1.14E-2</v>
      </c>
      <c r="T203" s="83">
        <v>0.17672910007499679</v>
      </c>
      <c r="U203" s="92">
        <v>65836.561438960183</v>
      </c>
      <c r="V203" s="99">
        <v>15574.085130748819</v>
      </c>
      <c r="W203" s="85">
        <f t="shared" si="4"/>
        <v>372528.13153590309</v>
      </c>
      <c r="X203" s="86">
        <f t="shared" si="5"/>
        <v>4.8166947958052653E-3</v>
      </c>
    </row>
    <row r="204" spans="2:24" x14ac:dyDescent="0.35">
      <c r="B204" s="96" t="s">
        <v>200</v>
      </c>
      <c r="C204" s="91">
        <v>0.11890000000000001</v>
      </c>
      <c r="D204" s="83">
        <v>0.23068846043483671</v>
      </c>
      <c r="E204" s="88">
        <v>90950.002201461873</v>
      </c>
      <c r="F204" s="89">
        <v>0</v>
      </c>
      <c r="G204" s="93">
        <v>-8.2000000000000007E-3</v>
      </c>
      <c r="H204" s="83">
        <v>0.1509430661587578</v>
      </c>
      <c r="I204" s="88">
        <v>59510.008318393113</v>
      </c>
      <c r="J204" s="89">
        <v>0</v>
      </c>
      <c r="K204" s="94">
        <v>3.4700000000000002E-2</v>
      </c>
      <c r="L204" s="83">
        <v>0.2036668559736704</v>
      </c>
      <c r="M204" s="88">
        <v>80296.60852673008</v>
      </c>
      <c r="N204" s="89">
        <v>0</v>
      </c>
      <c r="O204" s="91">
        <v>4.1599999999999998E-2</v>
      </c>
      <c r="P204" s="83">
        <v>0.2319645310472068</v>
      </c>
      <c r="Q204" s="92">
        <v>91453.098996097891</v>
      </c>
      <c r="R204" s="89">
        <v>0</v>
      </c>
      <c r="S204" s="91">
        <v>9.4299999999999995E-2</v>
      </c>
      <c r="T204" s="83">
        <v>0.1827370863855283</v>
      </c>
      <c r="U204" s="92">
        <v>72044.949182654134</v>
      </c>
      <c r="V204" s="89">
        <v>0</v>
      </c>
      <c r="W204" s="85">
        <f t="shared" si="4"/>
        <v>394254.66722533712</v>
      </c>
      <c r="X204" s="86">
        <f t="shared" si="5"/>
        <v>5.8321865787309246E-2</v>
      </c>
    </row>
    <row r="205" spans="2:24" x14ac:dyDescent="0.35">
      <c r="B205" s="97" t="s">
        <v>201</v>
      </c>
      <c r="C205" s="91">
        <v>4.1999999999999997E-3</v>
      </c>
      <c r="D205" s="83">
        <v>0.22739065670061451</v>
      </c>
      <c r="E205" s="88">
        <v>91331.992210708006</v>
      </c>
      <c r="F205" s="89">
        <v>0</v>
      </c>
      <c r="G205" s="94">
        <v>5.21E-2</v>
      </c>
      <c r="H205" s="83">
        <v>0.15588226822264481</v>
      </c>
      <c r="I205" s="88">
        <v>62610.479751781393</v>
      </c>
      <c r="J205" s="89">
        <v>0</v>
      </c>
      <c r="K205" s="94">
        <v>4.7899999999999998E-2</v>
      </c>
      <c r="L205" s="83">
        <v>0.20949165501424941</v>
      </c>
      <c r="M205" s="88">
        <v>84142.816075160459</v>
      </c>
      <c r="N205" s="89">
        <v>0</v>
      </c>
      <c r="O205" s="91">
        <v>1.6999999999999999E-3</v>
      </c>
      <c r="P205" s="83">
        <v>0.22807925481769331</v>
      </c>
      <c r="Q205" s="92">
        <v>91608.569264391263</v>
      </c>
      <c r="R205" s="89">
        <v>0</v>
      </c>
      <c r="S205" s="87">
        <v>-1.1999999999999999E-3</v>
      </c>
      <c r="T205" s="83">
        <v>0.17915616524479791</v>
      </c>
      <c r="U205" s="92">
        <v>71958.495243634956</v>
      </c>
      <c r="V205" s="89">
        <v>0</v>
      </c>
      <c r="W205" s="85">
        <f t="shared" si="4"/>
        <v>401652.35254567611</v>
      </c>
      <c r="X205" s="86">
        <f t="shared" si="5"/>
        <v>1.876372288095407E-2</v>
      </c>
    </row>
    <row r="206" spans="2:24" x14ac:dyDescent="0.35">
      <c r="B206" s="96" t="s">
        <v>202</v>
      </c>
      <c r="C206" s="87">
        <v>-2.3E-3</v>
      </c>
      <c r="D206" s="83">
        <v>0.22602231163897041</v>
      </c>
      <c r="E206" s="88">
        <v>91121.928628623384</v>
      </c>
      <c r="F206" s="89">
        <v>0</v>
      </c>
      <c r="G206" s="93">
        <v>-9.5999999999999992E-3</v>
      </c>
      <c r="H206" s="83">
        <v>0.15381053133683681</v>
      </c>
      <c r="I206" s="88">
        <v>62009.419146164291</v>
      </c>
      <c r="J206" s="89">
        <v>0</v>
      </c>
      <c r="K206" s="94">
        <v>1.1299999999999999E-2</v>
      </c>
      <c r="L206" s="83">
        <v>0.2110694892490064</v>
      </c>
      <c r="M206" s="88">
        <v>85093.629896809784</v>
      </c>
      <c r="N206" s="89">
        <v>0</v>
      </c>
      <c r="O206" s="91">
        <v>2.2100000000000002E-2</v>
      </c>
      <c r="P206" s="83">
        <v>0.23225116325612349</v>
      </c>
      <c r="Q206" s="92">
        <v>93633.118645134309</v>
      </c>
      <c r="R206" s="89">
        <v>0</v>
      </c>
      <c r="S206" s="87">
        <v>-9.1999999999999998E-3</v>
      </c>
      <c r="T206" s="83">
        <v>0.17684650451906289</v>
      </c>
      <c r="U206" s="92">
        <v>71296.477087393519</v>
      </c>
      <c r="V206" s="89">
        <v>0</v>
      </c>
      <c r="W206" s="85">
        <f t="shared" si="4"/>
        <v>403154.57340412529</v>
      </c>
      <c r="X206" s="86">
        <f t="shared" si="5"/>
        <v>3.7401022275309614E-3</v>
      </c>
    </row>
    <row r="207" spans="2:24" x14ac:dyDescent="0.35">
      <c r="B207" s="97" t="s">
        <v>203</v>
      </c>
      <c r="C207" s="91">
        <v>2.4199999999999999E-2</v>
      </c>
      <c r="D207" s="83">
        <v>0.24153866170982469</v>
      </c>
      <c r="E207" s="88">
        <v>93327.079301436068</v>
      </c>
      <c r="F207" s="89">
        <v>0</v>
      </c>
      <c r="G207" s="93">
        <v>-6.0900000000000003E-2</v>
      </c>
      <c r="H207" s="83">
        <v>0.15071222615675511</v>
      </c>
      <c r="I207" s="88">
        <v>58233.045520162887</v>
      </c>
      <c r="J207" s="89">
        <v>0</v>
      </c>
      <c r="K207" s="93">
        <v>-7.2700000000000001E-2</v>
      </c>
      <c r="L207" s="83">
        <v>0.204219068463139</v>
      </c>
      <c r="M207" s="88">
        <v>78907.323003311714</v>
      </c>
      <c r="N207" s="89">
        <v>0</v>
      </c>
      <c r="O207" s="87">
        <v>-0.12509999999999999</v>
      </c>
      <c r="P207" s="83">
        <v>0.21201514549040121</v>
      </c>
      <c r="Q207" s="92">
        <v>81919.615502628003</v>
      </c>
      <c r="R207" s="89">
        <v>0</v>
      </c>
      <c r="S207" s="91">
        <v>3.7900000000000003E-2</v>
      </c>
      <c r="T207" s="83">
        <v>0.1915148981798801</v>
      </c>
      <c r="U207" s="92">
        <v>73998.613569005742</v>
      </c>
      <c r="V207" s="89">
        <v>0</v>
      </c>
      <c r="W207" s="85">
        <f t="shared" si="4"/>
        <v>386385.67689654441</v>
      </c>
      <c r="X207" s="86">
        <f t="shared" si="5"/>
        <v>-4.1594211287221627E-2</v>
      </c>
    </row>
    <row r="208" spans="2:24" x14ac:dyDescent="0.35">
      <c r="B208" s="96" t="s">
        <v>204</v>
      </c>
      <c r="C208" s="91">
        <v>8.6999999999999994E-3</v>
      </c>
      <c r="D208" s="83">
        <v>0.24281692667045399</v>
      </c>
      <c r="E208" s="88">
        <v>94139.024891358553</v>
      </c>
      <c r="F208" s="89">
        <v>0</v>
      </c>
      <c r="G208" s="93">
        <v>-4.1399999999999999E-2</v>
      </c>
      <c r="H208" s="83">
        <v>0.14398464862954791</v>
      </c>
      <c r="I208" s="88">
        <v>55822.197435628143</v>
      </c>
      <c r="J208" s="89">
        <v>0</v>
      </c>
      <c r="K208" s="93">
        <v>-3.1E-2</v>
      </c>
      <c r="L208" s="83">
        <v>0.1972197252023381</v>
      </c>
      <c r="M208" s="88">
        <v>76461.195990209046</v>
      </c>
      <c r="N208" s="89">
        <v>0</v>
      </c>
      <c r="O208" s="91">
        <v>3.8899999999999997E-2</v>
      </c>
      <c r="P208" s="83">
        <v>0.21951839259902819</v>
      </c>
      <c r="Q208" s="92">
        <v>85106.288545680232</v>
      </c>
      <c r="R208" s="89">
        <v>0</v>
      </c>
      <c r="S208" s="91">
        <v>2.93E-2</v>
      </c>
      <c r="T208" s="83">
        <v>0.19646030689863189</v>
      </c>
      <c r="U208" s="92">
        <v>76166.772946577621</v>
      </c>
      <c r="V208" s="89">
        <v>0</v>
      </c>
      <c r="W208" s="85">
        <f t="shared" si="4"/>
        <v>387695.47980945365</v>
      </c>
      <c r="X208" s="86">
        <f t="shared" si="5"/>
        <v>3.3898847478757155E-3</v>
      </c>
    </row>
    <row r="209" spans="2:24" x14ac:dyDescent="0.35">
      <c r="B209" s="97" t="s">
        <v>205</v>
      </c>
      <c r="C209" s="91">
        <v>3.56E-2</v>
      </c>
      <c r="D209" s="83">
        <v>0.21979042571542509</v>
      </c>
      <c r="E209" s="88">
        <v>88633.745848475373</v>
      </c>
      <c r="F209" s="100">
        <v>-8856.6283290155552</v>
      </c>
      <c r="G209" s="94">
        <v>9.1999999999999998E-3</v>
      </c>
      <c r="H209" s="83">
        <v>0.16456222573826629</v>
      </c>
      <c r="I209" s="88">
        <v>66362.155880392776</v>
      </c>
      <c r="J209" s="99">
        <v>10026.39422835685</v>
      </c>
      <c r="K209" s="94">
        <v>3.5799999999999998E-2</v>
      </c>
      <c r="L209" s="83">
        <v>0.20844944034111609</v>
      </c>
      <c r="M209" s="88">
        <v>84060.325454634993</v>
      </c>
      <c r="N209" s="99">
        <v>4861.8186479764554</v>
      </c>
      <c r="O209" s="91">
        <v>1.9E-2</v>
      </c>
      <c r="P209" s="83">
        <v>0.22524730747469829</v>
      </c>
      <c r="Q209" s="92">
        <v>90834.314273611526</v>
      </c>
      <c r="R209" s="99">
        <v>4111.0062455633743</v>
      </c>
      <c r="S209" s="91">
        <v>9.6500000000000002E-2</v>
      </c>
      <c r="T209" s="83">
        <v>0.18195060073049421</v>
      </c>
      <c r="U209" s="92">
        <v>73374.275743041289</v>
      </c>
      <c r="V209" s="100">
        <v>-10142.590792881079</v>
      </c>
      <c r="W209" s="85">
        <f t="shared" si="4"/>
        <v>403264.81720015599</v>
      </c>
      <c r="X209" s="86">
        <f t="shared" si="5"/>
        <v>4.0158676594203246E-2</v>
      </c>
    </row>
    <row r="210" spans="2:24" x14ac:dyDescent="0.35">
      <c r="B210" s="96" t="s">
        <v>206</v>
      </c>
      <c r="C210" s="91">
        <v>4.2700000000000002E-2</v>
      </c>
      <c r="D210" s="83">
        <v>0.22644841590093731</v>
      </c>
      <c r="E210" s="88">
        <v>92418.406796205265</v>
      </c>
      <c r="F210" s="89">
        <v>0</v>
      </c>
      <c r="G210" s="93">
        <v>-4.3099999999999999E-2</v>
      </c>
      <c r="H210" s="83">
        <v>0.15559579303144699</v>
      </c>
      <c r="I210" s="88">
        <v>63501.946961947848</v>
      </c>
      <c r="J210" s="89">
        <v>0</v>
      </c>
      <c r="K210" s="93">
        <v>-8.3999999999999995E-3</v>
      </c>
      <c r="L210" s="83">
        <v>0.20423886801697261</v>
      </c>
      <c r="M210" s="88">
        <v>83354.218720816061</v>
      </c>
      <c r="N210" s="89">
        <v>0</v>
      </c>
      <c r="O210" s="87">
        <v>-4.6600000000000003E-2</v>
      </c>
      <c r="P210" s="83">
        <v>0.2121953678067289</v>
      </c>
      <c r="Q210" s="92">
        <v>86601.435228461225</v>
      </c>
      <c r="R210" s="89">
        <v>0</v>
      </c>
      <c r="S210" s="91">
        <v>0.12089999999999999</v>
      </c>
      <c r="T210" s="83">
        <v>0.2015215552439141</v>
      </c>
      <c r="U210" s="92">
        <v>82245.225680374977</v>
      </c>
      <c r="V210" s="89">
        <v>0</v>
      </c>
      <c r="W210" s="85">
        <f t="shared" si="4"/>
        <v>408121.23338780541</v>
      </c>
      <c r="X210" s="86">
        <f t="shared" si="5"/>
        <v>1.2042747049859859E-2</v>
      </c>
    </row>
    <row r="211" spans="2:24" x14ac:dyDescent="0.35">
      <c r="B211" s="97" t="s">
        <v>207</v>
      </c>
      <c r="C211" s="91">
        <v>8.7999999999999995E-2</v>
      </c>
      <c r="D211" s="83">
        <v>0.23859391353747431</v>
      </c>
      <c r="E211" s="88">
        <v>100551.2265942713</v>
      </c>
      <c r="F211" s="89">
        <v>0</v>
      </c>
      <c r="G211" s="93">
        <v>-1.23E-2</v>
      </c>
      <c r="H211" s="83">
        <v>0.1488278070774442</v>
      </c>
      <c r="I211" s="88">
        <v>62720.87301431589</v>
      </c>
      <c r="J211" s="89">
        <v>0</v>
      </c>
      <c r="K211" s="94">
        <v>1.8200000000000001E-2</v>
      </c>
      <c r="L211" s="83">
        <v>0.2013875719746111</v>
      </c>
      <c r="M211" s="88">
        <v>84871.265501534916</v>
      </c>
      <c r="N211" s="89">
        <v>0</v>
      </c>
      <c r="O211" s="91">
        <v>2.86E-2</v>
      </c>
      <c r="P211" s="83">
        <v>0.21137012171780281</v>
      </c>
      <c r="Q211" s="92">
        <v>89078.236275995208</v>
      </c>
      <c r="R211" s="89">
        <v>0</v>
      </c>
      <c r="S211" s="91">
        <v>2.3900000000000001E-2</v>
      </c>
      <c r="T211" s="83">
        <v>0.1998205856926677</v>
      </c>
      <c r="U211" s="92">
        <v>84210.886574135948</v>
      </c>
      <c r="V211" s="89">
        <v>0</v>
      </c>
      <c r="W211" s="85">
        <f t="shared" si="4"/>
        <v>421432.48796025326</v>
      </c>
      <c r="X211" s="86">
        <f t="shared" si="5"/>
        <v>3.2615932432506378E-2</v>
      </c>
    </row>
    <row r="212" spans="2:24" x14ac:dyDescent="0.35">
      <c r="B212" s="96" t="s">
        <v>208</v>
      </c>
      <c r="C212" s="87">
        <v>-2.7E-2</v>
      </c>
      <c r="D212" s="83">
        <v>0.24104435826126569</v>
      </c>
      <c r="E212" s="88">
        <v>97836.343476226015</v>
      </c>
      <c r="F212" s="89">
        <v>0</v>
      </c>
      <c r="G212" s="93">
        <v>-5.3600000000000002E-2</v>
      </c>
      <c r="H212" s="83">
        <v>0.14624586122462449</v>
      </c>
      <c r="I212" s="88">
        <v>59359.034220748559</v>
      </c>
      <c r="J212" s="89">
        <v>0</v>
      </c>
      <c r="K212" s="93">
        <v>-6.6699999999999995E-2</v>
      </c>
      <c r="L212" s="83">
        <v>0.19515455923028299</v>
      </c>
      <c r="M212" s="88">
        <v>79210.352092582543</v>
      </c>
      <c r="N212" s="89">
        <v>0</v>
      </c>
      <c r="O212" s="87">
        <v>-4.2200000000000001E-2</v>
      </c>
      <c r="P212" s="83">
        <v>0.2102050765767462</v>
      </c>
      <c r="Q212" s="92">
        <v>85319.134705148215</v>
      </c>
      <c r="R212" s="89">
        <v>0</v>
      </c>
      <c r="S212" s="87">
        <v>-5.9999999999999995E-4</v>
      </c>
      <c r="T212" s="83">
        <v>0.2073501447070806</v>
      </c>
      <c r="U212" s="92">
        <v>84160.36004219146</v>
      </c>
      <c r="V212" s="89">
        <v>0</v>
      </c>
      <c r="W212" s="85">
        <f t="shared" si="4"/>
        <v>405885.2245368968</v>
      </c>
      <c r="X212" s="86">
        <f t="shared" si="5"/>
        <v>-3.6891468663476146E-2</v>
      </c>
    </row>
    <row r="213" spans="2:24" x14ac:dyDescent="0.35">
      <c r="B213" s="97" t="s">
        <v>209</v>
      </c>
      <c r="C213" s="87">
        <v>-1.29E-2</v>
      </c>
      <c r="D213" s="83">
        <v>0.23699870162221021</v>
      </c>
      <c r="E213" s="88">
        <v>96574.254645382694</v>
      </c>
      <c r="F213" s="89">
        <v>0</v>
      </c>
      <c r="G213" s="93">
        <v>-1.9699999999999999E-2</v>
      </c>
      <c r="H213" s="83">
        <v>0.14280073104286439</v>
      </c>
      <c r="I213" s="88">
        <v>58189.661246599811</v>
      </c>
      <c r="J213" s="89">
        <v>0</v>
      </c>
      <c r="K213" s="93">
        <v>-1.4800000000000001E-2</v>
      </c>
      <c r="L213" s="83">
        <v>0.19150977618205139</v>
      </c>
      <c r="M213" s="88">
        <v>78038.038881612316</v>
      </c>
      <c r="N213" s="89">
        <v>0</v>
      </c>
      <c r="O213" s="95">
        <v>5.6000000000000001E-2</v>
      </c>
      <c r="P213" s="83">
        <v>0.22110316646379541</v>
      </c>
      <c r="Q213" s="92">
        <v>90097.00624863652</v>
      </c>
      <c r="R213" s="89">
        <v>0</v>
      </c>
      <c r="S213" s="95">
        <v>5.1000000000000004E-3</v>
      </c>
      <c r="T213" s="83">
        <v>0.2075876246890786</v>
      </c>
      <c r="U213" s="92">
        <v>84589.57787840665</v>
      </c>
      <c r="V213" s="89">
        <v>0</v>
      </c>
      <c r="W213" s="85">
        <f t="shared" si="4"/>
        <v>407488.538900638</v>
      </c>
      <c r="X213" s="86">
        <f t="shared" si="5"/>
        <v>3.9501668620003372E-3</v>
      </c>
    </row>
    <row r="214" spans="2:24" x14ac:dyDescent="0.35">
      <c r="B214" s="96" t="s">
        <v>210</v>
      </c>
      <c r="C214" s="87">
        <v>-3.3300000000000003E-2</v>
      </c>
      <c r="D214" s="83">
        <v>0.2407616426836845</v>
      </c>
      <c r="E214" s="88">
        <v>93358.331965691454</v>
      </c>
      <c r="F214" s="89">
        <v>0</v>
      </c>
      <c r="G214" s="93">
        <v>-1.3899999999999999E-2</v>
      </c>
      <c r="H214" s="83">
        <v>0.14797931136830089</v>
      </c>
      <c r="I214" s="88">
        <v>57380.824955272074</v>
      </c>
      <c r="J214" s="89">
        <v>0</v>
      </c>
      <c r="K214" s="93">
        <v>-4.53E-2</v>
      </c>
      <c r="L214" s="83">
        <v>0.19213544196708079</v>
      </c>
      <c r="M214" s="88">
        <v>74502.915720275283</v>
      </c>
      <c r="N214" s="89">
        <v>0</v>
      </c>
      <c r="O214" s="90">
        <v>-0.1202</v>
      </c>
      <c r="P214" s="83">
        <v>0.204422423320886</v>
      </c>
      <c r="Q214" s="92">
        <v>79267.346097550413</v>
      </c>
      <c r="R214" s="89">
        <v>0</v>
      </c>
      <c r="S214" s="90">
        <v>-1.5800000000000002E-2</v>
      </c>
      <c r="T214" s="83">
        <v>0.21470118066004781</v>
      </c>
      <c r="U214" s="92">
        <v>83253.062547927824</v>
      </c>
      <c r="V214" s="89">
        <v>0</v>
      </c>
      <c r="W214" s="85">
        <f t="shared" si="4"/>
        <v>387762.48128671705</v>
      </c>
      <c r="X214" s="86">
        <f t="shared" si="5"/>
        <v>-4.8408864865597923E-2</v>
      </c>
    </row>
    <row r="215" spans="2:24" x14ac:dyDescent="0.35">
      <c r="B215" s="97" t="s">
        <v>211</v>
      </c>
      <c r="C215" s="91">
        <v>4.8800000000000003E-2</v>
      </c>
      <c r="D215" s="83">
        <v>0.22329690598861099</v>
      </c>
      <c r="E215" s="88">
        <v>90776.408974568985</v>
      </c>
      <c r="F215" s="100">
        <v>-7137.8095910482079</v>
      </c>
      <c r="G215" s="94">
        <v>6.2199999999999998E-2</v>
      </c>
      <c r="H215" s="83">
        <v>0.17029153718439111</v>
      </c>
      <c r="I215" s="88">
        <v>69228.250861419219</v>
      </c>
      <c r="J215" s="99">
        <v>8278.3385939292202</v>
      </c>
      <c r="K215" s="94">
        <v>4.5199999999999997E-2</v>
      </c>
      <c r="L215" s="83">
        <v>0.213224243026475</v>
      </c>
      <c r="M215" s="88">
        <v>86681.591052817355</v>
      </c>
      <c r="N215" s="99">
        <v>8811.1435419856425</v>
      </c>
      <c r="O215" s="95">
        <v>5.0999999999999997E-2</v>
      </c>
      <c r="P215" s="83">
        <v>0.20851442443945181</v>
      </c>
      <c r="Q215" s="92">
        <v>84766.9186736423</v>
      </c>
      <c r="R215" s="99">
        <v>1456.9379251168141</v>
      </c>
      <c r="S215" s="95">
        <v>3.8800000000000001E-2</v>
      </c>
      <c r="T215" s="83">
        <v>0.18467288936107121</v>
      </c>
      <c r="U215" s="92">
        <v>75074.670904803992</v>
      </c>
      <c r="V215" s="100">
        <v>-11408.61046998342</v>
      </c>
      <c r="W215" s="85">
        <f t="shared" si="4"/>
        <v>406527.84046725184</v>
      </c>
      <c r="X215" s="86">
        <f t="shared" si="5"/>
        <v>4.8393952705959142E-2</v>
      </c>
    </row>
    <row r="216" spans="2:24" x14ac:dyDescent="0.35">
      <c r="B216" s="96" t="s">
        <v>212</v>
      </c>
      <c r="C216" s="91">
        <v>4.9799999999999997E-2</v>
      </c>
      <c r="D216" s="83">
        <v>0.2297218163392187</v>
      </c>
      <c r="E216" s="88">
        <v>95297.074141502526</v>
      </c>
      <c r="F216" s="89">
        <v>0</v>
      </c>
      <c r="G216" s="94">
        <v>1.55E-2</v>
      </c>
      <c r="H216" s="83">
        <v>0.16946731983193181</v>
      </c>
      <c r="I216" s="88">
        <v>70301.288749771222</v>
      </c>
      <c r="J216" s="89">
        <v>0</v>
      </c>
      <c r="K216" s="94">
        <v>1.5599999999999999E-2</v>
      </c>
      <c r="L216" s="83">
        <v>0.2122131251314093</v>
      </c>
      <c r="M216" s="88">
        <v>88033.823873241316</v>
      </c>
      <c r="N216" s="89">
        <v>0</v>
      </c>
      <c r="O216" s="95">
        <v>1.9800000000000002E-2</v>
      </c>
      <c r="P216" s="83">
        <v>0.2083838601598641</v>
      </c>
      <c r="Q216" s="92">
        <v>86445.303663380415</v>
      </c>
      <c r="R216" s="89">
        <v>0</v>
      </c>
      <c r="S216" s="90">
        <v>-4.1999999999999997E-3</v>
      </c>
      <c r="T216" s="83">
        <v>0.18021387853757609</v>
      </c>
      <c r="U216" s="92">
        <v>74759.357287003819</v>
      </c>
      <c r="V216" s="89">
        <v>0</v>
      </c>
      <c r="W216" s="85">
        <f t="shared" si="4"/>
        <v>414836.84771489928</v>
      </c>
      <c r="X216" s="86">
        <f t="shared" si="5"/>
        <v>2.0438962404388583E-2</v>
      </c>
    </row>
    <row r="217" spans="2:24" x14ac:dyDescent="0.35">
      <c r="B217" s="97" t="s">
        <v>213</v>
      </c>
      <c r="C217" s="87">
        <v>-5.1000000000000004E-3</v>
      </c>
      <c r="D217" s="83">
        <v>0.2222108789671659</v>
      </c>
      <c r="E217" s="88">
        <v>94811.059063380861</v>
      </c>
      <c r="F217" s="89">
        <v>0</v>
      </c>
      <c r="G217" s="94">
        <v>1.29E-2</v>
      </c>
      <c r="H217" s="83">
        <v>0.16689225282326831</v>
      </c>
      <c r="I217" s="88">
        <v>71208.175374643266</v>
      </c>
      <c r="J217" s="89">
        <v>0</v>
      </c>
      <c r="K217" s="94">
        <v>2.7199999999999998E-2</v>
      </c>
      <c r="L217" s="83">
        <v>0.21193900770861929</v>
      </c>
      <c r="M217" s="88">
        <v>90428.343882593472</v>
      </c>
      <c r="N217" s="89">
        <v>0</v>
      </c>
      <c r="O217" s="95">
        <v>1.18E-2</v>
      </c>
      <c r="P217" s="83">
        <v>0.20499458952530161</v>
      </c>
      <c r="Q217" s="92">
        <v>87465.358246608303</v>
      </c>
      <c r="R217" s="89">
        <v>0</v>
      </c>
      <c r="S217" s="95">
        <v>0.107</v>
      </c>
      <c r="T217" s="83">
        <v>0.193963270975645</v>
      </c>
      <c r="U217" s="92">
        <v>82758.608516713226</v>
      </c>
      <c r="V217" s="89">
        <v>0</v>
      </c>
      <c r="W217" s="85">
        <f t="shared" si="4"/>
        <v>426671.5450839391</v>
      </c>
      <c r="X217" s="86">
        <f t="shared" si="5"/>
        <v>2.8528558719483232E-2</v>
      </c>
    </row>
    <row r="218" spans="2:24" x14ac:dyDescent="0.35">
      <c r="B218" s="96" t="s">
        <v>214</v>
      </c>
      <c r="C218" s="91">
        <v>0.1147</v>
      </c>
      <c r="D218" s="83">
        <v>0.23006564310632041</v>
      </c>
      <c r="E218" s="88">
        <v>105685.88753795061</v>
      </c>
      <c r="F218" s="89">
        <v>0</v>
      </c>
      <c r="G218" s="94">
        <v>6.6900000000000001E-2</v>
      </c>
      <c r="H218" s="83">
        <v>0.16538203894636411</v>
      </c>
      <c r="I218" s="88">
        <v>75972.002307206902</v>
      </c>
      <c r="J218" s="89">
        <v>0</v>
      </c>
      <c r="K218" s="94">
        <v>3.73E-2</v>
      </c>
      <c r="L218" s="83">
        <v>0.20419435146921139</v>
      </c>
      <c r="M218" s="88">
        <v>93801.321109414217</v>
      </c>
      <c r="N218" s="89">
        <v>0</v>
      </c>
      <c r="O218" s="95">
        <v>5.8299999999999998E-2</v>
      </c>
      <c r="P218" s="83">
        <v>0.2015021315398865</v>
      </c>
      <c r="Q218" s="92">
        <v>92564.588632385567</v>
      </c>
      <c r="R218" s="89">
        <v>0</v>
      </c>
      <c r="S218" s="95">
        <v>0.1038</v>
      </c>
      <c r="T218" s="83">
        <v>0.19885583493821771</v>
      </c>
      <c r="U218" s="92">
        <v>91348.952080748073</v>
      </c>
      <c r="V218" s="89">
        <v>0</v>
      </c>
      <c r="W218" s="85">
        <f t="shared" si="4"/>
        <v>459372.75166770536</v>
      </c>
      <c r="X218" s="86">
        <f t="shared" si="5"/>
        <v>7.6642576615539193E-2</v>
      </c>
    </row>
    <row r="219" spans="2:24" x14ac:dyDescent="0.35">
      <c r="B219" s="97" t="s">
        <v>215</v>
      </c>
      <c r="C219" s="87">
        <v>-1.6500000000000001E-2</v>
      </c>
      <c r="D219" s="83">
        <v>0.2322184913606517</v>
      </c>
      <c r="E219" s="88">
        <v>103942.0703935745</v>
      </c>
      <c r="F219" s="89">
        <v>0</v>
      </c>
      <c r="G219" s="94">
        <v>1.7899999999999999E-2</v>
      </c>
      <c r="H219" s="83">
        <v>0.1727683251907518</v>
      </c>
      <c r="I219" s="88">
        <v>77331.901148505902</v>
      </c>
      <c r="J219" s="89">
        <v>0</v>
      </c>
      <c r="K219" s="94">
        <v>1.9E-3</v>
      </c>
      <c r="L219" s="83">
        <v>0.2099610653843306</v>
      </c>
      <c r="M219" s="88">
        <v>93979.543619522112</v>
      </c>
      <c r="N219" s="89">
        <v>0</v>
      </c>
      <c r="O219" s="90">
        <v>-1.3100000000000001E-2</v>
      </c>
      <c r="P219" s="83">
        <v>0.20409081525662509</v>
      </c>
      <c r="Q219" s="92">
        <v>91351.992521301319</v>
      </c>
      <c r="R219" s="89">
        <v>0</v>
      </c>
      <c r="S219" s="90">
        <v>-0.1133</v>
      </c>
      <c r="T219" s="83">
        <v>0.18096130280764089</v>
      </c>
      <c r="U219" s="92">
        <v>80999.115809999319</v>
      </c>
      <c r="V219" s="89">
        <v>0</v>
      </c>
      <c r="W219" s="85">
        <f t="shared" si="4"/>
        <v>447604.62349290319</v>
      </c>
      <c r="X219" s="86">
        <f t="shared" si="5"/>
        <v>-2.561781936799512E-2</v>
      </c>
    </row>
    <row r="220" spans="2:24" x14ac:dyDescent="0.35">
      <c r="B220" s="96" t="s">
        <v>216</v>
      </c>
      <c r="C220" s="91">
        <v>3.8300000000000001E-2</v>
      </c>
      <c r="D220" s="83">
        <v>0.23661684498216751</v>
      </c>
      <c r="E220" s="88">
        <v>107923.0516896484</v>
      </c>
      <c r="F220" s="89">
        <v>0</v>
      </c>
      <c r="G220" s="93">
        <v>-2.7400000000000001E-2</v>
      </c>
      <c r="H220" s="83">
        <v>0.16490141960250509</v>
      </c>
      <c r="I220" s="88">
        <v>75213.007057036841</v>
      </c>
      <c r="J220" s="89">
        <v>0</v>
      </c>
      <c r="K220" s="93">
        <v>-1.1900000000000001E-2</v>
      </c>
      <c r="L220" s="83">
        <v>0.20359432722827531</v>
      </c>
      <c r="M220" s="88">
        <v>92861.187050449793</v>
      </c>
      <c r="N220" s="89">
        <v>0</v>
      </c>
      <c r="O220" s="95">
        <v>2.5899999999999999E-2</v>
      </c>
      <c r="P220" s="83">
        <v>0.20547287433598749</v>
      </c>
      <c r="Q220" s="92">
        <v>93718.009127603029</v>
      </c>
      <c r="R220" s="89">
        <v>0</v>
      </c>
      <c r="S220" s="95">
        <v>6.6600000000000006E-2</v>
      </c>
      <c r="T220" s="83">
        <v>0.18941453385106469</v>
      </c>
      <c r="U220" s="92">
        <v>86393.656922945273</v>
      </c>
      <c r="V220" s="89">
        <v>0</v>
      </c>
      <c r="W220" s="85">
        <f t="shared" ref="W220:W269" si="6">Q220+M220+I220+E220+U220</f>
        <v>456108.91184768337</v>
      </c>
      <c r="X220" s="86">
        <f t="shared" si="5"/>
        <v>1.8999554312948197E-2</v>
      </c>
    </row>
    <row r="221" spans="2:24" x14ac:dyDescent="0.35">
      <c r="B221" s="97" t="s">
        <v>217</v>
      </c>
      <c r="C221" s="87">
        <v>-8.7300000000000003E-2</v>
      </c>
      <c r="D221" s="83">
        <v>0.25227889935819597</v>
      </c>
      <c r="E221" s="88">
        <v>110339.95412699151</v>
      </c>
      <c r="F221" s="99">
        <v>11838.5848498494</v>
      </c>
      <c r="G221" s="93">
        <v>-7.4300000000000005E-2</v>
      </c>
      <c r="H221" s="83">
        <v>0.16507522070775121</v>
      </c>
      <c r="I221" s="88">
        <v>72199.428199243514</v>
      </c>
      <c r="J221" s="99">
        <v>2574.747566544509</v>
      </c>
      <c r="K221" s="93">
        <v>-5.7000000000000002E-2</v>
      </c>
      <c r="L221" s="83">
        <v>0.21113268074770819</v>
      </c>
      <c r="M221" s="88">
        <v>92343.713119398497</v>
      </c>
      <c r="N221" s="99">
        <v>4775.6137308243487</v>
      </c>
      <c r="O221" s="90">
        <v>-5.3800000000000001E-2</v>
      </c>
      <c r="P221" s="83">
        <v>0.19925734727507829</v>
      </c>
      <c r="Q221" s="92">
        <v>87149.764065608397</v>
      </c>
      <c r="R221" s="100">
        <v>-1526.216170929591</v>
      </c>
      <c r="S221" s="95">
        <v>7.6499999999999999E-2</v>
      </c>
      <c r="T221" s="83">
        <v>0.1722558519112663</v>
      </c>
      <c r="U221" s="92">
        <v>75340.041701261944</v>
      </c>
      <c r="V221" s="100">
        <v>-17662.72997628864</v>
      </c>
      <c r="W221" s="85">
        <f t="shared" si="6"/>
        <v>437372.90121250384</v>
      </c>
      <c r="X221" s="86">
        <f t="shared" si="5"/>
        <v>-4.1077931495090758E-2</v>
      </c>
    </row>
    <row r="222" spans="2:24" x14ac:dyDescent="0.35">
      <c r="B222" s="96" t="s">
        <v>218</v>
      </c>
      <c r="C222" s="87">
        <v>-6.83E-2</v>
      </c>
      <c r="D222" s="83">
        <v>0.24052040992275789</v>
      </c>
      <c r="E222" s="88">
        <v>102803.7352601179</v>
      </c>
      <c r="F222" s="89">
        <v>0</v>
      </c>
      <c r="G222" s="93">
        <v>-5.5100000000000003E-2</v>
      </c>
      <c r="H222" s="83">
        <v>0.1596109372668176</v>
      </c>
      <c r="I222" s="88">
        <v>68221.239705465196</v>
      </c>
      <c r="J222" s="89">
        <v>0</v>
      </c>
      <c r="K222" s="93">
        <v>-4.2000000000000003E-2</v>
      </c>
      <c r="L222" s="83">
        <v>0.2069740430601319</v>
      </c>
      <c r="M222" s="88">
        <v>88465.277168383764</v>
      </c>
      <c r="N222" s="89">
        <v>0</v>
      </c>
      <c r="O222" s="95">
        <v>2.1899999999999999E-2</v>
      </c>
      <c r="P222" s="83">
        <v>0.2083615865449393</v>
      </c>
      <c r="Q222" s="92">
        <v>89058.343898645224</v>
      </c>
      <c r="R222" s="89">
        <v>0</v>
      </c>
      <c r="S222" s="95">
        <v>4.6899999999999997E-2</v>
      </c>
      <c r="T222" s="83">
        <v>0.18453302320535331</v>
      </c>
      <c r="U222" s="92">
        <v>78873.489657051119</v>
      </c>
      <c r="V222" s="89">
        <v>0</v>
      </c>
      <c r="W222" s="85">
        <f t="shared" si="6"/>
        <v>427422.08568966319</v>
      </c>
      <c r="X222" s="86">
        <f t="shared" ref="X222:X273" si="7">W222/W221-1</f>
        <v>-2.2751330718603247E-2</v>
      </c>
    </row>
    <row r="223" spans="2:24" x14ac:dyDescent="0.35">
      <c r="B223" s="97" t="s">
        <v>219</v>
      </c>
      <c r="C223" s="87">
        <v>-4.2900000000000001E-2</v>
      </c>
      <c r="D223" s="83">
        <v>0.24653278648904139</v>
      </c>
      <c r="E223" s="88">
        <v>98393.45501745888</v>
      </c>
      <c r="F223" s="89">
        <v>0</v>
      </c>
      <c r="G223" s="93">
        <v>-0.12740000000000001</v>
      </c>
      <c r="H223" s="83">
        <v>0.1491568796507535</v>
      </c>
      <c r="I223" s="88">
        <v>59529.853766988927</v>
      </c>
      <c r="J223" s="89">
        <v>0</v>
      </c>
      <c r="K223" s="93">
        <v>-0.1142</v>
      </c>
      <c r="L223" s="83">
        <v>0.19634370964356271</v>
      </c>
      <c r="M223" s="88">
        <v>78362.542515754336</v>
      </c>
      <c r="N223" s="89">
        <v>0</v>
      </c>
      <c r="O223" s="90">
        <v>-6.25E-2</v>
      </c>
      <c r="P223" s="83">
        <v>0.20919647625637769</v>
      </c>
      <c r="Q223" s="92">
        <v>83492.197404979903</v>
      </c>
      <c r="R223" s="89">
        <v>0</v>
      </c>
      <c r="S223" s="95">
        <v>5.7999999999999996E-3</v>
      </c>
      <c r="T223" s="83">
        <v>0.19877014796026471</v>
      </c>
      <c r="U223" s="92">
        <v>79330.955897062013</v>
      </c>
      <c r="V223" s="89">
        <v>0</v>
      </c>
      <c r="W223" s="85">
        <f t="shared" si="6"/>
        <v>399109.00460224407</v>
      </c>
      <c r="X223" s="86">
        <f t="shared" si="7"/>
        <v>-6.6241502335413482E-2</v>
      </c>
    </row>
    <row r="224" spans="2:24" x14ac:dyDescent="0.35">
      <c r="B224" s="96" t="s">
        <v>220</v>
      </c>
      <c r="C224" s="87">
        <v>-5.5800000000000002E-2</v>
      </c>
      <c r="D224" s="83">
        <v>0.23418001085628379</v>
      </c>
      <c r="E224" s="88">
        <v>92903.100227484683</v>
      </c>
      <c r="F224" s="89">
        <v>0</v>
      </c>
      <c r="G224" s="93">
        <v>-6.3799999999999996E-2</v>
      </c>
      <c r="H224" s="83">
        <v>0.14048277177551419</v>
      </c>
      <c r="I224" s="88">
        <v>55731.849096655053</v>
      </c>
      <c r="J224" s="89">
        <v>0</v>
      </c>
      <c r="K224" s="93">
        <v>-9.7000000000000003E-3</v>
      </c>
      <c r="L224" s="83">
        <v>0.1956117382984329</v>
      </c>
      <c r="M224" s="88">
        <v>77602.425853351509</v>
      </c>
      <c r="N224" s="89">
        <v>0</v>
      </c>
      <c r="O224" s="95">
        <v>1.35E-2</v>
      </c>
      <c r="P224" s="83">
        <v>0.21329921602260321</v>
      </c>
      <c r="Q224" s="92">
        <v>84619.342069947132</v>
      </c>
      <c r="R224" s="89">
        <v>0</v>
      </c>
      <c r="S224" s="95">
        <v>8.2299999999999998E-2</v>
      </c>
      <c r="T224" s="83">
        <v>0.21642626304716589</v>
      </c>
      <c r="U224" s="92">
        <v>85859.893567390216</v>
      </c>
      <c r="V224" s="89">
        <v>0</v>
      </c>
      <c r="W224" s="85">
        <f t="shared" si="6"/>
        <v>396716.6108148286</v>
      </c>
      <c r="X224" s="86">
        <f t="shared" si="7"/>
        <v>-5.9943367847582474E-3</v>
      </c>
    </row>
    <row r="225" spans="2:24" x14ac:dyDescent="0.35">
      <c r="B225" s="97" t="s">
        <v>221</v>
      </c>
      <c r="C225" s="87">
        <v>-3.7400000000000003E-2</v>
      </c>
      <c r="D225" s="83">
        <v>0.233405577689725</v>
      </c>
      <c r="E225" s="88">
        <v>89428.524278976751</v>
      </c>
      <c r="F225" s="89">
        <v>0</v>
      </c>
      <c r="G225" s="93">
        <v>-6.0699999999999997E-2</v>
      </c>
      <c r="H225" s="83">
        <v>0.13662901607158209</v>
      </c>
      <c r="I225" s="88">
        <v>52348.925856488087</v>
      </c>
      <c r="J225" s="89">
        <v>0</v>
      </c>
      <c r="K225" s="93">
        <v>-3.27E-2</v>
      </c>
      <c r="L225" s="83">
        <v>0.195916787637893</v>
      </c>
      <c r="M225" s="88">
        <v>75064.82652794692</v>
      </c>
      <c r="N225" s="89">
        <v>0</v>
      </c>
      <c r="O225" s="90">
        <v>-6.7400000000000002E-2</v>
      </c>
      <c r="P225" s="83">
        <v>0.2059682226380225</v>
      </c>
      <c r="Q225" s="92">
        <v>78915.998414432688</v>
      </c>
      <c r="R225" s="89">
        <v>0</v>
      </c>
      <c r="S225" s="95">
        <v>1.78E-2</v>
      </c>
      <c r="T225" s="83">
        <v>0.2280803959627774</v>
      </c>
      <c r="U225" s="92">
        <v>87388.199672889765</v>
      </c>
      <c r="V225" s="89">
        <v>0</v>
      </c>
      <c r="W225" s="85">
        <f t="shared" si="6"/>
        <v>383146.47475073423</v>
      </c>
      <c r="X225" s="86">
        <f t="shared" si="7"/>
        <v>-3.4206120172841414E-2</v>
      </c>
    </row>
    <row r="226" spans="2:24" x14ac:dyDescent="0.35">
      <c r="B226" s="96" t="s">
        <v>222</v>
      </c>
      <c r="C226" s="87">
        <v>-1.2999999999999999E-3</v>
      </c>
      <c r="D226" s="83">
        <v>0.22376830253473531</v>
      </c>
      <c r="E226" s="88">
        <v>89312.267197414083</v>
      </c>
      <c r="F226" s="89">
        <v>0</v>
      </c>
      <c r="G226" s="94">
        <v>7.4399999999999994E-2</v>
      </c>
      <c r="H226" s="83">
        <v>0.1409162988027039</v>
      </c>
      <c r="I226" s="88">
        <v>56243.685940210802</v>
      </c>
      <c r="J226" s="89">
        <v>0</v>
      </c>
      <c r="K226" s="94">
        <v>7.9399999999999998E-2</v>
      </c>
      <c r="L226" s="83">
        <v>0.2030048212731802</v>
      </c>
      <c r="M226" s="88">
        <v>81024.973754265899</v>
      </c>
      <c r="N226" s="89">
        <v>0</v>
      </c>
      <c r="O226" s="95">
        <v>7.2800000000000004E-2</v>
      </c>
      <c r="P226" s="83">
        <v>0.21211494736710329</v>
      </c>
      <c r="Q226" s="92">
        <v>84661.083099003386</v>
      </c>
      <c r="R226" s="89">
        <v>0</v>
      </c>
      <c r="S226" s="95">
        <v>5.7000000000000002E-3</v>
      </c>
      <c r="T226" s="83">
        <v>0.22019563002227729</v>
      </c>
      <c r="U226" s="92">
        <v>87886.312411025239</v>
      </c>
      <c r="V226" s="89">
        <v>0</v>
      </c>
      <c r="W226" s="85">
        <f t="shared" si="6"/>
        <v>399128.3224019194</v>
      </c>
      <c r="X226" s="86">
        <f t="shared" si="7"/>
        <v>4.1712109348213566E-2</v>
      </c>
    </row>
    <row r="227" spans="2:24" x14ac:dyDescent="0.35">
      <c r="B227" s="97" t="s">
        <v>223</v>
      </c>
      <c r="C227" s="91">
        <v>9.1499999999999998E-2</v>
      </c>
      <c r="D227" s="83">
        <v>0.2358223421020984</v>
      </c>
      <c r="E227" s="88">
        <v>96288.592154623766</v>
      </c>
      <c r="F227" s="100">
        <v>-1195.747491353701</v>
      </c>
      <c r="G227" s="94">
        <v>2.2599999999999999E-2</v>
      </c>
      <c r="H227" s="83">
        <v>0.1661022924571692</v>
      </c>
      <c r="I227" s="88">
        <v>67821.207065410155</v>
      </c>
      <c r="J227" s="99">
        <v>10306.41382295059</v>
      </c>
      <c r="K227" s="94">
        <v>2.8400000000000002E-2</v>
      </c>
      <c r="L227" s="83">
        <v>0.2094403357663138</v>
      </c>
      <c r="M227" s="88">
        <v>85516.558319139003</v>
      </c>
      <c r="N227" s="99">
        <v>2190.4753102519612</v>
      </c>
      <c r="O227" s="90">
        <v>-2.29E-2</v>
      </c>
      <c r="P227" s="83">
        <v>0.19991036219166969</v>
      </c>
      <c r="Q227" s="92">
        <v>81625.3759545098</v>
      </c>
      <c r="R227" s="100">
        <v>-1096.968341526401</v>
      </c>
      <c r="S227" s="90">
        <v>-7.1000000000000004E-3</v>
      </c>
      <c r="T227" s="83">
        <v>0.18872466748274899</v>
      </c>
      <c r="U227" s="92">
        <v>77058.146292584512</v>
      </c>
      <c r="V227" s="100">
        <v>-10204.173300322451</v>
      </c>
      <c r="W227" s="85">
        <f t="shared" si="6"/>
        <v>408309.87978626718</v>
      </c>
      <c r="X227" s="86">
        <f t="shared" si="7"/>
        <v>2.3004023691162612E-2</v>
      </c>
    </row>
    <row r="228" spans="2:24" x14ac:dyDescent="0.35">
      <c r="B228" s="96" t="s">
        <v>224</v>
      </c>
      <c r="C228" s="87">
        <v>-5.3699999999999998E-2</v>
      </c>
      <c r="D228" s="83">
        <v>0.23473687681080391</v>
      </c>
      <c r="E228" s="88">
        <v>91117.894755920468</v>
      </c>
      <c r="F228" s="89">
        <v>0</v>
      </c>
      <c r="G228" s="93">
        <v>-5.8400000000000001E-2</v>
      </c>
      <c r="H228" s="83">
        <v>0.16451655615912611</v>
      </c>
      <c r="I228" s="88">
        <v>63860.448572790199</v>
      </c>
      <c r="J228" s="89">
        <v>0</v>
      </c>
      <c r="K228" s="93">
        <v>-5.1499999999999997E-2</v>
      </c>
      <c r="L228" s="83">
        <v>0.20896097897072161</v>
      </c>
      <c r="M228" s="88">
        <v>81112.455565703349</v>
      </c>
      <c r="N228" s="89">
        <v>0</v>
      </c>
      <c r="O228" s="90">
        <v>-4.2200000000000001E-2</v>
      </c>
      <c r="P228" s="83">
        <v>0.20140844306842329</v>
      </c>
      <c r="Q228" s="92">
        <v>78180.785089229481</v>
      </c>
      <c r="R228" s="89">
        <v>0</v>
      </c>
      <c r="S228" s="90">
        <v>-4.1000000000000002E-2</v>
      </c>
      <c r="T228" s="83">
        <v>0.19037714499092501</v>
      </c>
      <c r="U228" s="92">
        <v>73898.762294588538</v>
      </c>
      <c r="V228" s="89">
        <v>0</v>
      </c>
      <c r="W228" s="85">
        <f t="shared" si="6"/>
        <v>388170.34627823206</v>
      </c>
      <c r="X228" s="86">
        <f t="shared" si="7"/>
        <v>-4.9324139593627581E-2</v>
      </c>
    </row>
    <row r="229" spans="2:24" x14ac:dyDescent="0.35">
      <c r="B229" s="97" t="s">
        <v>225</v>
      </c>
      <c r="C229" s="87">
        <v>-4.4900000000000002E-2</v>
      </c>
      <c r="D229" s="83">
        <v>0.2279012427576409</v>
      </c>
      <c r="E229" s="88">
        <v>87026.701281379632</v>
      </c>
      <c r="F229" s="89">
        <v>0</v>
      </c>
      <c r="G229" s="93">
        <v>-3.5299999999999998E-2</v>
      </c>
      <c r="H229" s="83">
        <v>0.1613312187828212</v>
      </c>
      <c r="I229" s="88">
        <v>61606.174738170703</v>
      </c>
      <c r="J229" s="89">
        <v>0</v>
      </c>
      <c r="K229" s="94">
        <v>1.9E-3</v>
      </c>
      <c r="L229" s="83">
        <v>0.21281689239921689</v>
      </c>
      <c r="M229" s="88">
        <v>81266.56923127819</v>
      </c>
      <c r="N229" s="89">
        <v>0</v>
      </c>
      <c r="O229" s="95">
        <v>2.2599999999999999E-2</v>
      </c>
      <c r="P229" s="83">
        <v>0.2093630261744287</v>
      </c>
      <c r="Q229" s="92">
        <v>79947.670832246062</v>
      </c>
      <c r="R229" s="89">
        <v>0</v>
      </c>
      <c r="S229" s="90">
        <v>-2.5499999999999998E-2</v>
      </c>
      <c r="T229" s="83">
        <v>0.18858761988589229</v>
      </c>
      <c r="U229" s="92">
        <v>72014.343856076535</v>
      </c>
      <c r="V229" s="89">
        <v>0</v>
      </c>
      <c r="W229" s="85">
        <f t="shared" si="6"/>
        <v>381861.45993915113</v>
      </c>
      <c r="X229" s="86">
        <f t="shared" si="7"/>
        <v>-1.6252880725100116E-2</v>
      </c>
    </row>
    <row r="230" spans="2:24" x14ac:dyDescent="0.35">
      <c r="B230" s="96" t="s">
        <v>226</v>
      </c>
      <c r="C230" s="91">
        <v>5.96E-2</v>
      </c>
      <c r="D230" s="83">
        <v>0.24298526626704839</v>
      </c>
      <c r="E230" s="88">
        <v>92213.492677749862</v>
      </c>
      <c r="F230" s="89">
        <v>0</v>
      </c>
      <c r="G230" s="93">
        <v>-7.9500000000000001E-2</v>
      </c>
      <c r="H230" s="83">
        <v>0.14942852338531859</v>
      </c>
      <c r="I230" s="88">
        <v>56708.483846486131</v>
      </c>
      <c r="J230" s="89">
        <v>0</v>
      </c>
      <c r="K230" s="93">
        <v>-3.49E-2</v>
      </c>
      <c r="L230" s="83">
        <v>0.20666632185868641</v>
      </c>
      <c r="M230" s="88">
        <v>78430.365965106583</v>
      </c>
      <c r="N230" s="89">
        <v>0</v>
      </c>
      <c r="O230" s="90">
        <v>-3.5299999999999998E-2</v>
      </c>
      <c r="P230" s="83">
        <v>0.2032280092166924</v>
      </c>
      <c r="Q230" s="92">
        <v>77125.518051867781</v>
      </c>
      <c r="R230" s="89">
        <v>0</v>
      </c>
      <c r="S230" s="95">
        <v>4.1799999999999997E-2</v>
      </c>
      <c r="T230" s="83">
        <v>0.1976918792722541</v>
      </c>
      <c r="U230" s="92">
        <v>75024.543429260535</v>
      </c>
      <c r="V230" s="89">
        <v>0</v>
      </c>
      <c r="W230" s="85">
        <f t="shared" si="6"/>
        <v>379502.40397047094</v>
      </c>
      <c r="X230" s="86">
        <f t="shared" si="7"/>
        <v>-6.1777796823384579E-3</v>
      </c>
    </row>
    <row r="231" spans="2:24" x14ac:dyDescent="0.35">
      <c r="B231" s="97" t="s">
        <v>227</v>
      </c>
      <c r="C231" s="91">
        <v>4.8500000000000001E-2</v>
      </c>
      <c r="D231" s="83">
        <v>0.2450587679194785</v>
      </c>
      <c r="E231" s="88">
        <v>96685.847072620731</v>
      </c>
      <c r="F231" s="89">
        <v>0</v>
      </c>
      <c r="G231" s="94">
        <v>6.3600000000000004E-2</v>
      </c>
      <c r="H231" s="83">
        <v>0.1528740263512923</v>
      </c>
      <c r="I231" s="88">
        <v>60315.143419122658</v>
      </c>
      <c r="J231" s="89">
        <v>0</v>
      </c>
      <c r="K231" s="94">
        <v>2.87E-2</v>
      </c>
      <c r="L231" s="83">
        <v>0.20449388252297829</v>
      </c>
      <c r="M231" s="88">
        <v>80681.317468305133</v>
      </c>
      <c r="N231" s="89">
        <v>0</v>
      </c>
      <c r="O231" s="95">
        <v>7.7399999999999997E-2</v>
      </c>
      <c r="P231" s="83">
        <v>0.21061165682757649</v>
      </c>
      <c r="Q231" s="92">
        <v>83095.033149082345</v>
      </c>
      <c r="R231" s="89">
        <v>0</v>
      </c>
      <c r="S231" s="90">
        <v>-1.6799999999999999E-2</v>
      </c>
      <c r="T231" s="83">
        <v>0.18696166637867451</v>
      </c>
      <c r="U231" s="92">
        <v>73764.131099648948</v>
      </c>
      <c r="V231" s="89">
        <v>0</v>
      </c>
      <c r="W231" s="85">
        <f t="shared" si="6"/>
        <v>394541.47220877983</v>
      </c>
      <c r="X231" s="86">
        <f t="shared" si="7"/>
        <v>3.962838728020035E-2</v>
      </c>
    </row>
    <row r="232" spans="2:24" x14ac:dyDescent="0.35">
      <c r="B232" s="96" t="s">
        <v>228</v>
      </c>
      <c r="C232" s="87">
        <v>-5.6000000000000001E-2</v>
      </c>
      <c r="D232" s="83">
        <v>0.23522217114084051</v>
      </c>
      <c r="E232" s="88">
        <v>91271.439636553958</v>
      </c>
      <c r="F232" s="89">
        <v>0</v>
      </c>
      <c r="G232" s="93">
        <v>-2.7799999999999998E-2</v>
      </c>
      <c r="H232" s="83">
        <v>0.15112117966784641</v>
      </c>
      <c r="I232" s="88">
        <v>58638.382432071048</v>
      </c>
      <c r="J232" s="89">
        <v>0</v>
      </c>
      <c r="K232" s="93">
        <v>-1.5699999999999999E-2</v>
      </c>
      <c r="L232" s="83">
        <v>0.20466511315627459</v>
      </c>
      <c r="M232" s="88">
        <v>79414.620784052735</v>
      </c>
      <c r="N232" s="89">
        <v>0</v>
      </c>
      <c r="O232" s="95">
        <v>3.4200000000000001E-2</v>
      </c>
      <c r="P232" s="83">
        <v>0.2214741034801973</v>
      </c>
      <c r="Q232" s="92">
        <v>85936.883282780967</v>
      </c>
      <c r="R232" s="89">
        <v>0</v>
      </c>
      <c r="S232" s="90">
        <v>-1.3599999999999999E-2</v>
      </c>
      <c r="T232" s="83">
        <v>0.18751743255484121</v>
      </c>
      <c r="U232" s="92">
        <v>72760.938916693733</v>
      </c>
      <c r="V232" s="89">
        <v>0</v>
      </c>
      <c r="W232" s="85">
        <f t="shared" si="6"/>
        <v>388022.26505215245</v>
      </c>
      <c r="X232" s="86">
        <f t="shared" si="7"/>
        <v>-1.652350289091431E-2</v>
      </c>
    </row>
    <row r="233" spans="2:24" x14ac:dyDescent="0.35">
      <c r="B233" s="97" t="s">
        <v>229</v>
      </c>
      <c r="C233" s="91">
        <v>2.76E-2</v>
      </c>
      <c r="D233" s="83">
        <v>0.215776251485777</v>
      </c>
      <c r="E233" s="88">
        <v>84767.618851794337</v>
      </c>
      <c r="F233" s="100">
        <v>-9022.9125187285099</v>
      </c>
      <c r="G233" s="94">
        <v>4.19E-2</v>
      </c>
      <c r="H233" s="83">
        <v>0.17842899125717149</v>
      </c>
      <c r="I233" s="88">
        <v>70095.761784957285</v>
      </c>
      <c r="J233" s="99">
        <v>9000.4311289824545</v>
      </c>
      <c r="K233" s="94">
        <v>2.5000000000000001E-3</v>
      </c>
      <c r="L233" s="83">
        <v>0.21814095140450199</v>
      </c>
      <c r="M233" s="88">
        <v>85696.590321217445</v>
      </c>
      <c r="N233" s="99">
        <v>6083.4329852045776</v>
      </c>
      <c r="O233" s="95">
        <v>2.3900000000000001E-2</v>
      </c>
      <c r="P233" s="83">
        <v>0.2080375664511738</v>
      </c>
      <c r="Q233" s="92">
        <v>81727.479360490936</v>
      </c>
      <c r="R233" s="100">
        <v>-6263.2954327485058</v>
      </c>
      <c r="S233" s="90">
        <v>-3.3000000000000002E-2</v>
      </c>
      <c r="T233" s="83">
        <v>0.17961623940137561</v>
      </c>
      <c r="U233" s="92">
        <v>70562.171769732769</v>
      </c>
      <c r="V233" s="99">
        <v>202.3438372899254</v>
      </c>
      <c r="W233" s="85">
        <f t="shared" si="6"/>
        <v>392849.62208819279</v>
      </c>
      <c r="X233" s="86">
        <f t="shared" si="7"/>
        <v>1.2440927933327517E-2</v>
      </c>
    </row>
    <row r="234" spans="2:24" x14ac:dyDescent="0.35">
      <c r="B234" s="96" t="s">
        <v>230</v>
      </c>
      <c r="C234" s="87">
        <v>-0.01</v>
      </c>
      <c r="D234" s="83">
        <v>0.2191031980403067</v>
      </c>
      <c r="E234" s="88">
        <v>83919.942663276393</v>
      </c>
      <c r="F234" s="89">
        <v>0</v>
      </c>
      <c r="G234" s="93">
        <v>-3.5299999999999998E-2</v>
      </c>
      <c r="H234" s="83">
        <v>0.17654994092126461</v>
      </c>
      <c r="I234" s="88">
        <v>67621.381393948293</v>
      </c>
      <c r="J234" s="89">
        <v>0</v>
      </c>
      <c r="K234" s="93">
        <v>-1.8800000000000001E-2</v>
      </c>
      <c r="L234" s="83">
        <v>0.21953543046188151</v>
      </c>
      <c r="M234" s="88">
        <v>84085.494423178548</v>
      </c>
      <c r="N234" s="89">
        <v>0</v>
      </c>
      <c r="O234" s="90">
        <v>-3.6999999999999998E-2</v>
      </c>
      <c r="P234" s="83">
        <v>0.20548396150970599</v>
      </c>
      <c r="Q234" s="92">
        <v>78703.562624152764</v>
      </c>
      <c r="R234" s="89">
        <v>0</v>
      </c>
      <c r="S234" s="90">
        <v>-2.6599999999999999E-2</v>
      </c>
      <c r="T234" s="83">
        <v>0.17932746906684119</v>
      </c>
      <c r="U234" s="92">
        <v>68685.218000657886</v>
      </c>
      <c r="V234" s="89">
        <v>0</v>
      </c>
      <c r="W234" s="85">
        <f t="shared" si="6"/>
        <v>383015.59910521389</v>
      </c>
      <c r="X234" s="86">
        <f t="shared" si="7"/>
        <v>-2.5032537719410608E-2</v>
      </c>
    </row>
    <row r="235" spans="2:24" x14ac:dyDescent="0.35">
      <c r="B235" s="97" t="s">
        <v>231</v>
      </c>
      <c r="C235" s="91">
        <v>1.38E-2</v>
      </c>
      <c r="D235" s="83">
        <v>0.21853805348844249</v>
      </c>
      <c r="E235" s="88">
        <v>85078.037872029614</v>
      </c>
      <c r="F235" s="89">
        <v>0</v>
      </c>
      <c r="G235" s="94">
        <v>2.4299999999999999E-2</v>
      </c>
      <c r="H235" s="83">
        <v>0.17791838032110391</v>
      </c>
      <c r="I235" s="88">
        <v>69264.580961821237</v>
      </c>
      <c r="J235" s="89">
        <v>0</v>
      </c>
      <c r="K235" s="94">
        <v>1.38E-2</v>
      </c>
      <c r="L235" s="83">
        <v>0.21896917102990429</v>
      </c>
      <c r="M235" s="88">
        <v>85245.874246218416</v>
      </c>
      <c r="N235" s="89">
        <v>0</v>
      </c>
      <c r="O235" s="95">
        <v>5.5500000000000001E-2</v>
      </c>
      <c r="P235" s="83">
        <v>0.21338418797693751</v>
      </c>
      <c r="Q235" s="92">
        <v>83071.610349793249</v>
      </c>
      <c r="R235" s="89">
        <v>0</v>
      </c>
      <c r="S235" s="90">
        <v>-2.9700000000000001E-2</v>
      </c>
      <c r="T235" s="83">
        <v>0.17119020718361161</v>
      </c>
      <c r="U235" s="92">
        <v>66645.267026038346</v>
      </c>
      <c r="V235" s="89">
        <v>0</v>
      </c>
      <c r="W235" s="85">
        <f t="shared" si="6"/>
        <v>389305.37045590091</v>
      </c>
      <c r="X235" s="86">
        <f t="shared" si="7"/>
        <v>1.6421710670220691E-2</v>
      </c>
    </row>
    <row r="236" spans="2:24" x14ac:dyDescent="0.35">
      <c r="B236" s="96" t="s">
        <v>232</v>
      </c>
      <c r="C236" s="87">
        <v>-8.6E-3</v>
      </c>
      <c r="D236" s="83">
        <v>0.22059530399112931</v>
      </c>
      <c r="E236" s="88">
        <v>84346.366746330154</v>
      </c>
      <c r="F236" s="89">
        <v>0</v>
      </c>
      <c r="G236" s="93">
        <v>-2.2100000000000002E-2</v>
      </c>
      <c r="H236" s="83">
        <v>0.17714770910584521</v>
      </c>
      <c r="I236" s="88">
        <v>67733.833722564988</v>
      </c>
      <c r="J236" s="89">
        <v>0</v>
      </c>
      <c r="K236" s="93">
        <v>-1.6899999999999998E-2</v>
      </c>
      <c r="L236" s="83">
        <v>0.21918001294176831</v>
      </c>
      <c r="M236" s="88">
        <v>83805.218971457318</v>
      </c>
      <c r="N236" s="89">
        <v>0</v>
      </c>
      <c r="O236" s="90">
        <v>-1.2500000000000001E-2</v>
      </c>
      <c r="P236" s="83">
        <v>0.21454560222305979</v>
      </c>
      <c r="Q236" s="92">
        <v>82033.21522042084</v>
      </c>
      <c r="R236" s="89">
        <v>0</v>
      </c>
      <c r="S236" s="90">
        <v>-3.3099999999999997E-2</v>
      </c>
      <c r="T236" s="83">
        <v>0.16853137173819729</v>
      </c>
      <c r="U236" s="92">
        <v>64439.308687476478</v>
      </c>
      <c r="V236" s="89">
        <v>0</v>
      </c>
      <c r="W236" s="85">
        <f t="shared" si="6"/>
        <v>382357.94334824983</v>
      </c>
      <c r="X236" s="86">
        <f t="shared" si="7"/>
        <v>-1.7845700662991626E-2</v>
      </c>
    </row>
    <row r="237" spans="2:24" x14ac:dyDescent="0.35">
      <c r="B237" s="97" t="s">
        <v>233</v>
      </c>
      <c r="C237" s="91">
        <v>1.43E-2</v>
      </c>
      <c r="D237" s="83">
        <v>0.22618748403254521</v>
      </c>
      <c r="E237" s="88">
        <v>85552.519790802675</v>
      </c>
      <c r="F237" s="89">
        <v>0</v>
      </c>
      <c r="G237" s="93">
        <v>-2.12E-2</v>
      </c>
      <c r="H237" s="83">
        <v>0.1752812179823818</v>
      </c>
      <c r="I237" s="88">
        <v>66297.876447646617</v>
      </c>
      <c r="J237" s="89">
        <v>0</v>
      </c>
      <c r="K237" s="93">
        <v>-5.1999999999999998E-3</v>
      </c>
      <c r="L237" s="83">
        <v>0.2204157408524669</v>
      </c>
      <c r="M237" s="88">
        <v>83369.431832805742</v>
      </c>
      <c r="N237" s="89">
        <v>0</v>
      </c>
      <c r="O237" s="90">
        <v>-1.9E-3</v>
      </c>
      <c r="P237" s="83">
        <v>0.21647091539363869</v>
      </c>
      <c r="Q237" s="92">
        <v>81877.352111502041</v>
      </c>
      <c r="R237" s="89">
        <v>0</v>
      </c>
      <c r="S237" s="90">
        <v>-5.1200000000000002E-2</v>
      </c>
      <c r="T237" s="83">
        <v>0.16164464173896731</v>
      </c>
      <c r="U237" s="92">
        <v>61140.016082677677</v>
      </c>
      <c r="V237" s="89">
        <v>0</v>
      </c>
      <c r="W237" s="85">
        <f t="shared" si="6"/>
        <v>378237.19626543479</v>
      </c>
      <c r="X237" s="86">
        <f t="shared" si="7"/>
        <v>-1.0777197530487559E-2</v>
      </c>
    </row>
    <row r="238" spans="2:24" x14ac:dyDescent="0.35">
      <c r="B238" s="96" t="s">
        <v>234</v>
      </c>
      <c r="C238" s="91">
        <v>2.6700000000000002E-2</v>
      </c>
      <c r="D238" s="83">
        <v>0.23758787359191219</v>
      </c>
      <c r="E238" s="88">
        <v>87836.772069217099</v>
      </c>
      <c r="F238" s="89">
        <v>0</v>
      </c>
      <c r="G238" s="93">
        <v>-3.61E-2</v>
      </c>
      <c r="H238" s="83">
        <v>0.17285402685498891</v>
      </c>
      <c r="I238" s="88">
        <v>63904.523107886569</v>
      </c>
      <c r="J238" s="89">
        <v>0</v>
      </c>
      <c r="K238" s="93">
        <v>-0.05</v>
      </c>
      <c r="L238" s="83">
        <v>0.21422904424706971</v>
      </c>
      <c r="M238" s="88">
        <v>79200.960241165449</v>
      </c>
      <c r="N238" s="89">
        <v>0</v>
      </c>
      <c r="O238" s="90">
        <v>-5.7000000000000002E-2</v>
      </c>
      <c r="P238" s="83">
        <v>0.20884466482889941</v>
      </c>
      <c r="Q238" s="92">
        <v>77210.343041146421</v>
      </c>
      <c r="R238" s="89">
        <v>0</v>
      </c>
      <c r="S238" s="95">
        <v>6.7000000000000002E-3</v>
      </c>
      <c r="T238" s="83">
        <v>0.16648439047712971</v>
      </c>
      <c r="U238" s="92">
        <v>61549.654190431611</v>
      </c>
      <c r="V238" s="89">
        <v>0</v>
      </c>
      <c r="W238" s="85">
        <f t="shared" si="6"/>
        <v>369702.25264984719</v>
      </c>
      <c r="X238" s="86">
        <f t="shared" si="7"/>
        <v>-2.256505626590477E-2</v>
      </c>
    </row>
    <row r="239" spans="2:24" x14ac:dyDescent="0.35">
      <c r="B239" s="97" t="s">
        <v>235</v>
      </c>
      <c r="C239" s="91">
        <v>5.1000000000000004E-3</v>
      </c>
      <c r="D239" s="83">
        <v>0.18934349271332249</v>
      </c>
      <c r="E239" s="88">
        <v>69850.21339486551</v>
      </c>
      <c r="F239" s="100">
        <v>-18434.526211904609</v>
      </c>
      <c r="G239" s="93">
        <v>-5.2600000000000001E-2</v>
      </c>
      <c r="H239" s="83">
        <v>0.20355368513948999</v>
      </c>
      <c r="I239" s="88">
        <v>75092.458370523265</v>
      </c>
      <c r="J239" s="99">
        <v>14549.31317811153</v>
      </c>
      <c r="K239" s="93">
        <v>-3.39E-2</v>
      </c>
      <c r="L239" s="83">
        <v>0.2366008798913363</v>
      </c>
      <c r="M239" s="88">
        <v>87283.812678184258</v>
      </c>
      <c r="N239" s="99">
        <v>10767.764989194309</v>
      </c>
      <c r="O239" s="90">
        <v>-1.8E-3</v>
      </c>
      <c r="P239" s="83">
        <v>0.18757691604050061</v>
      </c>
      <c r="Q239" s="92">
        <v>69198.510208203443</v>
      </c>
      <c r="R239" s="100">
        <v>-7872.8542154689203</v>
      </c>
      <c r="S239" s="95">
        <v>8.0299999999999996E-2</v>
      </c>
      <c r="T239" s="83">
        <v>0.18292502621535059</v>
      </c>
      <c r="U239" s="92">
        <v>67482.393681990943</v>
      </c>
      <c r="V239" s="99">
        <v>990.30226006767771</v>
      </c>
      <c r="W239" s="85">
        <f t="shared" si="6"/>
        <v>368907.38833376742</v>
      </c>
      <c r="X239" s="86">
        <f t="shared" si="7"/>
        <v>-2.1500120986078786E-3</v>
      </c>
    </row>
    <row r="240" spans="2:24" x14ac:dyDescent="0.35">
      <c r="B240" s="96" t="s">
        <v>236</v>
      </c>
      <c r="C240" s="95">
        <v>1.4999999999999999E-2</v>
      </c>
      <c r="D240" s="83">
        <v>0.18866601166614619</v>
      </c>
      <c r="E240" s="88">
        <v>70897.966595788486</v>
      </c>
      <c r="F240" s="89">
        <v>0</v>
      </c>
      <c r="G240" s="93">
        <v>-1.9E-3</v>
      </c>
      <c r="H240" s="83">
        <v>0.1994482670821969</v>
      </c>
      <c r="I240" s="88">
        <v>74949.782699619274</v>
      </c>
      <c r="J240" s="89">
        <v>0</v>
      </c>
      <c r="K240" s="94">
        <v>2.3199999999999998E-2</v>
      </c>
      <c r="L240" s="83">
        <v>0.23765892550515441</v>
      </c>
      <c r="M240" s="88">
        <v>89308.797132318141</v>
      </c>
      <c r="N240" s="89">
        <v>0</v>
      </c>
      <c r="O240" s="95">
        <v>1.9900000000000001E-2</v>
      </c>
      <c r="P240" s="83">
        <v>0.18780805954740601</v>
      </c>
      <c r="Q240" s="92">
        <v>70575.560561346691</v>
      </c>
      <c r="R240" s="89">
        <v>0</v>
      </c>
      <c r="S240" s="95">
        <v>3.8100000000000002E-2</v>
      </c>
      <c r="T240" s="83">
        <v>0.18641873619909649</v>
      </c>
      <c r="U240" s="92">
        <v>70053.472881274793</v>
      </c>
      <c r="V240" s="89">
        <v>0</v>
      </c>
      <c r="W240" s="85">
        <f t="shared" si="6"/>
        <v>375785.5798703474</v>
      </c>
      <c r="X240" s="86">
        <f t="shared" si="7"/>
        <v>1.8644764930424662E-2</v>
      </c>
    </row>
    <row r="241" spans="2:24" x14ac:dyDescent="0.35">
      <c r="B241" s="97" t="s">
        <v>237</v>
      </c>
      <c r="C241" s="90">
        <v>-2.1299999999999999E-2</v>
      </c>
      <c r="D241" s="83">
        <v>0.18610041580045411</v>
      </c>
      <c r="E241" s="88">
        <v>69387.839907298199</v>
      </c>
      <c r="F241" s="89">
        <v>0</v>
      </c>
      <c r="G241" s="93">
        <v>-5.5800000000000002E-2</v>
      </c>
      <c r="H241" s="83">
        <v>0.1898009359956683</v>
      </c>
      <c r="I241" s="88">
        <v>70767.584824980528</v>
      </c>
      <c r="J241" s="89">
        <v>0</v>
      </c>
      <c r="K241" s="93">
        <v>-6.1000000000000004E-3</v>
      </c>
      <c r="L241" s="83">
        <v>0.2380679357783477</v>
      </c>
      <c r="M241" s="88">
        <v>88764.013469811005</v>
      </c>
      <c r="N241" s="89">
        <v>0</v>
      </c>
      <c r="O241" s="90">
        <v>-1.9900000000000001E-2</v>
      </c>
      <c r="P241" s="83">
        <v>0.18551913092863179</v>
      </c>
      <c r="Q241" s="92">
        <v>69171.10690617589</v>
      </c>
      <c r="R241" s="89">
        <v>0</v>
      </c>
      <c r="S241" s="95">
        <v>6.7199999999999996E-2</v>
      </c>
      <c r="T241" s="83">
        <v>0.20051158149689799</v>
      </c>
      <c r="U241" s="92">
        <v>74761.066258896448</v>
      </c>
      <c r="V241" s="89">
        <v>0</v>
      </c>
      <c r="W241" s="85">
        <f t="shared" si="6"/>
        <v>372851.61136716208</v>
      </c>
      <c r="X241" s="86">
        <f t="shared" si="7"/>
        <v>-7.8075601096709857E-3</v>
      </c>
    </row>
    <row r="242" spans="2:24" x14ac:dyDescent="0.35">
      <c r="B242" s="96" t="s">
        <v>238</v>
      </c>
      <c r="C242" s="90">
        <v>-1.9300000000000001E-2</v>
      </c>
      <c r="D242" s="83">
        <v>0.1846885173605913</v>
      </c>
      <c r="E242" s="88">
        <v>68048.654597087341</v>
      </c>
      <c r="F242" s="89">
        <v>0</v>
      </c>
      <c r="G242" s="93">
        <v>-5.5100000000000003E-2</v>
      </c>
      <c r="H242" s="83">
        <v>0.18148493277476099</v>
      </c>
      <c r="I242" s="88">
        <v>66868.290901124099</v>
      </c>
      <c r="J242" s="89">
        <v>0</v>
      </c>
      <c r="K242" s="93">
        <v>-1.9199999999999998E-2</v>
      </c>
      <c r="L242" s="83">
        <v>0.23628586358242329</v>
      </c>
      <c r="M242" s="88">
        <v>87059.744411190637</v>
      </c>
      <c r="N242" s="89">
        <v>0</v>
      </c>
      <c r="O242" s="95">
        <v>7.6200000000000004E-2</v>
      </c>
      <c r="P242" s="83">
        <v>0.20204032804929889</v>
      </c>
      <c r="Q242" s="92">
        <v>74441.945252426493</v>
      </c>
      <c r="R242" s="89">
        <v>0</v>
      </c>
      <c r="S242" s="90">
        <v>-3.6499999999999998E-2</v>
      </c>
      <c r="T242" s="83">
        <v>0.19550035823292561</v>
      </c>
      <c r="U242" s="92">
        <v>72032.287340446725</v>
      </c>
      <c r="V242" s="89">
        <v>0</v>
      </c>
      <c r="W242" s="85">
        <f t="shared" si="6"/>
        <v>368450.92250227527</v>
      </c>
      <c r="X242" s="86">
        <f t="shared" si="7"/>
        <v>-1.1802788913129469E-2</v>
      </c>
    </row>
    <row r="243" spans="2:24" x14ac:dyDescent="0.35">
      <c r="B243" s="97" t="s">
        <v>239</v>
      </c>
      <c r="C243" s="95">
        <v>5.8500000000000003E-2</v>
      </c>
      <c r="D243" s="83">
        <v>0.19329990776872641</v>
      </c>
      <c r="E243" s="88">
        <v>72029.500891016956</v>
      </c>
      <c r="F243" s="89">
        <v>0</v>
      </c>
      <c r="G243" s="94">
        <v>6.4600000000000005E-2</v>
      </c>
      <c r="H243" s="83">
        <v>0.19104159101454829</v>
      </c>
      <c r="I243" s="88">
        <v>71187.98249333672</v>
      </c>
      <c r="J243" s="89">
        <v>0</v>
      </c>
      <c r="K243" s="94">
        <v>1.3299999999999999E-2</v>
      </c>
      <c r="L243" s="83">
        <v>0.23674274114946581</v>
      </c>
      <c r="M243" s="88">
        <v>88217.639011859486</v>
      </c>
      <c r="N243" s="89">
        <v>0</v>
      </c>
      <c r="O243" s="90">
        <v>-2.3999999999999998E-3</v>
      </c>
      <c r="P243" s="83">
        <v>0.19929453741981279</v>
      </c>
      <c r="Q243" s="92">
        <v>74263.28458382067</v>
      </c>
      <c r="R243" s="89">
        <v>0</v>
      </c>
      <c r="S243" s="90">
        <v>-7.0800000000000002E-2</v>
      </c>
      <c r="T243" s="83">
        <v>0.1796212226474467</v>
      </c>
      <c r="U243" s="92">
        <v>66932.401396743095</v>
      </c>
      <c r="V243" s="89">
        <v>0</v>
      </c>
      <c r="W243" s="85">
        <f t="shared" si="6"/>
        <v>372630.80837677693</v>
      </c>
      <c r="X243" s="86">
        <f t="shared" si="7"/>
        <v>1.1344484758281093E-2</v>
      </c>
    </row>
    <row r="244" spans="2:24" x14ac:dyDescent="0.35">
      <c r="B244" s="96" t="s">
        <v>240</v>
      </c>
      <c r="C244" s="95">
        <v>3.2800000000000003E-2</v>
      </c>
      <c r="D244" s="83">
        <v>0.1962425758778738</v>
      </c>
      <c r="E244" s="88">
        <v>74392.068520242305</v>
      </c>
      <c r="F244" s="89">
        <v>0</v>
      </c>
      <c r="G244" s="94">
        <v>6.8099999999999994E-2</v>
      </c>
      <c r="H244" s="83">
        <v>0.20057887960324189</v>
      </c>
      <c r="I244" s="88">
        <v>76035.88410113295</v>
      </c>
      <c r="J244" s="89">
        <v>0</v>
      </c>
      <c r="K244" s="94">
        <v>2.06E-2</v>
      </c>
      <c r="L244" s="83">
        <v>0.2375076461427548</v>
      </c>
      <c r="M244" s="88">
        <v>90034.922375503782</v>
      </c>
      <c r="N244" s="89">
        <v>0</v>
      </c>
      <c r="O244" s="95">
        <v>1.9E-3</v>
      </c>
      <c r="P244" s="83">
        <v>0.19627506567586939</v>
      </c>
      <c r="Q244" s="92">
        <v>74404.38482452993</v>
      </c>
      <c r="R244" s="89">
        <v>0</v>
      </c>
      <c r="S244" s="90">
        <v>-4.0599999999999997E-2</v>
      </c>
      <c r="T244" s="83">
        <v>0.16939583270026001</v>
      </c>
      <c r="U244" s="92">
        <v>64214.945900035324</v>
      </c>
      <c r="V244" s="89">
        <v>0</v>
      </c>
      <c r="W244" s="85">
        <f t="shared" si="6"/>
        <v>379082.20572144428</v>
      </c>
      <c r="X244" s="86">
        <f t="shared" si="7"/>
        <v>1.731310777219508E-2</v>
      </c>
    </row>
    <row r="245" spans="2:24" x14ac:dyDescent="0.35">
      <c r="B245" s="97" t="s">
        <v>241</v>
      </c>
      <c r="C245" s="95">
        <v>3.73E-2</v>
      </c>
      <c r="D245" s="83">
        <v>0.19394660651679149</v>
      </c>
      <c r="E245" s="88">
        <v>75367.664415398758</v>
      </c>
      <c r="F245" s="100">
        <v>-1799.2282606485969</v>
      </c>
      <c r="G245" s="93">
        <v>-1.9E-3</v>
      </c>
      <c r="H245" s="83">
        <v>0.18627604595374711</v>
      </c>
      <c r="I245" s="88">
        <v>72386.884061587945</v>
      </c>
      <c r="J245" s="100">
        <v>-3504.5318597528531</v>
      </c>
      <c r="K245" s="94">
        <v>2.18E-2</v>
      </c>
      <c r="L245" s="83">
        <v>0.2493262522119353</v>
      </c>
      <c r="M245" s="88">
        <v>96888.198479674422</v>
      </c>
      <c r="N245" s="99">
        <v>4890.5147963846539</v>
      </c>
      <c r="O245" s="95">
        <v>9.4000000000000004E-3</v>
      </c>
      <c r="P245" s="83">
        <v>0.20219082377061551</v>
      </c>
      <c r="Q245" s="92">
        <v>78571.367798061721</v>
      </c>
      <c r="R245" s="99">
        <v>3467.5817561812</v>
      </c>
      <c r="S245" s="95">
        <v>6.5799999999999997E-2</v>
      </c>
      <c r="T245" s="83">
        <v>0.16826027154691059</v>
      </c>
      <c r="U245" s="92">
        <v>65385.952908093277</v>
      </c>
      <c r="V245" s="100">
        <v>-3054.3364321643821</v>
      </c>
      <c r="W245" s="85">
        <f t="shared" si="6"/>
        <v>388600.06766281615</v>
      </c>
      <c r="X245" s="86">
        <f t="shared" si="7"/>
        <v>2.5107646303941022E-2</v>
      </c>
    </row>
    <row r="246" spans="2:24" x14ac:dyDescent="0.35">
      <c r="B246" s="96" t="s">
        <v>242</v>
      </c>
      <c r="C246" s="95">
        <v>5.4699999999999999E-2</v>
      </c>
      <c r="D246" s="83">
        <v>0.20368706469405931</v>
      </c>
      <c r="E246" s="88">
        <v>79490.275658921062</v>
      </c>
      <c r="F246" s="89">
        <v>0</v>
      </c>
      <c r="G246" s="93">
        <v>-2.29E-2</v>
      </c>
      <c r="H246" s="83">
        <v>0.18123761667799981</v>
      </c>
      <c r="I246" s="88">
        <v>70729.224416577577</v>
      </c>
      <c r="J246" s="89">
        <v>0</v>
      </c>
      <c r="K246" s="93">
        <v>-2.0400000000000001E-2</v>
      </c>
      <c r="L246" s="83">
        <v>0.2432030985857267</v>
      </c>
      <c r="M246" s="88">
        <v>94911.679230689071</v>
      </c>
      <c r="N246" s="89">
        <v>0</v>
      </c>
      <c r="O246" s="95">
        <v>5.3E-3</v>
      </c>
      <c r="P246" s="83">
        <v>0.2023995034635481</v>
      </c>
      <c r="Q246" s="92">
        <v>78987.796047391457</v>
      </c>
      <c r="R246" s="89">
        <v>0</v>
      </c>
      <c r="S246" s="95">
        <v>1.15E-2</v>
      </c>
      <c r="T246" s="83">
        <v>0.16947271657866589</v>
      </c>
      <c r="U246" s="92">
        <v>66137.891366536351</v>
      </c>
      <c r="V246" s="89">
        <v>0</v>
      </c>
      <c r="W246" s="85">
        <f t="shared" si="6"/>
        <v>390256.86672011553</v>
      </c>
      <c r="X246" s="86">
        <f t="shared" si="7"/>
        <v>4.2635068677778776E-3</v>
      </c>
    </row>
    <row r="247" spans="2:24" x14ac:dyDescent="0.35">
      <c r="B247" s="97" t="s">
        <v>243</v>
      </c>
      <c r="C247" s="95">
        <v>3.6400000000000002E-2</v>
      </c>
      <c r="D247" s="83">
        <v>0.20301180319056611</v>
      </c>
      <c r="E247" s="88">
        <v>82383.72169290579</v>
      </c>
      <c r="F247" s="89">
        <v>0</v>
      </c>
      <c r="G247" s="94">
        <v>9.9000000000000008E-3</v>
      </c>
      <c r="H247" s="83">
        <v>0.17601802730235749</v>
      </c>
      <c r="I247" s="88">
        <v>71429.443738301692</v>
      </c>
      <c r="J247" s="89">
        <v>0</v>
      </c>
      <c r="K247" s="94">
        <v>9.9000000000000008E-3</v>
      </c>
      <c r="L247" s="83">
        <v>0.23619892178860691</v>
      </c>
      <c r="M247" s="88">
        <v>95851.3048550729</v>
      </c>
      <c r="N247" s="89">
        <v>0</v>
      </c>
      <c r="O247" s="95">
        <v>9.7699999999999995E-2</v>
      </c>
      <c r="P247" s="83">
        <v>0.2136601562566379</v>
      </c>
      <c r="Q247" s="92">
        <v>86704.903721221592</v>
      </c>
      <c r="R247" s="89">
        <v>0</v>
      </c>
      <c r="S247" s="95">
        <v>4.99E-2</v>
      </c>
      <c r="T247" s="83">
        <v>0.17111109146183159</v>
      </c>
      <c r="U247" s="92">
        <v>69438.172145726523</v>
      </c>
      <c r="V247" s="89">
        <v>0</v>
      </c>
      <c r="W247" s="85">
        <f t="shared" si="6"/>
        <v>405807.5461532285</v>
      </c>
      <c r="X247" s="86">
        <f t="shared" si="7"/>
        <v>3.9847292281638635E-2</v>
      </c>
    </row>
    <row r="248" spans="2:24" x14ac:dyDescent="0.35">
      <c r="B248" s="96" t="s">
        <v>244</v>
      </c>
      <c r="C248" s="90">
        <v>-1.7500000000000002E-2</v>
      </c>
      <c r="D248" s="83">
        <v>0.19887800135746869</v>
      </c>
      <c r="E248" s="88">
        <v>80942.006563279938</v>
      </c>
      <c r="F248" s="89">
        <v>0</v>
      </c>
      <c r="G248" s="93">
        <v>-4.4200000000000003E-2</v>
      </c>
      <c r="H248" s="83">
        <v>0.16774789328637921</v>
      </c>
      <c r="I248" s="88">
        <v>68272.262325068761</v>
      </c>
      <c r="J248" s="89">
        <v>0</v>
      </c>
      <c r="K248" s="93">
        <v>-9.7999999999999997E-3</v>
      </c>
      <c r="L248" s="83">
        <v>0.23320278459049409</v>
      </c>
      <c r="M248" s="88">
        <v>94911.962067493179</v>
      </c>
      <c r="N248" s="89">
        <v>0</v>
      </c>
      <c r="O248" s="95">
        <v>4.9599999999999998E-2</v>
      </c>
      <c r="P248" s="83">
        <v>0.22360435757955999</v>
      </c>
      <c r="Q248" s="92">
        <v>91005.466945794193</v>
      </c>
      <c r="R248" s="89">
        <v>0</v>
      </c>
      <c r="S248" s="95">
        <v>3.49E-2</v>
      </c>
      <c r="T248" s="83">
        <v>0.17656696318609799</v>
      </c>
      <c r="U248" s="92">
        <v>71861.564353612368</v>
      </c>
      <c r="V248" s="89">
        <v>0</v>
      </c>
      <c r="W248" s="85">
        <f t="shared" si="6"/>
        <v>406993.26225524844</v>
      </c>
      <c r="X248" s="86">
        <f t="shared" si="7"/>
        <v>2.9218680462197444E-3</v>
      </c>
    </row>
    <row r="249" spans="2:24" x14ac:dyDescent="0.35">
      <c r="B249" s="97" t="s">
        <v>245</v>
      </c>
      <c r="C249" s="95">
        <v>6.5600000000000006E-2</v>
      </c>
      <c r="D249" s="83">
        <v>0.20458727247908609</v>
      </c>
      <c r="E249" s="88">
        <v>86251.802193831114</v>
      </c>
      <c r="F249" s="89">
        <v>0</v>
      </c>
      <c r="G249" s="94">
        <v>4.24E-2</v>
      </c>
      <c r="H249" s="83">
        <v>0.16880648668637879</v>
      </c>
      <c r="I249" s="88">
        <v>71167.006247651676</v>
      </c>
      <c r="J249" s="89">
        <v>0</v>
      </c>
      <c r="K249" s="94">
        <v>3.2000000000000001E-2</v>
      </c>
      <c r="L249" s="83">
        <v>0.23233309771585281</v>
      </c>
      <c r="M249" s="88">
        <v>97949.144853652964</v>
      </c>
      <c r="N249" s="89">
        <v>0</v>
      </c>
      <c r="O249" s="95">
        <v>3.5200000000000002E-2</v>
      </c>
      <c r="P249" s="83">
        <v>0.22346122740802499</v>
      </c>
      <c r="Q249" s="92">
        <v>94208.859382286144</v>
      </c>
      <c r="R249" s="89">
        <v>0</v>
      </c>
      <c r="S249" s="95">
        <v>2.0999999999999999E-3</v>
      </c>
      <c r="T249" s="83">
        <v>0.17081191571065721</v>
      </c>
      <c r="U249" s="92">
        <v>72012.473638754949</v>
      </c>
      <c r="V249" s="89">
        <v>0</v>
      </c>
      <c r="W249" s="85">
        <f t="shared" si="6"/>
        <v>421589.28631617688</v>
      </c>
      <c r="X249" s="86">
        <f t="shared" si="7"/>
        <v>3.5863060680779713E-2</v>
      </c>
    </row>
    <row r="250" spans="2:24" x14ac:dyDescent="0.35">
      <c r="B250" s="96" t="s">
        <v>246</v>
      </c>
      <c r="C250" s="95">
        <v>9.3799999999999994E-2</v>
      </c>
      <c r="D250" s="83">
        <v>0.20891712052596201</v>
      </c>
      <c r="E250" s="88">
        <v>94342.221239612467</v>
      </c>
      <c r="F250" s="89">
        <v>0</v>
      </c>
      <c r="G250" s="94">
        <v>7.2700000000000001E-2</v>
      </c>
      <c r="H250" s="83">
        <v>0.1690537900203096</v>
      </c>
      <c r="I250" s="88">
        <v>76340.847601855945</v>
      </c>
      <c r="J250" s="89">
        <v>0</v>
      </c>
      <c r="K250" s="94">
        <v>6.6900000000000001E-2</v>
      </c>
      <c r="L250" s="83">
        <v>0.23141542206409779</v>
      </c>
      <c r="M250" s="88">
        <v>104501.94264436229</v>
      </c>
      <c r="N250" s="89">
        <v>0</v>
      </c>
      <c r="O250" s="95">
        <v>5.6899999999999999E-2</v>
      </c>
      <c r="P250" s="83">
        <v>0.22049237615369621</v>
      </c>
      <c r="Q250" s="92">
        <v>99569.343481138218</v>
      </c>
      <c r="R250" s="89">
        <v>0</v>
      </c>
      <c r="S250" s="95">
        <v>6.6799999999999998E-2</v>
      </c>
      <c r="T250" s="83">
        <v>0.17012129123593431</v>
      </c>
      <c r="U250" s="92">
        <v>76822.906877823771</v>
      </c>
      <c r="V250" s="89">
        <v>0</v>
      </c>
      <c r="W250" s="85">
        <f t="shared" si="6"/>
        <v>451577.26184479264</v>
      </c>
      <c r="X250" s="86">
        <f t="shared" si="7"/>
        <v>7.1130781786816755E-2</v>
      </c>
    </row>
    <row r="251" spans="2:24" x14ac:dyDescent="0.35">
      <c r="B251" s="97" t="s">
        <v>247</v>
      </c>
      <c r="C251" s="95">
        <v>3.1800000000000002E-2</v>
      </c>
      <c r="D251" s="83">
        <v>0.18718006494300959</v>
      </c>
      <c r="E251" s="88">
        <v>88005.239285856864</v>
      </c>
      <c r="F251" s="100">
        <v>-9337.0645891752793</v>
      </c>
      <c r="G251" s="94">
        <v>5.3900000000000003E-2</v>
      </c>
      <c r="H251" s="83">
        <v>0.17533449075256799</v>
      </c>
      <c r="I251" s="88">
        <v>82435.882359810348</v>
      </c>
      <c r="J251" s="99">
        <v>1980.263072214366</v>
      </c>
      <c r="K251" s="94">
        <v>4.6600000000000003E-2</v>
      </c>
      <c r="L251" s="83">
        <v>0.24583657542307341</v>
      </c>
      <c r="M251" s="88">
        <v>115583.3910620253</v>
      </c>
      <c r="N251" s="99">
        <v>6211.6578904356566</v>
      </c>
      <c r="O251" s="95">
        <v>7.3400000000000007E-2</v>
      </c>
      <c r="P251" s="83">
        <v>0.2155113520903863</v>
      </c>
      <c r="Q251" s="92">
        <v>101325.5771404267</v>
      </c>
      <c r="R251" s="100">
        <v>-5552.1561522270931</v>
      </c>
      <c r="S251" s="90">
        <v>-9.1999999999999998E-3</v>
      </c>
      <c r="T251" s="83">
        <v>0.17613751679096259</v>
      </c>
      <c r="U251" s="92">
        <v>82813.435913300185</v>
      </c>
      <c r="V251" s="99">
        <v>6697.2997787523927</v>
      </c>
      <c r="W251" s="85">
        <f t="shared" si="6"/>
        <v>470163.52576141938</v>
      </c>
      <c r="X251" s="86">
        <f t="shared" si="7"/>
        <v>4.1158546913318439E-2</v>
      </c>
    </row>
    <row r="252" spans="2:24" x14ac:dyDescent="0.35">
      <c r="B252" s="96" t="s">
        <v>248</v>
      </c>
      <c r="C252" s="95">
        <v>2.5999999999999999E-2</v>
      </c>
      <c r="D252" s="83">
        <v>0.18937676642327481</v>
      </c>
      <c r="E252" s="88">
        <v>90293.375507289151</v>
      </c>
      <c r="F252" s="89">
        <v>0</v>
      </c>
      <c r="G252" s="94">
        <v>2.0899999999999998E-2</v>
      </c>
      <c r="H252" s="83">
        <v>0.17651040137257309</v>
      </c>
      <c r="I252" s="88">
        <v>84158.792301130379</v>
      </c>
      <c r="J252" s="89">
        <v>0</v>
      </c>
      <c r="K252" s="94">
        <v>1.35E-2</v>
      </c>
      <c r="L252" s="83">
        <v>0.24569142139633951</v>
      </c>
      <c r="M252" s="88">
        <v>117143.76684136259</v>
      </c>
      <c r="N252" s="89">
        <v>0</v>
      </c>
      <c r="O252" s="95">
        <v>2.58E-2</v>
      </c>
      <c r="P252" s="83">
        <v>0.21799803990306671</v>
      </c>
      <c r="Q252" s="92">
        <v>103939.7770306497</v>
      </c>
      <c r="R252" s="89">
        <v>0</v>
      </c>
      <c r="S252" s="90">
        <v>-1.8800000000000001E-2</v>
      </c>
      <c r="T252" s="83">
        <v>0.17042337090474599</v>
      </c>
      <c r="U252" s="92">
        <v>81256.543318130134</v>
      </c>
      <c r="V252" s="89">
        <v>0</v>
      </c>
      <c r="W252" s="85">
        <f t="shared" si="6"/>
        <v>476792.25499856193</v>
      </c>
      <c r="X252" s="86">
        <f t="shared" si="7"/>
        <v>1.4098773881720206E-2</v>
      </c>
    </row>
    <row r="253" spans="2:24" x14ac:dyDescent="0.35">
      <c r="B253" s="97" t="s">
        <v>249</v>
      </c>
      <c r="C253" s="90">
        <v>-1.52E-2</v>
      </c>
      <c r="D253" s="83">
        <v>0.18931971836261241</v>
      </c>
      <c r="E253" s="88">
        <v>88920.916199578351</v>
      </c>
      <c r="F253" s="89">
        <v>0</v>
      </c>
      <c r="G253" s="93">
        <v>-1.8599999999999998E-2</v>
      </c>
      <c r="H253" s="83">
        <v>0.17584801454774771</v>
      </c>
      <c r="I253" s="88">
        <v>82593.438764329359</v>
      </c>
      <c r="J253" s="89">
        <v>0</v>
      </c>
      <c r="K253" s="93">
        <v>-2.4299999999999999E-2</v>
      </c>
      <c r="L253" s="83">
        <v>0.24334779245390631</v>
      </c>
      <c r="M253" s="88">
        <v>114297.1733071175</v>
      </c>
      <c r="N253" s="89">
        <v>0</v>
      </c>
      <c r="O253" s="95">
        <v>1.5900000000000001E-2</v>
      </c>
      <c r="P253" s="83">
        <v>0.2248146777226363</v>
      </c>
      <c r="Q253" s="92">
        <v>105592.419485437</v>
      </c>
      <c r="R253" s="89">
        <v>0</v>
      </c>
      <c r="S253" s="90">
        <v>-3.6600000000000001E-2</v>
      </c>
      <c r="T253" s="83">
        <v>0.1666697969130973</v>
      </c>
      <c r="U253" s="92">
        <v>78282.553832686579</v>
      </c>
      <c r="V253" s="89">
        <v>0</v>
      </c>
      <c r="W253" s="85">
        <f t="shared" si="6"/>
        <v>469686.50158914871</v>
      </c>
      <c r="X253" s="86">
        <f t="shared" si="7"/>
        <v>-1.4903248395749746E-2</v>
      </c>
    </row>
    <row r="254" spans="2:24" x14ac:dyDescent="0.35">
      <c r="B254" s="96" t="s">
        <v>250</v>
      </c>
      <c r="C254" s="95">
        <v>5.04E-2</v>
      </c>
      <c r="D254" s="83">
        <v>0.1891847624212957</v>
      </c>
      <c r="E254" s="88">
        <v>93402.530376037103</v>
      </c>
      <c r="F254" s="89">
        <v>0</v>
      </c>
      <c r="G254" s="93">
        <v>-2.0000000000000001E-4</v>
      </c>
      <c r="H254" s="83">
        <v>0.16725772785035201</v>
      </c>
      <c r="I254" s="88">
        <v>82576.920076576498</v>
      </c>
      <c r="J254" s="89">
        <v>0</v>
      </c>
      <c r="K254" s="94">
        <v>2.1999999999999999E-2</v>
      </c>
      <c r="L254" s="83">
        <v>0.23659954101102179</v>
      </c>
      <c r="M254" s="88">
        <v>116811.7111198741</v>
      </c>
      <c r="N254" s="89">
        <v>0</v>
      </c>
      <c r="O254" s="95">
        <v>0.105</v>
      </c>
      <c r="P254" s="83">
        <v>0.23633200051782341</v>
      </c>
      <c r="Q254" s="92">
        <v>116679.62353140789</v>
      </c>
      <c r="R254" s="89">
        <v>0</v>
      </c>
      <c r="S254" s="95">
        <v>7.6100000000000001E-2</v>
      </c>
      <c r="T254" s="83">
        <v>0.17062596819950709</v>
      </c>
      <c r="U254" s="92">
        <v>84239.856179354028</v>
      </c>
      <c r="V254" s="89">
        <v>0</v>
      </c>
      <c r="W254" s="85">
        <f t="shared" si="6"/>
        <v>493710.6412832496</v>
      </c>
      <c r="X254" s="86">
        <f t="shared" si="7"/>
        <v>5.1149308342515853E-2</v>
      </c>
    </row>
    <row r="255" spans="2:24" x14ac:dyDescent="0.35">
      <c r="B255" s="97" t="s">
        <v>251</v>
      </c>
      <c r="C255" s="95">
        <v>0.10299999999999999</v>
      </c>
      <c r="D255" s="83">
        <v>0.19883491810927639</v>
      </c>
      <c r="E255" s="88">
        <v>103022.9910047689</v>
      </c>
      <c r="F255" s="89">
        <v>0</v>
      </c>
      <c r="G255" s="94">
        <v>6.0400000000000002E-2</v>
      </c>
      <c r="H255" s="83">
        <v>0.16900007609817311</v>
      </c>
      <c r="I255" s="88">
        <v>87564.56604920172</v>
      </c>
      <c r="J255" s="89">
        <v>0</v>
      </c>
      <c r="K255" s="94">
        <v>5.0700000000000002E-2</v>
      </c>
      <c r="L255" s="83">
        <v>0.23687739503934141</v>
      </c>
      <c r="M255" s="88">
        <v>122734.0648736517</v>
      </c>
      <c r="N255" s="89">
        <v>0</v>
      </c>
      <c r="O255" s="95">
        <v>7.7999999999999996E-3</v>
      </c>
      <c r="P255" s="83">
        <v>0.22694879106400159</v>
      </c>
      <c r="Q255" s="92">
        <v>117589.7245949529</v>
      </c>
      <c r="R255" s="89">
        <v>0</v>
      </c>
      <c r="S255" s="95">
        <v>3.5400000000000001E-2</v>
      </c>
      <c r="T255" s="83">
        <v>0.16833881968920739</v>
      </c>
      <c r="U255" s="92">
        <v>87221.947088103174</v>
      </c>
      <c r="V255" s="89">
        <v>0</v>
      </c>
      <c r="W255" s="85">
        <f t="shared" si="6"/>
        <v>518133.2936106784</v>
      </c>
      <c r="X255" s="86">
        <f t="shared" si="7"/>
        <v>4.9467542899115147E-2</v>
      </c>
    </row>
    <row r="256" spans="2:24" x14ac:dyDescent="0.35">
      <c r="B256" s="96" t="s">
        <v>252</v>
      </c>
      <c r="C256" s="95">
        <v>1.4E-3</v>
      </c>
      <c r="D256" s="83">
        <v>0.19800610831339441</v>
      </c>
      <c r="E256" s="88">
        <v>103167.2231921756</v>
      </c>
      <c r="F256" s="89">
        <v>0</v>
      </c>
      <c r="G256" s="93">
        <v>-4.5499999999999999E-2</v>
      </c>
      <c r="H256" s="83">
        <v>0.16041359770361699</v>
      </c>
      <c r="I256" s="88">
        <v>83580.378293963047</v>
      </c>
      <c r="J256" s="89">
        <v>0</v>
      </c>
      <c r="K256" s="93">
        <v>-2.3999999999999998E-3</v>
      </c>
      <c r="L256" s="83">
        <v>0.23499488273568919</v>
      </c>
      <c r="M256" s="88">
        <v>122439.503117955</v>
      </c>
      <c r="N256" s="89">
        <v>0</v>
      </c>
      <c r="O256" s="95">
        <v>1.7000000000000001E-2</v>
      </c>
      <c r="P256" s="83">
        <v>0.2295235079094973</v>
      </c>
      <c r="Q256" s="92">
        <v>119588.749913067</v>
      </c>
      <c r="R256" s="89">
        <v>0</v>
      </c>
      <c r="S256" s="95">
        <v>5.7700000000000001E-2</v>
      </c>
      <c r="T256" s="83">
        <v>0.17706190333780211</v>
      </c>
      <c r="U256" s="92">
        <v>92254.65343508673</v>
      </c>
      <c r="V256" s="89">
        <v>0</v>
      </c>
      <c r="W256" s="85">
        <f t="shared" si="6"/>
        <v>521030.5079522474</v>
      </c>
      <c r="X256" s="86">
        <f t="shared" si="7"/>
        <v>5.5916390189469922E-3</v>
      </c>
    </row>
    <row r="257" spans="2:24" x14ac:dyDescent="0.35">
      <c r="B257" s="97" t="s">
        <v>253</v>
      </c>
      <c r="C257" s="90">
        <v>-2.35E-2</v>
      </c>
      <c r="D257" s="83">
        <v>0.18769854946003761</v>
      </c>
      <c r="E257" s="88">
        <v>95669.67879168845</v>
      </c>
      <c r="F257" s="100">
        <v>-5073.1146554710294</v>
      </c>
      <c r="G257" s="93">
        <v>-4.4499999999999998E-2</v>
      </c>
      <c r="H257" s="83">
        <v>0.1732080224522686</v>
      </c>
      <c r="I257" s="88">
        <v>88283.878164333568</v>
      </c>
      <c r="J257" s="99">
        <v>8422.8267044518725</v>
      </c>
      <c r="K257" s="93">
        <v>-4.3299999999999998E-2</v>
      </c>
      <c r="L257" s="83">
        <v>0.23705573043548611</v>
      </c>
      <c r="M257" s="88">
        <v>120826.9624444837</v>
      </c>
      <c r="N257" s="99">
        <v>3689.089811536222</v>
      </c>
      <c r="O257" s="95">
        <v>1.3599999999999999E-2</v>
      </c>
      <c r="P257" s="83">
        <v>0.19855130809791541</v>
      </c>
      <c r="Q257" s="92">
        <v>101201.31414996029</v>
      </c>
      <c r="R257" s="100">
        <v>-20013.84276192445</v>
      </c>
      <c r="S257" s="90">
        <v>-1.6400000000000001E-2</v>
      </c>
      <c r="T257" s="83">
        <v>0.2034863895542923</v>
      </c>
      <c r="U257" s="92">
        <v>103716.7180201587</v>
      </c>
      <c r="V257" s="99">
        <v>12975.04090140741</v>
      </c>
      <c r="W257" s="85">
        <f t="shared" si="6"/>
        <v>509698.55157062475</v>
      </c>
      <c r="X257" s="86">
        <f t="shared" si="7"/>
        <v>-2.1749122572801816E-2</v>
      </c>
    </row>
    <row r="258" spans="2:24" x14ac:dyDescent="0.35">
      <c r="B258" s="96" t="s">
        <v>254</v>
      </c>
      <c r="C258" s="90">
        <v>-1.9900000000000001E-2</v>
      </c>
      <c r="D258" s="83">
        <v>0.1825383696815398</v>
      </c>
      <c r="E258" s="88">
        <v>93765.852183733849</v>
      </c>
      <c r="F258" s="89">
        <v>0</v>
      </c>
      <c r="G258" s="94">
        <v>4.7100000000000003E-2</v>
      </c>
      <c r="H258" s="83">
        <v>0.1799612597732414</v>
      </c>
      <c r="I258" s="88">
        <v>92442.048825873673</v>
      </c>
      <c r="J258" s="89">
        <v>0</v>
      </c>
      <c r="K258" s="94">
        <v>1.8800000000000001E-2</v>
      </c>
      <c r="L258" s="83">
        <v>0.23964162519246729</v>
      </c>
      <c r="M258" s="88">
        <v>123098.50933844</v>
      </c>
      <c r="N258" s="89">
        <v>0</v>
      </c>
      <c r="O258" s="95">
        <v>1.54E-2</v>
      </c>
      <c r="P258" s="83">
        <v>0.2000473365333886</v>
      </c>
      <c r="Q258" s="92">
        <v>102759.8143878697</v>
      </c>
      <c r="R258" s="89">
        <v>0</v>
      </c>
      <c r="S258" s="90">
        <v>-2.0299999999999999E-2</v>
      </c>
      <c r="T258" s="83">
        <v>0.19781140881936279</v>
      </c>
      <c r="U258" s="92">
        <v>101611.2686443495</v>
      </c>
      <c r="V258" s="89">
        <v>0</v>
      </c>
      <c r="W258" s="85">
        <f t="shared" si="6"/>
        <v>513677.49338026671</v>
      </c>
      <c r="X258" s="86">
        <f t="shared" si="7"/>
        <v>7.8064608921899481E-3</v>
      </c>
    </row>
    <row r="259" spans="2:24" x14ac:dyDescent="0.35">
      <c r="B259" s="97" t="s">
        <v>255</v>
      </c>
      <c r="C259" s="90">
        <v>-7.0699999999999999E-2</v>
      </c>
      <c r="D259" s="83">
        <v>0.17021157161343339</v>
      </c>
      <c r="E259" s="88">
        <v>87136.606434343863</v>
      </c>
      <c r="F259" s="89">
        <v>0</v>
      </c>
      <c r="G259" s="93">
        <v>-2.8899999999999999E-2</v>
      </c>
      <c r="H259" s="83">
        <v>0.17535653525790679</v>
      </c>
      <c r="I259" s="88">
        <v>89770.473614805916</v>
      </c>
      <c r="J259" s="89">
        <v>0</v>
      </c>
      <c r="K259" s="93">
        <v>-1.34E-2</v>
      </c>
      <c r="L259" s="83">
        <v>0.23723695686332211</v>
      </c>
      <c r="M259" s="88">
        <v>121448.9893133049</v>
      </c>
      <c r="N259" s="89">
        <v>0</v>
      </c>
      <c r="O259" s="95">
        <v>7.7899999999999997E-2</v>
      </c>
      <c r="P259" s="83">
        <v>0.21636660099175459</v>
      </c>
      <c r="Q259" s="92">
        <v>110764.80392868481</v>
      </c>
      <c r="R259" s="89">
        <v>0</v>
      </c>
      <c r="S259" s="95">
        <v>1.18E-2</v>
      </c>
      <c r="T259" s="83">
        <v>0.2008283352735831</v>
      </c>
      <c r="U259" s="92">
        <v>102810.2816143528</v>
      </c>
      <c r="V259" s="89">
        <v>0</v>
      </c>
      <c r="W259" s="85">
        <f t="shared" si="6"/>
        <v>511931.15490549232</v>
      </c>
      <c r="X259" s="86">
        <f t="shared" si="7"/>
        <v>-3.3996787814910556E-3</v>
      </c>
    </row>
    <row r="260" spans="2:24" x14ac:dyDescent="0.35">
      <c r="B260" s="96" t="s">
        <v>256</v>
      </c>
      <c r="C260" s="90">
        <v>-3.15E-2</v>
      </c>
      <c r="D260" s="83">
        <v>0.17043398181504221</v>
      </c>
      <c r="E260" s="88">
        <v>84391.803331662028</v>
      </c>
      <c r="F260" s="89">
        <v>0</v>
      </c>
      <c r="G260" s="93">
        <v>-4.0800000000000003E-2</v>
      </c>
      <c r="H260" s="83">
        <v>0.1738996106979708</v>
      </c>
      <c r="I260" s="88">
        <v>86107.838291321837</v>
      </c>
      <c r="J260" s="89">
        <v>0</v>
      </c>
      <c r="K260" s="93">
        <v>-1.6899999999999998E-2</v>
      </c>
      <c r="L260" s="83">
        <v>0.24112793356691711</v>
      </c>
      <c r="M260" s="88">
        <v>119396.5013939101</v>
      </c>
      <c r="N260" s="89">
        <v>0</v>
      </c>
      <c r="O260" s="95">
        <v>2.7699999999999999E-2</v>
      </c>
      <c r="P260" s="83">
        <v>0.22989210812935151</v>
      </c>
      <c r="Q260" s="92">
        <v>113832.9889975094</v>
      </c>
      <c r="R260" s="89">
        <v>0</v>
      </c>
      <c r="S260" s="90">
        <v>-0.11070000000000001</v>
      </c>
      <c r="T260" s="83">
        <v>0.1846463657907185</v>
      </c>
      <c r="U260" s="92">
        <v>91429.183439643966</v>
      </c>
      <c r="V260" s="89">
        <v>0</v>
      </c>
      <c r="W260" s="85">
        <f t="shared" si="6"/>
        <v>495158.31545404729</v>
      </c>
      <c r="X260" s="86">
        <f t="shared" si="7"/>
        <v>-3.276385758264988E-2</v>
      </c>
    </row>
    <row r="261" spans="2:24" x14ac:dyDescent="0.35">
      <c r="B261" s="97" t="s">
        <v>257</v>
      </c>
      <c r="C261" s="95">
        <v>7.0300000000000001E-2</v>
      </c>
      <c r="D261" s="83">
        <v>0.18015952744956121</v>
      </c>
      <c r="E261" s="88">
        <v>90324.547105877864</v>
      </c>
      <c r="F261" s="89">
        <v>0</v>
      </c>
      <c r="G261" s="93">
        <v>-2.7699999999999999E-2</v>
      </c>
      <c r="H261" s="83">
        <v>0.16699151841911211</v>
      </c>
      <c r="I261" s="88">
        <v>83722.651170652229</v>
      </c>
      <c r="J261" s="89">
        <v>0</v>
      </c>
      <c r="K261" s="93">
        <v>-7.4999999999999997E-3</v>
      </c>
      <c r="L261" s="83">
        <v>0.23635976957299901</v>
      </c>
      <c r="M261" s="88">
        <v>118501.0276334557</v>
      </c>
      <c r="N261" s="89">
        <v>0</v>
      </c>
      <c r="O261" s="95">
        <v>8.2000000000000007E-3</v>
      </c>
      <c r="P261" s="83">
        <v>0.22891079521577551</v>
      </c>
      <c r="Q261" s="92">
        <v>114766.4195072889</v>
      </c>
      <c r="R261" s="89">
        <v>0</v>
      </c>
      <c r="S261" s="95">
        <v>2.86E-2</v>
      </c>
      <c r="T261" s="83">
        <v>0.18757838934255219</v>
      </c>
      <c r="U261" s="92">
        <v>94044.058086017787</v>
      </c>
      <c r="V261" s="89">
        <v>0</v>
      </c>
      <c r="W261" s="85">
        <f t="shared" si="6"/>
        <v>501358.70350329246</v>
      </c>
      <c r="X261" s="86">
        <f t="shared" si="7"/>
        <v>1.2522031551786883E-2</v>
      </c>
    </row>
    <row r="262" spans="2:24" x14ac:dyDescent="0.35">
      <c r="B262" s="96" t="s">
        <v>258</v>
      </c>
      <c r="C262" s="95">
        <v>1.47E-2</v>
      </c>
      <c r="D262" s="83">
        <v>0.1845842050301528</v>
      </c>
      <c r="E262" s="88">
        <v>91652.317948334268</v>
      </c>
      <c r="F262" s="89">
        <v>0</v>
      </c>
      <c r="G262" s="93">
        <v>-1.12E-2</v>
      </c>
      <c r="H262" s="83">
        <v>0.16672568579292121</v>
      </c>
      <c r="I262" s="88">
        <v>82784.957477540927</v>
      </c>
      <c r="J262" s="89">
        <v>0</v>
      </c>
      <c r="K262" s="93">
        <v>-2.1000000000000001E-2</v>
      </c>
      <c r="L262" s="83">
        <v>0.23364467678218989</v>
      </c>
      <c r="M262" s="88">
        <v>116012.50605315321</v>
      </c>
      <c r="N262" s="89">
        <v>0</v>
      </c>
      <c r="O262" s="90">
        <v>-2.9000000000000001E-2</v>
      </c>
      <c r="P262" s="83">
        <v>0.22443218882414959</v>
      </c>
      <c r="Q262" s="92">
        <v>111438.1933415775</v>
      </c>
      <c r="R262" s="89">
        <v>0</v>
      </c>
      <c r="S262" s="95">
        <v>6.4000000000000003E-3</v>
      </c>
      <c r="T262" s="83">
        <v>0.19061324357058629</v>
      </c>
      <c r="U262" s="92">
        <v>94645.940057768297</v>
      </c>
      <c r="V262" s="89">
        <v>0</v>
      </c>
      <c r="W262" s="85">
        <f t="shared" si="6"/>
        <v>496533.9148783742</v>
      </c>
      <c r="X262" s="86">
        <f t="shared" si="7"/>
        <v>-9.6234264832835148E-3</v>
      </c>
    </row>
    <row r="263" spans="2:24" x14ac:dyDescent="0.35">
      <c r="B263" s="97" t="s">
        <v>259</v>
      </c>
      <c r="C263" s="95">
        <v>4.0099999999999997E-2</v>
      </c>
      <c r="D263" s="83">
        <v>0.17751421780574811</v>
      </c>
      <c r="E263" s="88">
        <v>90182.244978944145</v>
      </c>
      <c r="F263" s="100">
        <v>-5145.3309191183362</v>
      </c>
      <c r="G263" s="94">
        <v>2.7000000000000001E-3</v>
      </c>
      <c r="H263" s="83">
        <v>0.17882609577181419</v>
      </c>
      <c r="I263" s="88">
        <v>90848.716102106308</v>
      </c>
      <c r="J263" s="99">
        <v>7840.2392393760238</v>
      </c>
      <c r="K263" s="94">
        <v>8.8000000000000005E-3</v>
      </c>
      <c r="L263" s="83">
        <v>0.27591902680416858</v>
      </c>
      <c r="M263" s="88">
        <v>140174.67207519451</v>
      </c>
      <c r="N263" s="99">
        <v>23141.255968773548</v>
      </c>
      <c r="O263" s="95">
        <v>1.3899999999999999E-2</v>
      </c>
      <c r="P263" s="83">
        <v>0.19466400571665771</v>
      </c>
      <c r="Q263" s="92">
        <v>98894.822449279571</v>
      </c>
      <c r="R263" s="100">
        <v>-14092.361779745899</v>
      </c>
      <c r="S263" s="95">
        <v>5.3100000000000001E-2</v>
      </c>
      <c r="T263" s="83">
        <v>0.1730766539016115</v>
      </c>
      <c r="U263" s="92">
        <v>87927.836965550567</v>
      </c>
      <c r="V263" s="100">
        <v>-11743.80250928522</v>
      </c>
      <c r="W263" s="85">
        <f t="shared" si="6"/>
        <v>508028.29257107509</v>
      </c>
      <c r="X263" s="86">
        <f t="shared" si="7"/>
        <v>2.3149229787287506E-2</v>
      </c>
    </row>
    <row r="264" spans="2:24" x14ac:dyDescent="0.35">
      <c r="B264" s="96" t="s">
        <v>260</v>
      </c>
      <c r="C264" s="90">
        <v>-1.0200000000000001E-2</v>
      </c>
      <c r="D264" s="83">
        <v>0.17814463609932421</v>
      </c>
      <c r="E264" s="88">
        <v>89262.386080158918</v>
      </c>
      <c r="F264" s="89">
        <v>0</v>
      </c>
      <c r="G264" s="93">
        <v>-3.2199999999999999E-2</v>
      </c>
      <c r="H264" s="83">
        <v>0.17547234113479371</v>
      </c>
      <c r="I264" s="88">
        <v>87923.387443618485</v>
      </c>
      <c r="J264" s="89">
        <v>0</v>
      </c>
      <c r="K264" s="93">
        <v>-1.5900000000000001E-2</v>
      </c>
      <c r="L264" s="83">
        <v>0.2753043281472376</v>
      </c>
      <c r="M264" s="88">
        <v>137945.89478919891</v>
      </c>
      <c r="N264" s="89">
        <v>0</v>
      </c>
      <c r="O264" s="95">
        <v>1.77E-2</v>
      </c>
      <c r="P264" s="83">
        <v>0.20086191002577641</v>
      </c>
      <c r="Q264" s="92">
        <v>100645.26080663181</v>
      </c>
      <c r="R264" s="89">
        <v>0</v>
      </c>
      <c r="S264" s="90">
        <v>-0.03</v>
      </c>
      <c r="T264" s="83">
        <v>0.17021678459286821</v>
      </c>
      <c r="U264" s="92">
        <v>85290.001856584044</v>
      </c>
      <c r="V264" s="89">
        <v>0</v>
      </c>
      <c r="W264" s="85">
        <f t="shared" si="6"/>
        <v>501066.93097619218</v>
      </c>
      <c r="X264" s="86">
        <f t="shared" si="7"/>
        <v>-1.3702704547520872E-2</v>
      </c>
    </row>
    <row r="265" spans="2:24" x14ac:dyDescent="0.35">
      <c r="B265" s="97" t="s">
        <v>261</v>
      </c>
      <c r="C265" s="95">
        <v>1.7500000000000002E-2</v>
      </c>
      <c r="D265" s="83">
        <v>0.17764359209552849</v>
      </c>
      <c r="E265" s="88">
        <v>90824.477836561709</v>
      </c>
      <c r="F265" s="89">
        <v>0</v>
      </c>
      <c r="G265" s="94">
        <v>1.4200000000000001E-2</v>
      </c>
      <c r="H265" s="83">
        <v>0.17441131429037651</v>
      </c>
      <c r="I265" s="88">
        <v>89171.899545317865</v>
      </c>
      <c r="J265" s="89">
        <v>0</v>
      </c>
      <c r="K265" s="93">
        <v>-1.41E-2</v>
      </c>
      <c r="L265" s="83">
        <v>0.26600407137513388</v>
      </c>
      <c r="M265" s="88">
        <v>136000.85767267109</v>
      </c>
      <c r="N265" s="89">
        <v>0</v>
      </c>
      <c r="O265" s="95">
        <v>0.10009999999999999</v>
      </c>
      <c r="P265" s="83">
        <v>0.21655695237520589</v>
      </c>
      <c r="Q265" s="92">
        <v>110719.8514133757</v>
      </c>
      <c r="R265" s="89">
        <v>0</v>
      </c>
      <c r="S265" s="90">
        <v>-8.6E-3</v>
      </c>
      <c r="T265" s="83">
        <v>0.16538406986375509</v>
      </c>
      <c r="U265" s="92">
        <v>84556.507840617414</v>
      </c>
      <c r="V265" s="89">
        <v>0</v>
      </c>
      <c r="W265" s="85">
        <f t="shared" si="6"/>
        <v>511273.59430854383</v>
      </c>
      <c r="X265" s="86">
        <f t="shared" si="7"/>
        <v>2.036986019505771E-2</v>
      </c>
    </row>
    <row r="266" spans="2:24" x14ac:dyDescent="0.35">
      <c r="B266" s="96" t="s">
        <v>262</v>
      </c>
      <c r="C266" s="95">
        <v>3.4099999999999998E-2</v>
      </c>
      <c r="D266" s="83">
        <v>0.17868582798919599</v>
      </c>
      <c r="E266" s="88">
        <v>93921.592530788461</v>
      </c>
      <c r="F266" s="89">
        <v>0</v>
      </c>
      <c r="G266" s="94">
        <v>2.1600000000000001E-2</v>
      </c>
      <c r="H266" s="83">
        <v>0.1733139671783861</v>
      </c>
      <c r="I266" s="88">
        <v>91098.01257549673</v>
      </c>
      <c r="J266" s="89">
        <v>0</v>
      </c>
      <c r="K266" s="94">
        <v>1.52E-2</v>
      </c>
      <c r="L266" s="83">
        <v>0.26267450187744662</v>
      </c>
      <c r="M266" s="88">
        <v>138068.0707092958</v>
      </c>
      <c r="N266" s="89">
        <v>0</v>
      </c>
      <c r="O266" s="95">
        <v>4.9000000000000002E-2</v>
      </c>
      <c r="P266" s="83">
        <v>0.22096609643564041</v>
      </c>
      <c r="Q266" s="92">
        <v>116145.1241326311</v>
      </c>
      <c r="R266" s="89">
        <v>0</v>
      </c>
      <c r="S266" s="95">
        <v>2.1700000000000001E-2</v>
      </c>
      <c r="T266" s="83">
        <v>0.1643596065193309</v>
      </c>
      <c r="U266" s="92">
        <v>86391.384060758821</v>
      </c>
      <c r="V266" s="89">
        <v>0</v>
      </c>
      <c r="W266" s="85">
        <f t="shared" si="6"/>
        <v>525624.18400897097</v>
      </c>
      <c r="X266" s="86">
        <f t="shared" si="7"/>
        <v>2.8068317746460458E-2</v>
      </c>
    </row>
    <row r="267" spans="2:24" x14ac:dyDescent="0.35">
      <c r="B267" s="97" t="s">
        <v>263</v>
      </c>
      <c r="C267" s="90">
        <v>-3.5999999999999999E-3</v>
      </c>
      <c r="D267" s="83">
        <v>0.17641435287812901</v>
      </c>
      <c r="E267" s="88">
        <v>93583.474797677613</v>
      </c>
      <c r="F267" s="89">
        <v>0</v>
      </c>
      <c r="G267" s="93">
        <v>-5.7999999999999996E-3</v>
      </c>
      <c r="H267" s="83">
        <v>0.17073297597998441</v>
      </c>
      <c r="I267" s="88">
        <v>90569.644102558843</v>
      </c>
      <c r="J267" s="89">
        <v>0</v>
      </c>
      <c r="K267" s="94">
        <v>1.8E-3</v>
      </c>
      <c r="L267" s="83">
        <v>0.2607408235363245</v>
      </c>
      <c r="M267" s="88">
        <v>138316.59323657249</v>
      </c>
      <c r="N267" s="89">
        <v>0</v>
      </c>
      <c r="O267" s="95">
        <v>4.8800000000000003E-2</v>
      </c>
      <c r="P267" s="83">
        <v>0.22962988610607979</v>
      </c>
      <c r="Q267" s="92">
        <v>121813.00619030349</v>
      </c>
      <c r="R267" s="89">
        <v>0</v>
      </c>
      <c r="S267" s="90">
        <v>-2.3E-3</v>
      </c>
      <c r="T267" s="83">
        <v>0.1624819614994823</v>
      </c>
      <c r="U267" s="92">
        <v>86192.683877419084</v>
      </c>
      <c r="V267" s="89">
        <v>0</v>
      </c>
      <c r="W267" s="85">
        <f t="shared" si="6"/>
        <v>530475.40220453148</v>
      </c>
      <c r="X267" s="86">
        <f t="shared" si="7"/>
        <v>9.2294425240482258E-3</v>
      </c>
    </row>
    <row r="268" spans="2:24" x14ac:dyDescent="0.35">
      <c r="B268" s="96" t="s">
        <v>264</v>
      </c>
      <c r="C268" s="95">
        <v>2.1999999999999999E-2</v>
      </c>
      <c r="D268" s="83">
        <v>0.1772973038894689</v>
      </c>
      <c r="E268" s="88">
        <v>95642.311243226519</v>
      </c>
      <c r="F268" s="89">
        <v>0</v>
      </c>
      <c r="G268" s="93">
        <v>-1.2E-2</v>
      </c>
      <c r="H268" s="83">
        <v>0.1658791016530631</v>
      </c>
      <c r="I268" s="88">
        <v>89482.808373328138</v>
      </c>
      <c r="J268" s="89">
        <v>0</v>
      </c>
      <c r="K268" s="94">
        <v>8.5000000000000006E-3</v>
      </c>
      <c r="L268" s="83">
        <v>0.25858436077700231</v>
      </c>
      <c r="M268" s="88">
        <v>139492.2842790834</v>
      </c>
      <c r="N268" s="89">
        <v>0</v>
      </c>
      <c r="O268" s="95">
        <v>4.6600000000000003E-2</v>
      </c>
      <c r="P268" s="83">
        <v>0.2363341387451495</v>
      </c>
      <c r="Q268" s="92">
        <v>127489.49227877161</v>
      </c>
      <c r="R268" s="89">
        <v>0</v>
      </c>
      <c r="S268" s="95">
        <v>1.3299999999999999E-2</v>
      </c>
      <c r="T268" s="83">
        <v>0.16190509493531641</v>
      </c>
      <c r="U268" s="92">
        <v>87339.046572988766</v>
      </c>
      <c r="V268" s="89">
        <v>0</v>
      </c>
      <c r="W268" s="85">
        <f t="shared" si="6"/>
        <v>539445.9427473984</v>
      </c>
      <c r="X268" s="86">
        <f t="shared" si="7"/>
        <v>1.6910379832104194E-2</v>
      </c>
    </row>
    <row r="269" spans="2:24" x14ac:dyDescent="0.35">
      <c r="B269" s="97" t="s">
        <v>265</v>
      </c>
      <c r="C269" s="90">
        <v>-3.95E-2</v>
      </c>
      <c r="D269" s="83">
        <v>0.19453835754794441</v>
      </c>
      <c r="E269" s="88">
        <v>104446.0403865711</v>
      </c>
      <c r="F269" s="99">
        <v>12581.60043745206</v>
      </c>
      <c r="G269" s="93">
        <v>-5.28E-2</v>
      </c>
      <c r="H269" s="83">
        <v>0.18331026173068679</v>
      </c>
      <c r="I269" s="88">
        <v>98417.768307094215</v>
      </c>
      <c r="J269" s="99">
        <v>13659.652215877801</v>
      </c>
      <c r="K269" s="93">
        <v>-5.4600000000000003E-2</v>
      </c>
      <c r="L269" s="83">
        <v>0.27797042789346399</v>
      </c>
      <c r="M269" s="88">
        <v>149240.031138219</v>
      </c>
      <c r="N269" s="99">
        <v>17364.025580773541</v>
      </c>
      <c r="O269" s="95">
        <v>7.4200000000000002E-2</v>
      </c>
      <c r="P269" s="83">
        <v>0.18551247479922339</v>
      </c>
      <c r="Q269" s="92">
        <v>99600.118348471093</v>
      </c>
      <c r="R269" s="100">
        <v>-37349.094257385383</v>
      </c>
      <c r="S269" s="95">
        <v>4.7E-2</v>
      </c>
      <c r="T269" s="83">
        <v>0.1586684780286815</v>
      </c>
      <c r="U269" s="92">
        <v>85187.797785201139</v>
      </c>
      <c r="V269" s="100">
        <v>-6256.1839767180936</v>
      </c>
      <c r="W269" s="85">
        <f t="shared" si="6"/>
        <v>536891.75596555648</v>
      </c>
      <c r="X269" s="86">
        <f t="shared" si="7"/>
        <v>-4.7348336124902746E-3</v>
      </c>
    </row>
    <row r="270" spans="2:24" x14ac:dyDescent="0.35">
      <c r="B270" s="96" t="s">
        <v>266</v>
      </c>
      <c r="C270" s="90">
        <v>-1.8800000000000001E-2</v>
      </c>
      <c r="D270" s="83">
        <v>0.18731024536331939</v>
      </c>
      <c r="E270" s="88">
        <v>102482.45482730361</v>
      </c>
      <c r="F270" s="89">
        <v>0</v>
      </c>
      <c r="G270" s="94">
        <v>3.1699999999999999E-2</v>
      </c>
      <c r="H270" s="83">
        <v>0.18558332709158451</v>
      </c>
      <c r="I270" s="88">
        <v>101537.6115624291</v>
      </c>
      <c r="J270" s="89">
        <v>0</v>
      </c>
      <c r="K270" s="94">
        <v>1.0999999999999999E-2</v>
      </c>
      <c r="L270" s="83">
        <v>0.2757709400453931</v>
      </c>
      <c r="M270" s="88">
        <v>150881.6714807394</v>
      </c>
      <c r="N270" s="89">
        <v>0</v>
      </c>
      <c r="O270" s="95">
        <v>6.7400000000000002E-2</v>
      </c>
      <c r="P270" s="83">
        <v>0.19431175124828609</v>
      </c>
      <c r="Q270" s="92">
        <v>106313.166325158</v>
      </c>
      <c r="R270" s="89">
        <v>0</v>
      </c>
      <c r="S270" s="95">
        <v>8.5000000000000006E-3</v>
      </c>
      <c r="T270" s="83">
        <v>0.15702373625141691</v>
      </c>
      <c r="U270" s="92">
        <v>85911.894066375346</v>
      </c>
      <c r="V270" s="89">
        <v>0</v>
      </c>
      <c r="W270" s="85">
        <f>Q270+M270+I270+E270+U270</f>
        <v>547126.79826200544</v>
      </c>
      <c r="X270" s="86">
        <f t="shared" si="7"/>
        <v>1.9063511746501005E-2</v>
      </c>
    </row>
    <row r="271" spans="2:24" x14ac:dyDescent="0.35">
      <c r="B271" s="97" t="s">
        <v>267</v>
      </c>
      <c r="C271" s="90">
        <v>-2.9700000000000001E-2</v>
      </c>
      <c r="D271" s="83">
        <v>0.1794609505338666</v>
      </c>
      <c r="E271" s="88">
        <v>99438.725918932672</v>
      </c>
      <c r="F271" s="89">
        <v>0</v>
      </c>
      <c r="G271" s="93">
        <v>-2.41E-2</v>
      </c>
      <c r="H271" s="83">
        <v>0.1788325931080269</v>
      </c>
      <c r="I271" s="88">
        <v>99090.555123774568</v>
      </c>
      <c r="J271" s="89">
        <v>0</v>
      </c>
      <c r="K271" s="93">
        <v>-4.1999999999999997E-3</v>
      </c>
      <c r="L271" s="83">
        <v>0.271158374029143</v>
      </c>
      <c r="M271" s="88">
        <v>150247.96846052029</v>
      </c>
      <c r="N271" s="89">
        <v>0</v>
      </c>
      <c r="O271" s="90">
        <v>-9.5100000000000004E-2</v>
      </c>
      <c r="P271" s="83">
        <v>0.17362092020347991</v>
      </c>
      <c r="Q271" s="92">
        <v>96202.784207635501</v>
      </c>
      <c r="R271" s="89">
        <v>0</v>
      </c>
      <c r="S271" s="95">
        <v>0.27010000000000001</v>
      </c>
      <c r="T271" s="83">
        <v>0.19692716212548361</v>
      </c>
      <c r="U271" s="92">
        <v>109116.6966537033</v>
      </c>
      <c r="V271" s="89">
        <v>0</v>
      </c>
      <c r="W271" s="85">
        <f>Q271+M271+I271+E271+U271</f>
        <v>554096.73036456644</v>
      </c>
      <c r="X271" s="86">
        <f t="shared" si="7"/>
        <v>1.2739153199407438E-2</v>
      </c>
    </row>
    <row r="272" spans="2:24" x14ac:dyDescent="0.35">
      <c r="B272" s="96" t="s">
        <v>268</v>
      </c>
      <c r="C272" s="95">
        <v>0.05</v>
      </c>
      <c r="D272" s="83">
        <v>0.19310195592352281</v>
      </c>
      <c r="E272" s="88">
        <v>104410.6622148793</v>
      </c>
      <c r="F272" s="89">
        <v>0</v>
      </c>
      <c r="G272" s="93">
        <v>-6.08E-2</v>
      </c>
      <c r="H272" s="83">
        <v>0.17212032911428299</v>
      </c>
      <c r="I272" s="88">
        <v>93065.849372249082</v>
      </c>
      <c r="J272" s="89">
        <v>0</v>
      </c>
      <c r="K272" s="93">
        <v>-5.3699999999999998E-2</v>
      </c>
      <c r="L272" s="83">
        <v>0.26295369091939808</v>
      </c>
      <c r="M272" s="88">
        <v>142179.65255419031</v>
      </c>
      <c r="N272" s="89">
        <v>0</v>
      </c>
      <c r="O272" s="90">
        <v>-6.0299999999999999E-2</v>
      </c>
      <c r="P272" s="83">
        <v>0.16719323097837391</v>
      </c>
      <c r="Q272" s="92">
        <v>90401.756319915075</v>
      </c>
      <c r="R272" s="89">
        <v>0</v>
      </c>
      <c r="S272" s="95">
        <v>1.4E-2</v>
      </c>
      <c r="T272" s="83">
        <v>0.20463079306442211</v>
      </c>
      <c r="U272" s="92">
        <v>110644.3304068552</v>
      </c>
      <c r="V272" s="89">
        <v>0</v>
      </c>
      <c r="W272" s="85">
        <f>Q272+M272+I272+E272+U272</f>
        <v>540702.25086808892</v>
      </c>
      <c r="X272" s="86">
        <f t="shared" si="7"/>
        <v>-2.4173540038152974E-2</v>
      </c>
    </row>
    <row r="273" spans="2:24" x14ac:dyDescent="0.35">
      <c r="B273" s="97" t="s">
        <v>269</v>
      </c>
      <c r="C273" s="95">
        <v>6.1699999999999998E-2</v>
      </c>
      <c r="D273" s="83">
        <v>0.2048670151041157</v>
      </c>
      <c r="E273" s="88">
        <v>110852.80007353739</v>
      </c>
      <c r="F273" s="89">
        <v>0</v>
      </c>
      <c r="G273" s="94">
        <v>1.14E-2</v>
      </c>
      <c r="H273" s="83">
        <v>0.1739557012163564</v>
      </c>
      <c r="I273" s="88">
        <v>94126.800055092725</v>
      </c>
      <c r="J273" s="89">
        <v>0</v>
      </c>
      <c r="K273" s="94">
        <v>6.3E-3</v>
      </c>
      <c r="L273" s="83">
        <v>0.26441756013690909</v>
      </c>
      <c r="M273" s="88">
        <v>143075.3843652817</v>
      </c>
      <c r="N273" s="89">
        <v>0</v>
      </c>
      <c r="O273" s="90">
        <v>-7.4000000000000003E-3</v>
      </c>
      <c r="P273" s="83">
        <v>0.1658351206663482</v>
      </c>
      <c r="Q273" s="92">
        <v>89732.783323147713</v>
      </c>
      <c r="R273" s="89">
        <v>0</v>
      </c>
      <c r="S273" s="90">
        <v>-6.6299999999999998E-2</v>
      </c>
      <c r="T273" s="83">
        <v>0.19092460287627061</v>
      </c>
      <c r="U273" s="92">
        <v>103308.6113008807</v>
      </c>
      <c r="V273" s="89">
        <v>0</v>
      </c>
      <c r="W273" s="85">
        <f>Q273+M273+I273+E273+U273</f>
        <v>541096.3791179402</v>
      </c>
      <c r="X273" s="86">
        <f t="shared" si="7"/>
        <v>7.2891919576534292E-4</v>
      </c>
    </row>
  </sheetData>
  <mergeCells count="19">
    <mergeCell ref="O26:R26"/>
    <mergeCell ref="W26:W27"/>
    <mergeCell ref="X26:X27"/>
    <mergeCell ref="S26:V26"/>
    <mergeCell ref="B19:L19"/>
    <mergeCell ref="B20:L20"/>
    <mergeCell ref="B21:L21"/>
    <mergeCell ref="B22:L22"/>
    <mergeCell ref="B23:L23"/>
    <mergeCell ref="B26:B27"/>
    <mergeCell ref="C26:F26"/>
    <mergeCell ref="G26:J26"/>
    <mergeCell ref="K26:N26"/>
    <mergeCell ref="B18:L18"/>
    <mergeCell ref="C2:L2"/>
    <mergeCell ref="B4:L4"/>
    <mergeCell ref="B15:L15"/>
    <mergeCell ref="B16:L16"/>
    <mergeCell ref="B17:L17"/>
  </mergeCells>
  <conditionalFormatting sqref="X28:X273">
    <cfRule type="colorScale" priority="1">
      <colorScale>
        <cfvo type="num" val="0"/>
        <cfvo type="num" val="0"/>
        <color rgb="FFFF0000"/>
        <color theme="9"/>
      </colorScale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Classificação da informação: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299D-E9DC-4CC4-9EAC-1E725E13D118}">
  <dimension ref="A1:AU385"/>
  <sheetViews>
    <sheetView topLeftCell="A254" zoomScale="80" zoomScaleNormal="80" workbookViewId="0">
      <selection activeCell="T279" sqref="T279"/>
    </sheetView>
  </sheetViews>
  <sheetFormatPr defaultRowHeight="14.5" x14ac:dyDescent="0.35"/>
  <cols>
    <col min="2" max="2" width="17.453125" bestFit="1" customWidth="1"/>
    <col min="3" max="3" width="14.6328125" bestFit="1" customWidth="1"/>
    <col min="5" max="5" width="14.6328125" bestFit="1" customWidth="1"/>
    <col min="6" max="6" width="15.6328125" bestFit="1" customWidth="1"/>
    <col min="7" max="7" width="12.36328125" bestFit="1" customWidth="1"/>
    <col min="9" max="10" width="14.26953125" bestFit="1" customWidth="1"/>
    <col min="11" max="11" width="14.453125" bestFit="1" customWidth="1"/>
    <col min="13" max="13" width="14.26953125" bestFit="1" customWidth="1"/>
    <col min="14" max="15" width="14.6328125" bestFit="1" customWidth="1"/>
    <col min="17" max="17" width="14.6328125" bestFit="1" customWidth="1"/>
    <col min="18" max="18" width="14.26953125" bestFit="1" customWidth="1"/>
    <col min="19" max="19" width="12.36328125" bestFit="1" customWidth="1"/>
    <col min="21" max="22" width="14.26953125" bestFit="1" customWidth="1"/>
    <col min="23" max="23" width="12.36328125" bestFit="1" customWidth="1"/>
    <col min="25" max="26" width="14.26953125" bestFit="1" customWidth="1"/>
    <col min="27" max="27" width="12.36328125" bestFit="1" customWidth="1"/>
    <col min="29" max="30" width="14.26953125" bestFit="1" customWidth="1"/>
    <col min="31" max="31" width="15.90625" bestFit="1" customWidth="1"/>
    <col min="32" max="32" width="12.36328125" bestFit="1" customWidth="1"/>
    <col min="39" max="47" width="8.7265625" style="75"/>
  </cols>
  <sheetData>
    <row r="1" spans="1:38" ht="42" customHeight="1" x14ac:dyDescent="0.35">
      <c r="A1" s="1"/>
      <c r="B1" s="115" t="s">
        <v>304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8" customHeight="1" x14ac:dyDescent="0.35">
      <c r="A2" s="1"/>
      <c r="B2" s="51" t="s">
        <v>305</v>
      </c>
      <c r="C2" s="142" t="s">
        <v>306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4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40" customHeight="1" x14ac:dyDescent="0.35">
      <c r="A4" s="1"/>
      <c r="B4" s="117" t="s">
        <v>307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0" customHeight="1" x14ac:dyDescent="0.35">
      <c r="A6" s="1"/>
      <c r="B6" s="52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8" customHeight="1" x14ac:dyDescent="0.35">
      <c r="A7" s="1"/>
      <c r="B7" s="53" t="s">
        <v>3</v>
      </c>
      <c r="C7" s="53" t="s">
        <v>4</v>
      </c>
      <c r="D7" s="53" t="s">
        <v>5</v>
      </c>
      <c r="E7" s="53" t="s">
        <v>6</v>
      </c>
      <c r="F7" s="53" t="s">
        <v>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6" customHeight="1" x14ac:dyDescent="0.35">
      <c r="A8" s="1"/>
      <c r="B8" s="54" t="s">
        <v>270</v>
      </c>
      <c r="C8" s="55">
        <v>0.25</v>
      </c>
      <c r="D8" s="56">
        <v>0</v>
      </c>
      <c r="E8" s="56">
        <v>0.45</v>
      </c>
      <c r="F8" s="57" t="s">
        <v>308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16" customHeight="1" x14ac:dyDescent="0.35">
      <c r="A9" s="1"/>
      <c r="B9" s="54" t="s">
        <v>309</v>
      </c>
      <c r="C9" s="55">
        <v>0.2</v>
      </c>
      <c r="D9" s="56">
        <v>0</v>
      </c>
      <c r="E9" s="56">
        <v>0.4</v>
      </c>
      <c r="F9" s="57" t="s">
        <v>310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6" customHeight="1" x14ac:dyDescent="0.35">
      <c r="A10" s="1"/>
      <c r="B10" s="54" t="s">
        <v>311</v>
      </c>
      <c r="C10" s="55">
        <v>0.2</v>
      </c>
      <c r="D10" s="56">
        <v>0</v>
      </c>
      <c r="E10" s="56">
        <v>0.4</v>
      </c>
      <c r="F10" s="57" t="s">
        <v>312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6" customHeight="1" x14ac:dyDescent="0.35">
      <c r="A11" s="1"/>
      <c r="B11" s="54" t="s">
        <v>313</v>
      </c>
      <c r="C11" s="55">
        <v>0.15</v>
      </c>
      <c r="D11" s="56">
        <v>0.05</v>
      </c>
      <c r="E11" s="56">
        <v>0.35</v>
      </c>
      <c r="F11" s="57" t="s">
        <v>11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6" customHeight="1" x14ac:dyDescent="0.35">
      <c r="A12" s="1"/>
      <c r="B12" s="54" t="s">
        <v>314</v>
      </c>
      <c r="C12" s="55">
        <v>0.1</v>
      </c>
      <c r="D12" s="56">
        <v>0</v>
      </c>
      <c r="E12" s="56">
        <v>0.3</v>
      </c>
      <c r="F12" s="57" t="s">
        <v>315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6" customHeight="1" x14ac:dyDescent="0.35">
      <c r="A13" s="1"/>
      <c r="B13" s="54" t="s">
        <v>316</v>
      </c>
      <c r="C13" s="55">
        <v>0.1</v>
      </c>
      <c r="D13" s="56">
        <v>0</v>
      </c>
      <c r="E13" s="56">
        <v>0.3</v>
      </c>
      <c r="F13" s="57" t="s">
        <v>287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20" customHeight="1" x14ac:dyDescent="0.35">
      <c r="A16" s="1"/>
      <c r="B16" s="122" t="s">
        <v>16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7" customHeight="1" x14ac:dyDescent="0.35">
      <c r="A17" s="1"/>
      <c r="B17" s="113" t="s">
        <v>317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7" customHeight="1" x14ac:dyDescent="0.35">
      <c r="A18" s="1"/>
      <c r="B18" s="113" t="s">
        <v>318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7" customHeight="1" x14ac:dyDescent="0.35">
      <c r="A19" s="1"/>
      <c r="B19" s="113" t="s">
        <v>319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7" customHeight="1" x14ac:dyDescent="0.35">
      <c r="A20" s="1"/>
      <c r="B20" s="113" t="s">
        <v>320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7" customHeight="1" x14ac:dyDescent="0.35">
      <c r="A21" s="1"/>
      <c r="B21" s="113" t="s">
        <v>321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7" customHeight="1" x14ac:dyDescent="0.35">
      <c r="A22" s="1"/>
      <c r="B22" s="113" t="s">
        <v>322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7" customHeight="1" x14ac:dyDescent="0.35">
      <c r="A23" s="1"/>
      <c r="B23" s="113" t="s">
        <v>323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7" customHeight="1" x14ac:dyDescent="0.35">
      <c r="A24" s="1"/>
      <c r="B24" s="113" t="s">
        <v>324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7" customHeight="1" x14ac:dyDescent="0.35">
      <c r="A26" s="1"/>
      <c r="B26" s="122" t="s">
        <v>325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44" customHeight="1" x14ac:dyDescent="0.35">
      <c r="A27" s="1"/>
      <c r="B27" s="113" t="s">
        <v>326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5">
      <c r="A30" s="1"/>
      <c r="B30" s="123" t="s">
        <v>24</v>
      </c>
      <c r="C30" s="119" t="s">
        <v>270</v>
      </c>
      <c r="D30" s="119"/>
      <c r="E30" s="119"/>
      <c r="F30" s="119"/>
      <c r="G30" s="119" t="s">
        <v>327</v>
      </c>
      <c r="H30" s="119"/>
      <c r="I30" s="119"/>
      <c r="J30" s="119"/>
      <c r="K30" s="119" t="s">
        <v>328</v>
      </c>
      <c r="L30" s="119"/>
      <c r="M30" s="119"/>
      <c r="N30" s="119"/>
      <c r="O30" s="119" t="s">
        <v>271</v>
      </c>
      <c r="P30" s="119"/>
      <c r="Q30" s="119"/>
      <c r="R30" s="119"/>
      <c r="S30" s="119" t="s">
        <v>329</v>
      </c>
      <c r="T30" s="119"/>
      <c r="U30" s="119"/>
      <c r="V30" s="119"/>
      <c r="W30" s="119" t="s">
        <v>301</v>
      </c>
      <c r="X30" s="119"/>
      <c r="Y30" s="119"/>
      <c r="Z30" s="119"/>
      <c r="AA30" s="119" t="s">
        <v>281</v>
      </c>
      <c r="AB30" s="119"/>
      <c r="AC30" s="119"/>
      <c r="AD30" s="119"/>
      <c r="AE30" s="120" t="s">
        <v>272</v>
      </c>
      <c r="AF30" s="121" t="s">
        <v>273</v>
      </c>
      <c r="AG30" s="1"/>
      <c r="AH30" s="1"/>
      <c r="AI30" s="1"/>
      <c r="AJ30" s="1"/>
      <c r="AK30" s="1"/>
      <c r="AL30" s="1"/>
    </row>
    <row r="31" spans="1:38" x14ac:dyDescent="0.35">
      <c r="A31" s="1"/>
      <c r="B31" s="123"/>
      <c r="C31" s="13" t="s">
        <v>273</v>
      </c>
      <c r="D31" s="39" t="s">
        <v>274</v>
      </c>
      <c r="E31" s="30" t="s">
        <v>275</v>
      </c>
      <c r="F31" s="46" t="s">
        <v>276</v>
      </c>
      <c r="G31" s="14" t="s">
        <v>273</v>
      </c>
      <c r="H31" s="39" t="s">
        <v>274</v>
      </c>
      <c r="I31" s="30" t="s">
        <v>275</v>
      </c>
      <c r="J31" s="46" t="s">
        <v>276</v>
      </c>
      <c r="K31" s="14" t="s">
        <v>273</v>
      </c>
      <c r="L31" s="42" t="s">
        <v>274</v>
      </c>
      <c r="M31" s="30" t="s">
        <v>275</v>
      </c>
      <c r="N31" s="46" t="s">
        <v>276</v>
      </c>
      <c r="O31" s="14" t="s">
        <v>273</v>
      </c>
      <c r="P31" s="39" t="s">
        <v>274</v>
      </c>
      <c r="Q31" s="30" t="s">
        <v>275</v>
      </c>
      <c r="R31" s="46" t="s">
        <v>276</v>
      </c>
      <c r="S31" s="14" t="s">
        <v>273</v>
      </c>
      <c r="T31" s="39" t="s">
        <v>274</v>
      </c>
      <c r="U31" s="30" t="s">
        <v>275</v>
      </c>
      <c r="V31" s="46" t="s">
        <v>276</v>
      </c>
      <c r="W31" s="14" t="s">
        <v>273</v>
      </c>
      <c r="X31" s="39" t="s">
        <v>274</v>
      </c>
      <c r="Y31" s="30" t="s">
        <v>275</v>
      </c>
      <c r="Z31" s="46" t="s">
        <v>276</v>
      </c>
      <c r="AA31" s="14" t="s">
        <v>273</v>
      </c>
      <c r="AB31" s="39" t="s">
        <v>274</v>
      </c>
      <c r="AC31" s="30" t="s">
        <v>275</v>
      </c>
      <c r="AD31" s="46" t="s">
        <v>276</v>
      </c>
      <c r="AE31" s="120"/>
      <c r="AF31" s="121"/>
      <c r="AG31" s="1"/>
      <c r="AH31" s="1"/>
      <c r="AI31" s="1"/>
      <c r="AJ31" s="1"/>
      <c r="AK31" s="1"/>
      <c r="AL31" s="1"/>
    </row>
    <row r="32" spans="1:38" x14ac:dyDescent="0.35">
      <c r="A32" s="1"/>
      <c r="B32" s="28" t="s">
        <v>280</v>
      </c>
      <c r="C32" s="35" t="s">
        <v>277</v>
      </c>
      <c r="D32" s="38">
        <f t="shared" ref="D32:D95" si="0">E32/AE32</f>
        <v>0.18</v>
      </c>
      <c r="E32" s="36">
        <v>18000</v>
      </c>
      <c r="F32" s="36">
        <v>0</v>
      </c>
      <c r="G32" s="35" t="s">
        <v>277</v>
      </c>
      <c r="H32" s="38">
        <f t="shared" ref="H32:H95" si="1">I32/AE32</f>
        <v>0.37</v>
      </c>
      <c r="I32" s="36">
        <v>37000</v>
      </c>
      <c r="J32" s="36">
        <v>0</v>
      </c>
      <c r="K32" s="35" t="s">
        <v>277</v>
      </c>
      <c r="L32" s="38">
        <f t="shared" ref="L32:L95" si="2">M32/AE32</f>
        <v>0.1</v>
      </c>
      <c r="M32" s="36">
        <v>10000</v>
      </c>
      <c r="N32" s="36">
        <v>0</v>
      </c>
      <c r="O32" s="35" t="s">
        <v>277</v>
      </c>
      <c r="P32" s="38">
        <f t="shared" ref="P32:P95" si="3">Q32/AE32</f>
        <v>0.25</v>
      </c>
      <c r="Q32" s="36">
        <v>25000</v>
      </c>
      <c r="R32" s="36">
        <v>0</v>
      </c>
      <c r="S32" s="35" t="s">
        <v>277</v>
      </c>
      <c r="T32" s="38">
        <f t="shared" ref="T32:T95" si="4">U32/AE32</f>
        <v>7.0000000000000007E-2</v>
      </c>
      <c r="U32" s="36">
        <v>7000</v>
      </c>
      <c r="V32" s="36">
        <v>0</v>
      </c>
      <c r="W32" s="35" t="s">
        <v>277</v>
      </c>
      <c r="X32" s="38">
        <f t="shared" ref="X32:X95" si="5">Y32/AE32</f>
        <v>0.03</v>
      </c>
      <c r="Y32" s="36">
        <v>3000</v>
      </c>
      <c r="Z32" s="36">
        <v>0</v>
      </c>
      <c r="AA32" s="35" t="s">
        <v>277</v>
      </c>
      <c r="AB32" s="38">
        <f>AC32/AE32</f>
        <v>0</v>
      </c>
      <c r="AC32" s="36">
        <v>0</v>
      </c>
      <c r="AD32" s="36">
        <v>0</v>
      </c>
      <c r="AE32" s="37">
        <f>Q32+M32+I32+E32+U32+Y32+AC32</f>
        <v>100000</v>
      </c>
      <c r="AF32" s="40">
        <v>0</v>
      </c>
      <c r="AG32" s="1"/>
      <c r="AH32" s="1"/>
      <c r="AI32" s="1"/>
      <c r="AJ32" s="1"/>
      <c r="AK32" s="1"/>
      <c r="AL32" s="1"/>
    </row>
    <row r="33" spans="1:38" x14ac:dyDescent="0.35">
      <c r="A33" s="1"/>
      <c r="B33" s="9" t="s">
        <v>25</v>
      </c>
      <c r="C33" s="15">
        <v>-2.2499999999999999E-2</v>
      </c>
      <c r="D33" s="38">
        <f t="shared" si="0"/>
        <v>0.1683330957503906</v>
      </c>
      <c r="E33" s="32">
        <f>((E32+F33)*C33)+E32+F33</f>
        <v>17595</v>
      </c>
      <c r="F33" s="47">
        <v>0</v>
      </c>
      <c r="G33" s="19">
        <v>8.8599999999999998E-2</v>
      </c>
      <c r="H33" s="38">
        <f t="shared" si="1"/>
        <v>0.38534550140684182</v>
      </c>
      <c r="I33" s="32">
        <f>((I32+J33)*G33)+I32+J33</f>
        <v>40278.199999999997</v>
      </c>
      <c r="J33" s="47">
        <v>0</v>
      </c>
      <c r="K33" s="19">
        <v>3.3700000000000001E-2</v>
      </c>
      <c r="L33" s="38">
        <f t="shared" si="2"/>
        <v>9.8895095809706596E-2</v>
      </c>
      <c r="M33" s="32">
        <f>((M32+N33)*K33)+M32+N33</f>
        <v>10337</v>
      </c>
      <c r="N33" s="47">
        <v>0</v>
      </c>
      <c r="O33" s="20">
        <v>5.2699999999999997E-2</v>
      </c>
      <c r="P33" s="38">
        <f t="shared" si="3"/>
        <v>0.25178211124813321</v>
      </c>
      <c r="Q33" s="31">
        <f>((Q32+R33)*O33)+Q32+R33</f>
        <v>26317.5</v>
      </c>
      <c r="R33" s="47">
        <v>0</v>
      </c>
      <c r="S33" s="19">
        <v>2.5100000000000001E-2</v>
      </c>
      <c r="T33" s="38">
        <f t="shared" si="4"/>
        <v>6.8650627745159287E-2</v>
      </c>
      <c r="U33" s="31">
        <f>((U32+V33)*S33)+U32+V33</f>
        <v>7175.7</v>
      </c>
      <c r="V33" s="47">
        <v>0</v>
      </c>
      <c r="W33" s="21">
        <v>-5.9499999999999997E-2</v>
      </c>
      <c r="X33" s="38">
        <f t="shared" si="5"/>
        <v>2.6993568039768517E-2</v>
      </c>
      <c r="Y33" s="31">
        <f>((Y32+Z33)*W33)+Y32+Z33</f>
        <v>2821.5</v>
      </c>
      <c r="Z33" s="47">
        <v>0</v>
      </c>
      <c r="AA33" s="21">
        <v>-4.9700000000000001E-2</v>
      </c>
      <c r="AB33" s="38">
        <f t="shared" ref="AB33:AB96" si="6">AC33/AE33</f>
        <v>0</v>
      </c>
      <c r="AC33" s="31">
        <f>((AC32+AD33)*AA33)+AC32+AD33</f>
        <v>0</v>
      </c>
      <c r="AD33" s="47">
        <v>0</v>
      </c>
      <c r="AE33" s="37">
        <f t="shared" ref="AE33:AE96" si="7">Q33+M33+I33+E33+U33+Y33+AC33</f>
        <v>104524.9</v>
      </c>
      <c r="AF33" s="40">
        <f>AE33/AE32-1</f>
        <v>4.5248999999999873E-2</v>
      </c>
      <c r="AG33" s="1"/>
      <c r="AH33" s="1"/>
      <c r="AI33" s="1"/>
      <c r="AJ33" s="1"/>
      <c r="AK33" s="1"/>
      <c r="AL33" s="1"/>
    </row>
    <row r="34" spans="1:38" x14ac:dyDescent="0.35">
      <c r="A34" s="1"/>
      <c r="B34" s="10" t="s">
        <v>26</v>
      </c>
      <c r="C34" s="15">
        <v>-3.5099999999999999E-2</v>
      </c>
      <c r="D34" s="38">
        <f t="shared" si="0"/>
        <v>0.17114352118924558</v>
      </c>
      <c r="E34" s="32">
        <f>((E33+F34)*C34)+E33+F34</f>
        <v>16977.415499999999</v>
      </c>
      <c r="F34" s="47">
        <v>0</v>
      </c>
      <c r="G34" s="17">
        <v>-7.2599999999999998E-2</v>
      </c>
      <c r="H34" s="38">
        <f t="shared" si="1"/>
        <v>0.37655292993021916</v>
      </c>
      <c r="I34" s="32">
        <f t="shared" ref="I34:I97" si="8">((I33+J34)*G34)+I33+J34</f>
        <v>37354.002679999998</v>
      </c>
      <c r="J34" s="47">
        <v>0</v>
      </c>
      <c r="K34" s="17">
        <v>-3.2399999999999998E-2</v>
      </c>
      <c r="L34" s="38">
        <f t="shared" si="2"/>
        <v>0.10082756093168334</v>
      </c>
      <c r="M34" s="32">
        <f t="shared" ref="M34:M97" si="9">((M33+N34)*K34)+M33+N34</f>
        <v>10002.081200000001</v>
      </c>
      <c r="N34" s="47">
        <v>0</v>
      </c>
      <c r="O34" s="15">
        <v>-4.7199999999999999E-2</v>
      </c>
      <c r="P34" s="38">
        <f t="shared" si="3"/>
        <v>0.25277566734972035</v>
      </c>
      <c r="Q34" s="31">
        <f t="shared" ref="Q34:Q97" si="10">((Q33+R34)*O34)+Q33+R34</f>
        <v>25075.313999999998</v>
      </c>
      <c r="R34" s="47">
        <v>0</v>
      </c>
      <c r="S34" s="17">
        <v>-1.7600000000000001E-2</v>
      </c>
      <c r="T34" s="38">
        <f t="shared" si="4"/>
        <v>7.1062668676142762E-2</v>
      </c>
      <c r="U34" s="31">
        <f t="shared" ref="U34:U97" si="11">((U33+V34)*S34)+U33+V34</f>
        <v>7049.4076800000003</v>
      </c>
      <c r="V34" s="47">
        <v>0</v>
      </c>
      <c r="W34" s="15">
        <v>-2.8299999999999999E-2</v>
      </c>
      <c r="X34" s="38">
        <f t="shared" si="5"/>
        <v>2.7637651922988692E-2</v>
      </c>
      <c r="Y34" s="31">
        <f t="shared" ref="Y34:Y97" si="12">((Y33+Z34)*W34)+Y33+Z34</f>
        <v>2741.65155</v>
      </c>
      <c r="Z34" s="47">
        <v>0</v>
      </c>
      <c r="AA34" s="15">
        <v>-3.2599999999999997E-2</v>
      </c>
      <c r="AB34" s="38">
        <f t="shared" si="6"/>
        <v>0</v>
      </c>
      <c r="AC34" s="31">
        <f t="shared" ref="AC34:AC97" si="13">((AC33+AD34)*AA34)+AC33+AD34</f>
        <v>0</v>
      </c>
      <c r="AD34" s="47">
        <v>0</v>
      </c>
      <c r="AE34" s="37">
        <f t="shared" si="7"/>
        <v>99199.872610000006</v>
      </c>
      <c r="AF34" s="40">
        <f t="shared" ref="AF34:AF97" si="14">AE34/AE33-1</f>
        <v>-5.0945060841961931E-2</v>
      </c>
      <c r="AG34" s="1"/>
      <c r="AH34" s="1"/>
      <c r="AI34" s="1"/>
      <c r="AJ34" s="1"/>
      <c r="AK34" s="1"/>
      <c r="AL34" s="1"/>
    </row>
    <row r="35" spans="1:38" x14ac:dyDescent="0.35">
      <c r="A35" s="1"/>
      <c r="B35" s="11" t="s">
        <v>27</v>
      </c>
      <c r="C35" s="20">
        <v>3.4500000000000003E-2</v>
      </c>
      <c r="D35" s="38">
        <f t="shared" si="0"/>
        <v>0.16863807010938664</v>
      </c>
      <c r="E35" s="32">
        <f t="shared" ref="E35:E98" si="15">((E34+F35)*C35)+E34+F35</f>
        <v>17563.136334750001</v>
      </c>
      <c r="F35" s="47">
        <v>0</v>
      </c>
      <c r="G35" s="19">
        <v>4.5400000000000003E-2</v>
      </c>
      <c r="H35" s="38">
        <f t="shared" si="1"/>
        <v>0.37494985699578032</v>
      </c>
      <c r="I35" s="32">
        <f t="shared" si="8"/>
        <v>39049.874401672001</v>
      </c>
      <c r="J35" s="47">
        <v>0</v>
      </c>
      <c r="K35" s="19">
        <v>7.0999999999999994E-2</v>
      </c>
      <c r="L35" s="38">
        <f t="shared" si="2"/>
        <v>0.1028568921193718</v>
      </c>
      <c r="M35" s="32">
        <f t="shared" si="9"/>
        <v>10712.2289652</v>
      </c>
      <c r="N35" s="47">
        <v>0</v>
      </c>
      <c r="O35" s="20">
        <v>6.2600000000000003E-2</v>
      </c>
      <c r="P35" s="38">
        <f t="shared" si="3"/>
        <v>0.25584076357331076</v>
      </c>
      <c r="Q35" s="31">
        <f t="shared" si="10"/>
        <v>26645.028656399998</v>
      </c>
      <c r="R35" s="47">
        <v>0</v>
      </c>
      <c r="S35" s="19">
        <v>6.5199999999999994E-2</v>
      </c>
      <c r="T35" s="38">
        <f t="shared" si="4"/>
        <v>7.210034387151755E-2</v>
      </c>
      <c r="U35" s="31">
        <f t="shared" si="11"/>
        <v>7509.0290607360002</v>
      </c>
      <c r="V35" s="47">
        <v>0</v>
      </c>
      <c r="W35" s="24">
        <v>-2.7E-2</v>
      </c>
      <c r="X35" s="38">
        <f t="shared" si="5"/>
        <v>2.5614073330632894E-2</v>
      </c>
      <c r="Y35" s="31">
        <f t="shared" si="12"/>
        <v>2667.6269581500001</v>
      </c>
      <c r="Z35" s="47">
        <v>0</v>
      </c>
      <c r="AA35" s="26">
        <v>2.1100000000000001E-2</v>
      </c>
      <c r="AB35" s="38">
        <f t="shared" si="6"/>
        <v>0</v>
      </c>
      <c r="AC35" s="31">
        <f t="shared" si="13"/>
        <v>0</v>
      </c>
      <c r="AD35" s="47">
        <v>0</v>
      </c>
      <c r="AE35" s="37">
        <f t="shared" si="7"/>
        <v>104146.92437690801</v>
      </c>
      <c r="AF35" s="40">
        <f t="shared" si="14"/>
        <v>4.9869537497866823E-2</v>
      </c>
      <c r="AG35" s="1"/>
      <c r="AH35" s="1"/>
      <c r="AI35" s="1"/>
      <c r="AJ35" s="1"/>
      <c r="AK35" s="1"/>
      <c r="AL35" s="1"/>
    </row>
    <row r="36" spans="1:38" x14ac:dyDescent="0.35">
      <c r="A36" s="1"/>
      <c r="B36" s="10" t="s">
        <v>28</v>
      </c>
      <c r="C36" s="15">
        <v>-2.5399999999999999E-2</v>
      </c>
      <c r="D36" s="38">
        <f t="shared" si="0"/>
        <v>6.6828820824683485E-2</v>
      </c>
      <c r="E36" s="32">
        <f t="shared" si="15"/>
        <v>7105.103315847351</v>
      </c>
      <c r="F36" s="48">
        <v>-10272.86</v>
      </c>
      <c r="G36" s="19">
        <v>2.5600000000000001E-2</v>
      </c>
      <c r="H36" s="38">
        <f t="shared" si="1"/>
        <v>0.33153684002952161</v>
      </c>
      <c r="I36" s="32">
        <f t="shared" si="8"/>
        <v>35248.317602354808</v>
      </c>
      <c r="J36" s="48">
        <v>-4681.3900000000003</v>
      </c>
      <c r="K36" s="17">
        <v>-3.4200000000000001E-2</v>
      </c>
      <c r="L36" s="38">
        <f t="shared" si="2"/>
        <v>9.4607791840142674E-2</v>
      </c>
      <c r="M36" s="32">
        <f t="shared" si="9"/>
        <v>10058.50660259016</v>
      </c>
      <c r="N36" s="48">
        <v>-297.54000000000002</v>
      </c>
      <c r="O36" s="20">
        <v>0.08</v>
      </c>
      <c r="P36" s="38">
        <f t="shared" si="3"/>
        <v>0.37028113953271186</v>
      </c>
      <c r="Q36" s="31">
        <f t="shared" si="10"/>
        <v>39367.532148911996</v>
      </c>
      <c r="R36" s="49">
        <v>9806.39</v>
      </c>
      <c r="S36" s="17">
        <v>-6.9900000000000004E-2</v>
      </c>
      <c r="T36" s="38">
        <f t="shared" si="4"/>
        <v>0.10933285160761014</v>
      </c>
      <c r="U36" s="31">
        <f t="shared" si="11"/>
        <v>11624.044789390555</v>
      </c>
      <c r="V36" s="49">
        <v>4988.6000000000004</v>
      </c>
      <c r="W36" s="24">
        <v>-6.7199999999999996E-2</v>
      </c>
      <c r="X36" s="38">
        <f t="shared" si="5"/>
        <v>2.741255616533023E-2</v>
      </c>
      <c r="Y36" s="31">
        <f t="shared" si="12"/>
        <v>2914.44681056232</v>
      </c>
      <c r="Z36" s="49">
        <v>456.78</v>
      </c>
      <c r="AA36" s="27">
        <v>-3.4299999999999997E-2</v>
      </c>
      <c r="AB36" s="38">
        <f t="shared" si="6"/>
        <v>0</v>
      </c>
      <c r="AC36" s="31">
        <f t="shared" si="13"/>
        <v>0</v>
      </c>
      <c r="AD36" s="47">
        <v>0</v>
      </c>
      <c r="AE36" s="37">
        <f t="shared" si="7"/>
        <v>106317.95126965719</v>
      </c>
      <c r="AF36" s="40">
        <f t="shared" si="14"/>
        <v>2.0845808992805415E-2</v>
      </c>
      <c r="AG36" s="1"/>
      <c r="AH36" s="1"/>
      <c r="AI36" s="1"/>
      <c r="AJ36" s="1"/>
      <c r="AK36" s="1"/>
      <c r="AL36" s="1"/>
    </row>
    <row r="37" spans="1:38" x14ac:dyDescent="0.35">
      <c r="A37" s="1"/>
      <c r="B37" s="11" t="s">
        <v>29</v>
      </c>
      <c r="C37" s="20">
        <v>6.2700000000000006E-2</v>
      </c>
      <c r="D37" s="38">
        <f t="shared" si="0"/>
        <v>6.8458269024703811E-2</v>
      </c>
      <c r="E37" s="32">
        <f t="shared" si="15"/>
        <v>7550.5932937509797</v>
      </c>
      <c r="F37" s="47">
        <v>0</v>
      </c>
      <c r="G37" s="17">
        <v>-2.5600000000000001E-2</v>
      </c>
      <c r="H37" s="38">
        <f t="shared" si="1"/>
        <v>0.31140135935058932</v>
      </c>
      <c r="I37" s="32">
        <f t="shared" si="8"/>
        <v>34345.960671734523</v>
      </c>
      <c r="J37" s="47">
        <v>0</v>
      </c>
      <c r="K37" s="19">
        <v>3.4299999999999997E-2</v>
      </c>
      <c r="L37" s="38">
        <f t="shared" si="2"/>
        <v>9.4324576890555442E-2</v>
      </c>
      <c r="M37" s="32">
        <f t="shared" si="9"/>
        <v>10403.513379059003</v>
      </c>
      <c r="N37" s="47">
        <v>0</v>
      </c>
      <c r="O37" s="20">
        <v>7.7399999999999997E-2</v>
      </c>
      <c r="P37" s="38">
        <f t="shared" si="3"/>
        <v>0.38455635950485034</v>
      </c>
      <c r="Q37" s="31">
        <f t="shared" si="10"/>
        <v>42414.579137237786</v>
      </c>
      <c r="R37" s="47">
        <v>0</v>
      </c>
      <c r="S37" s="19">
        <v>6.7000000000000004E-2</v>
      </c>
      <c r="T37" s="38">
        <f t="shared" si="4"/>
        <v>0.11245183064863105</v>
      </c>
      <c r="U37" s="31">
        <f t="shared" si="11"/>
        <v>12402.855790279722</v>
      </c>
      <c r="V37" s="47">
        <v>0</v>
      </c>
      <c r="W37" s="25">
        <v>9.0200000000000002E-2</v>
      </c>
      <c r="X37" s="38">
        <f t="shared" si="5"/>
        <v>2.8807604580670183E-2</v>
      </c>
      <c r="Y37" s="31">
        <f t="shared" si="12"/>
        <v>3177.3299128750414</v>
      </c>
      <c r="Z37" s="47">
        <v>0</v>
      </c>
      <c r="AA37" s="26">
        <v>0.1052</v>
      </c>
      <c r="AB37" s="38">
        <f t="shared" si="6"/>
        <v>0</v>
      </c>
      <c r="AC37" s="31">
        <f t="shared" si="13"/>
        <v>0</v>
      </c>
      <c r="AD37" s="47">
        <v>0</v>
      </c>
      <c r="AE37" s="37">
        <f t="shared" si="7"/>
        <v>110294.83218493704</v>
      </c>
      <c r="AF37" s="40">
        <f t="shared" si="14"/>
        <v>3.7405545044723265E-2</v>
      </c>
      <c r="AG37" s="1"/>
      <c r="AH37" s="1"/>
      <c r="AI37" s="1"/>
      <c r="AJ37" s="1"/>
      <c r="AK37" s="1"/>
      <c r="AL37" s="1"/>
    </row>
    <row r="38" spans="1:38" x14ac:dyDescent="0.35">
      <c r="A38" s="1"/>
      <c r="B38" s="10" t="s">
        <v>30</v>
      </c>
      <c r="C38" s="15">
        <v>-5.8900000000000001E-2</v>
      </c>
      <c r="D38" s="38">
        <f t="shared" si="0"/>
        <v>6.9306642680158792E-2</v>
      </c>
      <c r="E38" s="32">
        <f t="shared" si="15"/>
        <v>7105.863348749047</v>
      </c>
      <c r="F38" s="47">
        <v>0</v>
      </c>
      <c r="G38" s="17">
        <v>-5.7000000000000002E-2</v>
      </c>
      <c r="H38" s="38">
        <f t="shared" si="1"/>
        <v>0.31589690511319074</v>
      </c>
      <c r="I38" s="32">
        <f t="shared" si="8"/>
        <v>32388.240913445654</v>
      </c>
      <c r="J38" s="47">
        <v>0</v>
      </c>
      <c r="K38" s="17">
        <v>-6.0900000000000003E-2</v>
      </c>
      <c r="L38" s="38">
        <f t="shared" si="2"/>
        <v>9.529056031046719E-2</v>
      </c>
      <c r="M38" s="32">
        <f t="shared" si="9"/>
        <v>9769.9394142743095</v>
      </c>
      <c r="N38" s="47">
        <v>0</v>
      </c>
      <c r="O38" s="15">
        <v>-0.10100000000000001</v>
      </c>
      <c r="P38" s="38">
        <f t="shared" si="3"/>
        <v>0.37190572501074254</v>
      </c>
      <c r="Q38" s="31">
        <f t="shared" si="10"/>
        <v>38130.706644376769</v>
      </c>
      <c r="R38" s="47">
        <v>0</v>
      </c>
      <c r="S38" s="17">
        <v>-2.2800000000000001E-2</v>
      </c>
      <c r="T38" s="38">
        <f t="shared" si="4"/>
        <v>0.11821243479223492</v>
      </c>
      <c r="U38" s="31">
        <f t="shared" si="11"/>
        <v>12120.070678261345</v>
      </c>
      <c r="V38" s="47">
        <v>0</v>
      </c>
      <c r="W38" s="24">
        <v>-5.1700000000000003E-2</v>
      </c>
      <c r="X38" s="38">
        <f t="shared" si="5"/>
        <v>2.9387732093205825E-2</v>
      </c>
      <c r="Y38" s="31">
        <f t="shared" si="12"/>
        <v>3013.0619563794016</v>
      </c>
      <c r="Z38" s="47">
        <v>0</v>
      </c>
      <c r="AA38" s="27">
        <v>-5.5E-2</v>
      </c>
      <c r="AB38" s="38">
        <f t="shared" si="6"/>
        <v>0</v>
      </c>
      <c r="AC38" s="31">
        <f t="shared" si="13"/>
        <v>0</v>
      </c>
      <c r="AD38" s="47">
        <v>0</v>
      </c>
      <c r="AE38" s="37">
        <f t="shared" si="7"/>
        <v>102527.88295548652</v>
      </c>
      <c r="AF38" s="40">
        <f t="shared" si="14"/>
        <v>-7.0419883466772748E-2</v>
      </c>
      <c r="AG38" s="1"/>
      <c r="AH38" s="1"/>
      <c r="AI38" s="1"/>
      <c r="AJ38" s="1"/>
      <c r="AK38" s="1"/>
      <c r="AL38" s="1"/>
    </row>
    <row r="39" spans="1:38" x14ac:dyDescent="0.35">
      <c r="A39" s="1"/>
      <c r="B39" s="11" t="s">
        <v>31</v>
      </c>
      <c r="C39" s="20">
        <v>5.4999999999999997E-3</v>
      </c>
      <c r="D39" s="38">
        <f t="shared" si="0"/>
        <v>6.8637839032482315E-2</v>
      </c>
      <c r="E39" s="32">
        <f t="shared" si="15"/>
        <v>7216.4265921671667</v>
      </c>
      <c r="F39" s="49">
        <v>71.09</v>
      </c>
      <c r="G39" s="19">
        <v>2.3900000000000001E-2</v>
      </c>
      <c r="H39" s="38">
        <f t="shared" si="1"/>
        <v>9.9848385638407144E-2</v>
      </c>
      <c r="I39" s="32">
        <f>((I38+J39)*G39)+I38+J39</f>
        <v>10497.832616277003</v>
      </c>
      <c r="J39" s="48">
        <v>-22135.45</v>
      </c>
      <c r="K39" s="17">
        <v>-2.81E-2</v>
      </c>
      <c r="L39" s="38">
        <f t="shared" si="2"/>
        <v>9.4777450739636754E-2</v>
      </c>
      <c r="M39" s="32">
        <f t="shared" si="9"/>
        <v>9964.6860317332012</v>
      </c>
      <c r="N39" s="49">
        <v>482.85</v>
      </c>
      <c r="O39" s="20">
        <v>3.61E-2</v>
      </c>
      <c r="P39" s="38">
        <f t="shared" si="3"/>
        <v>0.35363324220209852</v>
      </c>
      <c r="Q39" s="31">
        <f>((Q38+R39)*O39)+Q38+R39</f>
        <v>37180.196359238776</v>
      </c>
      <c r="R39" s="48">
        <v>-2245.9499999999998</v>
      </c>
      <c r="S39" s="19">
        <v>3.9399999999999998E-2</v>
      </c>
      <c r="T39" s="38">
        <f t="shared" si="4"/>
        <v>0.30407961129118388</v>
      </c>
      <c r="U39" s="31">
        <f t="shared" si="11"/>
        <v>31970.240088984843</v>
      </c>
      <c r="V39" s="49">
        <v>18638.29</v>
      </c>
      <c r="W39" s="25">
        <v>1.7999999999999999E-2</v>
      </c>
      <c r="X39" s="38">
        <f t="shared" si="5"/>
        <v>2.9781954677713454E-2</v>
      </c>
      <c r="Y39" s="31">
        <f t="shared" si="12"/>
        <v>3131.2071115942313</v>
      </c>
      <c r="Z39" s="49">
        <v>62.78</v>
      </c>
      <c r="AA39" s="26">
        <v>9.9000000000000008E-3</v>
      </c>
      <c r="AB39" s="38">
        <f t="shared" si="6"/>
        <v>4.9241516418477967E-2</v>
      </c>
      <c r="AC39" s="31">
        <f t="shared" si="13"/>
        <v>5177.1412610000007</v>
      </c>
      <c r="AD39" s="49">
        <v>5126.3900000000003</v>
      </c>
      <c r="AE39" s="37">
        <f t="shared" si="7"/>
        <v>105137.73006099522</v>
      </c>
      <c r="AF39" s="40">
        <f t="shared" si="14"/>
        <v>2.5454998487014491E-2</v>
      </c>
      <c r="AG39" s="1"/>
      <c r="AH39" s="1"/>
      <c r="AI39" s="1"/>
      <c r="AJ39" s="1"/>
      <c r="AK39" s="1"/>
      <c r="AL39" s="1"/>
    </row>
    <row r="40" spans="1:38" x14ac:dyDescent="0.35">
      <c r="A40" s="1"/>
      <c r="B40" s="10" t="s">
        <v>32</v>
      </c>
      <c r="C40" s="20">
        <v>2.7000000000000001E-3</v>
      </c>
      <c r="D40" s="38">
        <f t="shared" si="0"/>
        <v>6.930587858390741E-2</v>
      </c>
      <c r="E40" s="32">
        <f t="shared" si="15"/>
        <v>7235.9109439660178</v>
      </c>
      <c r="F40" s="47">
        <v>0</v>
      </c>
      <c r="G40" s="17">
        <v>-2.7000000000000001E-3</v>
      </c>
      <c r="H40" s="38">
        <f t="shared" si="1"/>
        <v>0.10027722870451627</v>
      </c>
      <c r="I40" s="32">
        <f t="shared" si="8"/>
        <v>10469.488468213054</v>
      </c>
      <c r="J40" s="47">
        <v>0</v>
      </c>
      <c r="K40" s="19">
        <v>1.12E-2</v>
      </c>
      <c r="L40" s="38">
        <f t="shared" si="2"/>
        <v>9.6511161129078982E-2</v>
      </c>
      <c r="M40" s="32">
        <f t="shared" si="9"/>
        <v>10076.290515288612</v>
      </c>
      <c r="N40" s="47">
        <v>0</v>
      </c>
      <c r="O40" s="15">
        <v>-3.5099999999999999E-2</v>
      </c>
      <c r="P40" s="38">
        <f t="shared" si="3"/>
        <v>0.34361399651334379</v>
      </c>
      <c r="Q40" s="31">
        <f t="shared" si="10"/>
        <v>35875.171467029497</v>
      </c>
      <c r="R40" s="47">
        <v>0</v>
      </c>
      <c r="S40" s="19">
        <v>1.6E-2</v>
      </c>
      <c r="T40" s="38">
        <f t="shared" si="4"/>
        <v>0.31111178738722378</v>
      </c>
      <c r="U40" s="31">
        <f t="shared" si="11"/>
        <v>32481.763930408601</v>
      </c>
      <c r="V40" s="47">
        <v>0</v>
      </c>
      <c r="W40" s="25">
        <v>7.9000000000000008E-3</v>
      </c>
      <c r="X40" s="38">
        <f t="shared" si="5"/>
        <v>3.0227769380273956E-2</v>
      </c>
      <c r="Y40" s="31">
        <f t="shared" si="12"/>
        <v>3155.9436477758259</v>
      </c>
      <c r="Z40" s="47">
        <v>0</v>
      </c>
      <c r="AA40" s="27">
        <v>-1.2800000000000001E-2</v>
      </c>
      <c r="AB40" s="38">
        <f t="shared" si="6"/>
        <v>4.8952178301655762E-2</v>
      </c>
      <c r="AC40" s="31">
        <f t="shared" si="13"/>
        <v>5110.8738528592003</v>
      </c>
      <c r="AD40" s="47">
        <v>0</v>
      </c>
      <c r="AE40" s="37">
        <f t="shared" si="7"/>
        <v>104405.44282554081</v>
      </c>
      <c r="AF40" s="40">
        <f t="shared" si="14"/>
        <v>-6.9650280163893186E-3</v>
      </c>
      <c r="AG40" s="1"/>
      <c r="AH40" s="1"/>
      <c r="AI40" s="1"/>
      <c r="AJ40" s="1"/>
      <c r="AK40" s="1"/>
      <c r="AL40" s="1"/>
    </row>
    <row r="41" spans="1:38" x14ac:dyDescent="0.35">
      <c r="A41" s="1"/>
      <c r="B41" s="11" t="s">
        <v>33</v>
      </c>
      <c r="C41" s="20">
        <v>4.4400000000000002E-2</v>
      </c>
      <c r="D41" s="38">
        <f t="shared" si="0"/>
        <v>7.176966841302157E-2</v>
      </c>
      <c r="E41" s="32">
        <f t="shared" si="15"/>
        <v>7557.1853898781092</v>
      </c>
      <c r="F41" s="47">
        <v>0</v>
      </c>
      <c r="G41" s="19">
        <v>1.0500000000000001E-2</v>
      </c>
      <c r="H41" s="38">
        <f t="shared" si="1"/>
        <v>0.10047144401811947</v>
      </c>
      <c r="I41" s="32">
        <f t="shared" si="8"/>
        <v>10579.418097129292</v>
      </c>
      <c r="J41" s="47">
        <v>0</v>
      </c>
      <c r="K41" s="19">
        <v>2.2700000000000001E-2</v>
      </c>
      <c r="L41" s="38">
        <f t="shared" si="2"/>
        <v>9.7865540676962195E-2</v>
      </c>
      <c r="M41" s="32">
        <f t="shared" si="9"/>
        <v>10305.022309985663</v>
      </c>
      <c r="N41" s="47">
        <v>0</v>
      </c>
      <c r="O41" s="15">
        <v>-2.5000000000000001E-2</v>
      </c>
      <c r="P41" s="38">
        <f t="shared" si="3"/>
        <v>0.33218457691935288</v>
      </c>
      <c r="Q41" s="31">
        <f t="shared" si="10"/>
        <v>34978.292180353761</v>
      </c>
      <c r="R41" s="47">
        <v>0</v>
      </c>
      <c r="S41" s="19">
        <v>2.81E-2</v>
      </c>
      <c r="T41" s="38">
        <f t="shared" si="4"/>
        <v>0.31714350986511325</v>
      </c>
      <c r="U41" s="31">
        <f t="shared" si="11"/>
        <v>33394.501496853081</v>
      </c>
      <c r="V41" s="47">
        <v>0</v>
      </c>
      <c r="W41" s="25">
        <v>3.4599999999999999E-2</v>
      </c>
      <c r="X41" s="38">
        <f t="shared" si="5"/>
        <v>3.1008629886578296E-2</v>
      </c>
      <c r="Y41" s="31">
        <f t="shared" si="12"/>
        <v>3265.1392979888697</v>
      </c>
      <c r="Z41" s="47">
        <v>0</v>
      </c>
      <c r="AA41" s="26">
        <v>2.1000000000000001E-2</v>
      </c>
      <c r="AB41" s="38">
        <f t="shared" si="6"/>
        <v>4.9556630220852299E-2</v>
      </c>
      <c r="AC41" s="31">
        <f t="shared" si="13"/>
        <v>5218.2022037692432</v>
      </c>
      <c r="AD41" s="47">
        <v>0</v>
      </c>
      <c r="AE41" s="37">
        <f t="shared" si="7"/>
        <v>105297.76097595802</v>
      </c>
      <c r="AF41" s="40">
        <f t="shared" si="14"/>
        <v>8.5466631457926656E-3</v>
      </c>
      <c r="AG41" s="1"/>
      <c r="AH41" s="1"/>
      <c r="AI41" s="1"/>
      <c r="AJ41" s="1"/>
      <c r="AK41" s="1"/>
      <c r="AL41" s="1"/>
    </row>
    <row r="42" spans="1:38" x14ac:dyDescent="0.35">
      <c r="A42" s="1"/>
      <c r="B42" s="10" t="s">
        <v>34</v>
      </c>
      <c r="C42" s="20">
        <v>1.5900000000000001E-2</v>
      </c>
      <c r="D42" s="38">
        <f t="shared" si="0"/>
        <v>0.31813352384449745</v>
      </c>
      <c r="E42" s="32">
        <f t="shared" si="15"/>
        <v>34231.030268577175</v>
      </c>
      <c r="F42" s="49">
        <v>26138.09</v>
      </c>
      <c r="G42" s="19">
        <v>5.4399999999999997E-2</v>
      </c>
      <c r="H42" s="38">
        <f t="shared" si="1"/>
        <v>7.2229022032740897E-2</v>
      </c>
      <c r="I42" s="32">
        <f t="shared" si="8"/>
        <v>7771.8116896131251</v>
      </c>
      <c r="J42" s="48">
        <v>-3208.58</v>
      </c>
      <c r="K42" s="19">
        <v>4.2799999999999998E-2</v>
      </c>
      <c r="L42" s="38">
        <f t="shared" si="2"/>
        <v>3.0614756382809551E-2</v>
      </c>
      <c r="M42" s="32">
        <f t="shared" si="9"/>
        <v>3294.1346128530495</v>
      </c>
      <c r="N42" s="48">
        <v>-7146.09</v>
      </c>
      <c r="O42" s="15">
        <v>-2E-3</v>
      </c>
      <c r="P42" s="38">
        <f t="shared" si="3"/>
        <v>9.7665098908785969E-2</v>
      </c>
      <c r="Q42" s="31">
        <f t="shared" si="10"/>
        <v>10508.722615993054</v>
      </c>
      <c r="R42" s="48">
        <v>-24448.51</v>
      </c>
      <c r="S42" s="19">
        <v>4.5900000000000003E-2</v>
      </c>
      <c r="T42" s="38">
        <f t="shared" si="4"/>
        <v>0.30705775040517314</v>
      </c>
      <c r="U42" s="31">
        <f t="shared" si="11"/>
        <v>33039.281812558642</v>
      </c>
      <c r="V42" s="48">
        <v>-1805.17</v>
      </c>
      <c r="W42" s="24">
        <v>-1.0500000000000001E-2</v>
      </c>
      <c r="X42" s="38">
        <f t="shared" si="5"/>
        <v>0.1742998281495963</v>
      </c>
      <c r="Y42" s="31">
        <f t="shared" si="12"/>
        <v>18754.586505359985</v>
      </c>
      <c r="Z42" s="49">
        <v>15688.46</v>
      </c>
      <c r="AA42" s="27">
        <v>-0.01</v>
      </c>
      <c r="AB42" s="38">
        <f t="shared" si="6"/>
        <v>2.0276396618904045E-8</v>
      </c>
      <c r="AC42" s="31">
        <f t="shared" si="13"/>
        <v>2.1817315509906621E-3</v>
      </c>
      <c r="AD42" s="48">
        <v>-5218.2</v>
      </c>
      <c r="AE42" s="37">
        <f t="shared" si="7"/>
        <v>107599.56968668659</v>
      </c>
      <c r="AF42" s="40">
        <f t="shared" si="14"/>
        <v>2.1859996731118825E-2</v>
      </c>
      <c r="AG42" s="1"/>
      <c r="AH42" s="1"/>
      <c r="AI42" s="1"/>
      <c r="AJ42" s="1"/>
      <c r="AK42" s="1"/>
      <c r="AL42" s="1"/>
    </row>
    <row r="43" spans="1:38" x14ac:dyDescent="0.35">
      <c r="A43" s="1"/>
      <c r="B43" s="11" t="s">
        <v>35</v>
      </c>
      <c r="C43" s="20">
        <v>2.9399999999999999E-2</v>
      </c>
      <c r="D43" s="38">
        <f t="shared" si="0"/>
        <v>0.31239367290978681</v>
      </c>
      <c r="E43" s="32">
        <f t="shared" si="15"/>
        <v>35237.422558473343</v>
      </c>
      <c r="F43" s="47">
        <v>0</v>
      </c>
      <c r="G43" s="19">
        <v>7.3400000000000007E-2</v>
      </c>
      <c r="H43" s="38">
        <f t="shared" si="1"/>
        <v>7.3957454487337135E-2</v>
      </c>
      <c r="I43" s="32">
        <f t="shared" si="8"/>
        <v>8342.2626676307282</v>
      </c>
      <c r="J43" s="47">
        <v>0</v>
      </c>
      <c r="K43" s="19">
        <v>3.7199999999999997E-2</v>
      </c>
      <c r="L43" s="38">
        <f t="shared" si="2"/>
        <v>3.0290186359624903E-2</v>
      </c>
      <c r="M43" s="32">
        <f t="shared" si="9"/>
        <v>3416.6764204511828</v>
      </c>
      <c r="N43" s="47">
        <v>0</v>
      </c>
      <c r="O43" s="20">
        <v>8.3099999999999993E-2</v>
      </c>
      <c r="P43" s="38">
        <f t="shared" si="3"/>
        <v>0.10090590443612286</v>
      </c>
      <c r="Q43" s="31">
        <f t="shared" si="10"/>
        <v>11381.997465382077</v>
      </c>
      <c r="R43" s="47">
        <v>0</v>
      </c>
      <c r="S43" s="19">
        <v>6.1199999999999997E-2</v>
      </c>
      <c r="T43" s="38">
        <f t="shared" si="4"/>
        <v>0.31083215148354826</v>
      </c>
      <c r="U43" s="31">
        <f t="shared" si="11"/>
        <v>35061.28585948723</v>
      </c>
      <c r="V43" s="47">
        <v>0</v>
      </c>
      <c r="W43" s="25">
        <v>3.2199999999999999E-2</v>
      </c>
      <c r="X43" s="38">
        <f t="shared" si="5"/>
        <v>0.17162061068186812</v>
      </c>
      <c r="Y43" s="31">
        <f t="shared" si="12"/>
        <v>19358.484190832576</v>
      </c>
      <c r="Z43" s="47">
        <v>0</v>
      </c>
      <c r="AA43" s="26">
        <v>1.55E-2</v>
      </c>
      <c r="AB43" s="38">
        <f t="shared" si="6"/>
        <v>1.9641711817106881E-8</v>
      </c>
      <c r="AC43" s="31">
        <f t="shared" si="13"/>
        <v>2.2155483900310174E-3</v>
      </c>
      <c r="AD43" s="47">
        <v>0</v>
      </c>
      <c r="AE43" s="37">
        <f t="shared" si="7"/>
        <v>112798.13137780553</v>
      </c>
      <c r="AF43" s="40">
        <f t="shared" si="14"/>
        <v>4.8313963580489672E-2</v>
      </c>
      <c r="AG43" s="1"/>
      <c r="AH43" s="1"/>
      <c r="AI43" s="1"/>
      <c r="AJ43" s="1"/>
      <c r="AK43" s="1"/>
      <c r="AL43" s="1"/>
    </row>
    <row r="44" spans="1:38" x14ac:dyDescent="0.35">
      <c r="A44" s="1"/>
      <c r="B44" s="10" t="s">
        <v>36</v>
      </c>
      <c r="C44" s="15">
        <v>-3.2000000000000002E-3</v>
      </c>
      <c r="D44" s="38">
        <f t="shared" si="0"/>
        <v>0.32030233438641675</v>
      </c>
      <c r="E44" s="32">
        <f t="shared" si="15"/>
        <v>35124.662806286229</v>
      </c>
      <c r="F44" s="47">
        <v>0</v>
      </c>
      <c r="G44" s="19">
        <v>2.3599999999999999E-2</v>
      </c>
      <c r="H44" s="38">
        <f t="shared" si="1"/>
        <v>7.7868548149901073E-2</v>
      </c>
      <c r="I44" s="32">
        <f t="shared" si="8"/>
        <v>8539.1400665868132</v>
      </c>
      <c r="J44" s="47">
        <v>0</v>
      </c>
      <c r="K44" s="17">
        <v>-1.61E-2</v>
      </c>
      <c r="L44" s="38">
        <f t="shared" si="2"/>
        <v>3.0655100986321418E-2</v>
      </c>
      <c r="M44" s="32">
        <f t="shared" si="9"/>
        <v>3361.6679300819187</v>
      </c>
      <c r="N44" s="47">
        <v>0</v>
      </c>
      <c r="O44" s="15">
        <v>-3.3599999999999998E-2</v>
      </c>
      <c r="P44" s="38">
        <f t="shared" si="3"/>
        <v>0.10030517638102536</v>
      </c>
      <c r="Q44" s="31">
        <f t="shared" si="10"/>
        <v>10999.562350545239</v>
      </c>
      <c r="R44" s="47">
        <v>0</v>
      </c>
      <c r="S44" s="17">
        <v>-5.2400000000000002E-2</v>
      </c>
      <c r="T44" s="38">
        <f t="shared" si="4"/>
        <v>0.30297084053463996</v>
      </c>
      <c r="U44" s="31">
        <f t="shared" si="11"/>
        <v>33224.074480450101</v>
      </c>
      <c r="V44" s="47">
        <v>0</v>
      </c>
      <c r="W44" s="24">
        <v>-4.8899999999999999E-2</v>
      </c>
      <c r="X44" s="38">
        <f t="shared" si="5"/>
        <v>0.16789797953788807</v>
      </c>
      <c r="Y44" s="31">
        <f t="shared" si="12"/>
        <v>18411.854313900862</v>
      </c>
      <c r="Z44" s="47">
        <v>0</v>
      </c>
      <c r="AA44" s="27">
        <v>-8.8999999999999999E-3</v>
      </c>
      <c r="AB44" s="38">
        <f t="shared" si="6"/>
        <v>2.0023807254536785E-8</v>
      </c>
      <c r="AC44" s="31">
        <f t="shared" si="13"/>
        <v>2.1958300093597415E-3</v>
      </c>
      <c r="AD44" s="47">
        <v>0</v>
      </c>
      <c r="AE44" s="37">
        <f t="shared" si="7"/>
        <v>109660.96414368118</v>
      </c>
      <c r="AF44" s="40">
        <f t="shared" si="14"/>
        <v>-2.7812226991746347E-2</v>
      </c>
      <c r="AG44" s="1"/>
      <c r="AH44" s="1"/>
      <c r="AI44" s="1"/>
      <c r="AJ44" s="1"/>
      <c r="AK44" s="1"/>
      <c r="AL44" s="1"/>
    </row>
    <row r="45" spans="1:38" x14ac:dyDescent="0.35">
      <c r="A45" s="1"/>
      <c r="B45" s="9" t="s">
        <v>37</v>
      </c>
      <c r="C45" s="20">
        <v>1.12E-2</v>
      </c>
      <c r="D45" s="38">
        <f t="shared" si="0"/>
        <v>0.17770744331440608</v>
      </c>
      <c r="E45" s="32">
        <f t="shared" si="15"/>
        <v>19960.04930171663</v>
      </c>
      <c r="F45" s="48">
        <v>-15385.69</v>
      </c>
      <c r="G45" s="17">
        <v>-1.6999999999999999E-3</v>
      </c>
      <c r="H45" s="38">
        <f t="shared" si="1"/>
        <v>0.34113416287725068</v>
      </c>
      <c r="I45" s="32">
        <f t="shared" si="8"/>
        <v>38316.091788473612</v>
      </c>
      <c r="J45" s="49">
        <v>29842.2</v>
      </c>
      <c r="K45" s="19">
        <v>1.4E-2</v>
      </c>
      <c r="L45" s="38">
        <f t="shared" si="2"/>
        <v>9.8999746823690268E-2</v>
      </c>
      <c r="M45" s="32">
        <f t="shared" si="9"/>
        <v>11119.623301103065</v>
      </c>
      <c r="N45" s="49">
        <v>7604.43</v>
      </c>
      <c r="O45" s="20">
        <v>2.29E-2</v>
      </c>
      <c r="P45" s="38">
        <f t="shared" si="3"/>
        <v>4.9934370588305847E-2</v>
      </c>
      <c r="Q45" s="31">
        <f t="shared" si="10"/>
        <v>5608.6142493727239</v>
      </c>
      <c r="R45" s="48">
        <v>-5516.51</v>
      </c>
      <c r="S45" s="19">
        <v>8.4699999999999998E-2</v>
      </c>
      <c r="T45" s="38">
        <f t="shared" si="4"/>
        <v>0.26475597640349813</v>
      </c>
      <c r="U45" s="31">
        <f t="shared" si="11"/>
        <v>29737.315687944225</v>
      </c>
      <c r="V45" s="48">
        <v>-5808.83</v>
      </c>
      <c r="W45" s="24">
        <v>-1.2800000000000001E-2</v>
      </c>
      <c r="X45" s="38">
        <f t="shared" si="5"/>
        <v>6.7468280478220441E-2</v>
      </c>
      <c r="Y45" s="31">
        <f t="shared" si="12"/>
        <v>7578.0180026829312</v>
      </c>
      <c r="Z45" s="48">
        <v>-10735.58</v>
      </c>
      <c r="AA45" s="27">
        <v>-1.8E-3</v>
      </c>
      <c r="AB45" s="38">
        <f t="shared" si="6"/>
        <v>1.9514628617496409E-8</v>
      </c>
      <c r="AC45" s="31">
        <f t="shared" si="13"/>
        <v>2.1918775153428939E-3</v>
      </c>
      <c r="AD45" s="47">
        <v>0</v>
      </c>
      <c r="AE45" s="37">
        <f t="shared" si="7"/>
        <v>112319.7145231707</v>
      </c>
      <c r="AF45" s="40">
        <f t="shared" si="14"/>
        <v>2.4245185150897797E-2</v>
      </c>
      <c r="AG45" s="1"/>
      <c r="AH45" s="1"/>
      <c r="AI45" s="1"/>
      <c r="AJ45" s="1"/>
      <c r="AK45" s="1"/>
      <c r="AL45" s="1"/>
    </row>
    <row r="46" spans="1:38" x14ac:dyDescent="0.35">
      <c r="A46" s="1"/>
      <c r="B46" s="10" t="s">
        <v>38</v>
      </c>
      <c r="C46" s="15">
        <v>-2.2599999999999999E-2</v>
      </c>
      <c r="D46" s="38">
        <f t="shared" si="0"/>
        <v>0.17778996881805026</v>
      </c>
      <c r="E46" s="32">
        <f t="shared" si="15"/>
        <v>19508.952187497835</v>
      </c>
      <c r="F46" s="47">
        <v>0</v>
      </c>
      <c r="G46" s="17">
        <v>-4.0599999999999997E-2</v>
      </c>
      <c r="H46" s="38">
        <f t="shared" si="1"/>
        <v>0.33500726747692372</v>
      </c>
      <c r="I46" s="32">
        <f t="shared" si="8"/>
        <v>36760.458461861585</v>
      </c>
      <c r="J46" s="47">
        <v>0</v>
      </c>
      <c r="K46" s="17">
        <v>-7.3000000000000001E-3</v>
      </c>
      <c r="L46" s="38">
        <f t="shared" si="2"/>
        <v>0.10059616075257269</v>
      </c>
      <c r="M46" s="32">
        <f t="shared" si="9"/>
        <v>11038.450051005013</v>
      </c>
      <c r="N46" s="47">
        <v>0</v>
      </c>
      <c r="O46" s="20">
        <v>2.53E-2</v>
      </c>
      <c r="P46" s="38">
        <f t="shared" si="3"/>
        <v>5.2405858249122132E-2</v>
      </c>
      <c r="Q46" s="31">
        <f t="shared" si="10"/>
        <v>5750.5121898818534</v>
      </c>
      <c r="R46" s="47">
        <v>0</v>
      </c>
      <c r="S46" s="17">
        <v>-2.9000000000000001E-2</v>
      </c>
      <c r="T46" s="38">
        <f t="shared" si="4"/>
        <v>0.26314450325754174</v>
      </c>
      <c r="U46" s="31">
        <f t="shared" si="11"/>
        <v>28874.933532993844</v>
      </c>
      <c r="V46" s="47">
        <v>0</v>
      </c>
      <c r="W46" s="25">
        <v>2.8899999999999999E-2</v>
      </c>
      <c r="X46" s="38">
        <f t="shared" si="5"/>
        <v>7.1056221444692841E-2</v>
      </c>
      <c r="Y46" s="31">
        <f t="shared" si="12"/>
        <v>7797.0227229604679</v>
      </c>
      <c r="Z46" s="47">
        <v>0</v>
      </c>
      <c r="AA46" s="26">
        <v>1.2999999999999999E-3</v>
      </c>
      <c r="AB46" s="38">
        <f t="shared" si="6"/>
        <v>2.0001096591004675E-8</v>
      </c>
      <c r="AC46" s="31">
        <f t="shared" si="13"/>
        <v>2.1947269561128397E-3</v>
      </c>
      <c r="AD46" s="47">
        <v>0</v>
      </c>
      <c r="AE46" s="37">
        <f t="shared" si="7"/>
        <v>109730.33134092756</v>
      </c>
      <c r="AF46" s="40">
        <f t="shared" si="14"/>
        <v>-2.3053683792162438E-2</v>
      </c>
      <c r="AG46" s="1"/>
      <c r="AH46" s="1"/>
      <c r="AI46" s="1"/>
      <c r="AJ46" s="1"/>
      <c r="AK46" s="1"/>
      <c r="AL46" s="1"/>
    </row>
    <row r="47" spans="1:38" x14ac:dyDescent="0.35">
      <c r="A47" s="1"/>
      <c r="B47" s="11" t="s">
        <v>39</v>
      </c>
      <c r="C47" s="15">
        <v>-3.15E-2</v>
      </c>
      <c r="D47" s="38">
        <f t="shared" si="0"/>
        <v>0.17697235721464366</v>
      </c>
      <c r="E47" s="32">
        <f t="shared" si="15"/>
        <v>18894.420193591654</v>
      </c>
      <c r="F47" s="47">
        <v>0</v>
      </c>
      <c r="G47" s="19">
        <v>1.7899999999999999E-2</v>
      </c>
      <c r="H47" s="38">
        <f t="shared" si="1"/>
        <v>0.35047569016101054</v>
      </c>
      <c r="I47" s="32">
        <f t="shared" si="8"/>
        <v>37418.470668328904</v>
      </c>
      <c r="J47" s="47">
        <v>0</v>
      </c>
      <c r="K47" s="17">
        <v>-3.2800000000000003E-2</v>
      </c>
      <c r="L47" s="38">
        <f t="shared" si="2"/>
        <v>9.9999136725357332E-2</v>
      </c>
      <c r="M47" s="32">
        <f t="shared" si="9"/>
        <v>10676.388889332049</v>
      </c>
      <c r="N47" s="47">
        <v>0</v>
      </c>
      <c r="O47" s="15">
        <v>-5.0200000000000002E-2</v>
      </c>
      <c r="P47" s="38">
        <f t="shared" si="3"/>
        <v>5.1157646877755814E-2</v>
      </c>
      <c r="Q47" s="31">
        <f t="shared" si="10"/>
        <v>5461.8364779497842</v>
      </c>
      <c r="R47" s="47">
        <v>0</v>
      </c>
      <c r="S47" s="17">
        <v>-6.5199999999999994E-2</v>
      </c>
      <c r="T47" s="38">
        <f t="shared" si="4"/>
        <v>0.25282007923144068</v>
      </c>
      <c r="U47" s="31">
        <f t="shared" si="11"/>
        <v>26992.287866642644</v>
      </c>
      <c r="V47" s="47">
        <v>0</v>
      </c>
      <c r="W47" s="24">
        <v>-6.0999999999999999E-2</v>
      </c>
      <c r="X47" s="38">
        <f t="shared" si="5"/>
        <v>6.8575069800504429E-2</v>
      </c>
      <c r="Y47" s="31">
        <f t="shared" si="12"/>
        <v>7321.4043368598795</v>
      </c>
      <c r="Z47" s="47">
        <v>0</v>
      </c>
      <c r="AA47" s="27">
        <v>-2.76E-2</v>
      </c>
      <c r="AB47" s="38">
        <f t="shared" si="6"/>
        <v>1.9989287488949302E-8</v>
      </c>
      <c r="AC47" s="31">
        <f t="shared" si="13"/>
        <v>2.1341524921241251E-3</v>
      </c>
      <c r="AD47" s="47">
        <v>0</v>
      </c>
      <c r="AE47" s="37">
        <f t="shared" si="7"/>
        <v>106764.81056685741</v>
      </c>
      <c r="AF47" s="40">
        <f t="shared" si="14"/>
        <v>-2.7025533759270193E-2</v>
      </c>
      <c r="AG47" s="1"/>
      <c r="AH47" s="1"/>
      <c r="AI47" s="1"/>
      <c r="AJ47" s="1"/>
      <c r="AK47" s="1"/>
      <c r="AL47" s="1"/>
    </row>
    <row r="48" spans="1:38" x14ac:dyDescent="0.35">
      <c r="A48" s="1"/>
      <c r="B48" s="10" t="s">
        <v>40</v>
      </c>
      <c r="C48" s="20">
        <v>4.1000000000000002E-2</v>
      </c>
      <c r="D48" s="38">
        <f t="shared" si="0"/>
        <v>7.1283337898579283E-2</v>
      </c>
      <c r="E48" s="32">
        <f t="shared" si="15"/>
        <v>7779.9553415289138</v>
      </c>
      <c r="F48" s="48">
        <v>-11420.88</v>
      </c>
      <c r="G48" s="19">
        <v>3.5000000000000003E-2</v>
      </c>
      <c r="H48" s="38">
        <f t="shared" si="1"/>
        <v>0.40498539580507237</v>
      </c>
      <c r="I48" s="32">
        <f t="shared" si="8"/>
        <v>44200.627891720411</v>
      </c>
      <c r="J48" s="49">
        <v>5287.45</v>
      </c>
      <c r="K48" s="19">
        <v>1.32E-2</v>
      </c>
      <c r="L48" s="38">
        <f t="shared" si="2"/>
        <v>0.27751872908588948</v>
      </c>
      <c r="M48" s="32">
        <f t="shared" si="9"/>
        <v>30288.751654671229</v>
      </c>
      <c r="N48" s="49">
        <v>19217.759999999998</v>
      </c>
      <c r="O48" s="20">
        <v>2.0199999999999999E-2</v>
      </c>
      <c r="P48" s="38">
        <f t="shared" si="3"/>
        <v>9.9798540588318094E-2</v>
      </c>
      <c r="Q48" s="31">
        <f t="shared" si="10"/>
        <v>10892.14130280437</v>
      </c>
      <c r="R48" s="49">
        <v>5214.6400000000003</v>
      </c>
      <c r="S48" s="17">
        <v>-3.5000000000000001E-3</v>
      </c>
      <c r="T48" s="38">
        <f t="shared" si="4"/>
        <v>0.11697623171098526</v>
      </c>
      <c r="U48" s="31">
        <f t="shared" si="11"/>
        <v>12766.936644109393</v>
      </c>
      <c r="V48" s="48">
        <v>-14180.51</v>
      </c>
      <c r="W48" s="25">
        <v>3.0999999999999999E-3</v>
      </c>
      <c r="X48" s="38">
        <f t="shared" si="5"/>
        <v>2.9437745427515989E-2</v>
      </c>
      <c r="Y48" s="31">
        <f t="shared" si="12"/>
        <v>3212.8734643041453</v>
      </c>
      <c r="Z48" s="48">
        <v>-4118.46</v>
      </c>
      <c r="AA48" s="27">
        <v>-3.5999999999999999E-3</v>
      </c>
      <c r="AB48" s="38">
        <f t="shared" si="6"/>
        <v>1.9483639728166721E-8</v>
      </c>
      <c r="AC48" s="31">
        <f t="shared" si="13"/>
        <v>2.1264695431524785E-3</v>
      </c>
      <c r="AD48" s="47">
        <v>0</v>
      </c>
      <c r="AE48" s="37">
        <f t="shared" si="7"/>
        <v>109141.28842560799</v>
      </c>
      <c r="AF48" s="40">
        <f t="shared" si="14"/>
        <v>2.2258999441228777E-2</v>
      </c>
      <c r="AG48" s="1"/>
      <c r="AH48" s="1"/>
      <c r="AI48" s="1"/>
      <c r="AJ48" s="1"/>
      <c r="AK48" s="1"/>
      <c r="AL48" s="1"/>
    </row>
    <row r="49" spans="1:38" x14ac:dyDescent="0.35">
      <c r="A49" s="1"/>
      <c r="B49" s="11" t="s">
        <v>41</v>
      </c>
      <c r="C49" s="15">
        <v>-1.37E-2</v>
      </c>
      <c r="D49" s="38">
        <f t="shared" si="0"/>
        <v>7.1430129881023499E-2</v>
      </c>
      <c r="E49" s="32">
        <f t="shared" si="15"/>
        <v>7673.3699533499675</v>
      </c>
      <c r="F49" s="47">
        <v>0</v>
      </c>
      <c r="G49" s="19">
        <v>2.3E-3</v>
      </c>
      <c r="H49" s="38">
        <f t="shared" si="1"/>
        <v>0.41240267320962926</v>
      </c>
      <c r="I49" s="32">
        <f t="shared" si="8"/>
        <v>44302.28933587137</v>
      </c>
      <c r="J49" s="47">
        <v>0</v>
      </c>
      <c r="K49" s="17">
        <v>-3.8E-3</v>
      </c>
      <c r="L49" s="38">
        <f t="shared" si="2"/>
        <v>0.28088155083943317</v>
      </c>
      <c r="M49" s="32">
        <f t="shared" si="9"/>
        <v>30173.654398383478</v>
      </c>
      <c r="N49" s="47">
        <v>0</v>
      </c>
      <c r="O49" s="15">
        <v>-6.9099999999999995E-2</v>
      </c>
      <c r="P49" s="38">
        <f t="shared" si="3"/>
        <v>9.438687329688919E-2</v>
      </c>
      <c r="Q49" s="31">
        <f t="shared" si="10"/>
        <v>10139.494338780587</v>
      </c>
      <c r="R49" s="47">
        <v>0</v>
      </c>
      <c r="S49" s="17">
        <v>-4.8399999999999999E-2</v>
      </c>
      <c r="T49" s="38">
        <f t="shared" si="4"/>
        <v>0.1130931860606267</v>
      </c>
      <c r="U49" s="31">
        <f t="shared" si="11"/>
        <v>12149.016910534499</v>
      </c>
      <c r="V49" s="47">
        <v>0</v>
      </c>
      <c r="W49" s="24">
        <v>-7.0300000000000001E-2</v>
      </c>
      <c r="X49" s="38">
        <f t="shared" si="5"/>
        <v>2.7805566984748283E-2</v>
      </c>
      <c r="Y49" s="31">
        <f t="shared" si="12"/>
        <v>2987.0084597635637</v>
      </c>
      <c r="Z49" s="47">
        <v>0</v>
      </c>
      <c r="AA49" s="27">
        <v>-3.3999999999999998E-3</v>
      </c>
      <c r="AB49" s="38">
        <f t="shared" si="6"/>
        <v>1.9727649910077229E-8</v>
      </c>
      <c r="AC49" s="31">
        <f t="shared" si="13"/>
        <v>2.1192395467057598E-3</v>
      </c>
      <c r="AD49" s="47">
        <v>0</v>
      </c>
      <c r="AE49" s="37">
        <f t="shared" si="7"/>
        <v>107424.83551592301</v>
      </c>
      <c r="AF49" s="40">
        <f t="shared" si="14"/>
        <v>-1.5726888828648256E-2</v>
      </c>
      <c r="AG49" s="1"/>
      <c r="AH49" s="1"/>
      <c r="AI49" s="1"/>
      <c r="AJ49" s="1"/>
      <c r="AK49" s="1"/>
      <c r="AL49" s="1"/>
    </row>
    <row r="50" spans="1:38" x14ac:dyDescent="0.35">
      <c r="A50" s="1"/>
      <c r="B50" s="10" t="s">
        <v>42</v>
      </c>
      <c r="C50" s="15">
        <v>-2.7900000000000001E-2</v>
      </c>
      <c r="D50" s="38">
        <f t="shared" si="0"/>
        <v>7.0383022933826908E-2</v>
      </c>
      <c r="E50" s="32">
        <f t="shared" si="15"/>
        <v>7459.2829316515035</v>
      </c>
      <c r="F50" s="47">
        <v>0</v>
      </c>
      <c r="G50" s="19">
        <v>2.76E-2</v>
      </c>
      <c r="H50" s="38">
        <f t="shared" si="1"/>
        <v>0.42955729624234135</v>
      </c>
      <c r="I50" s="32">
        <f t="shared" si="8"/>
        <v>45525.03252154142</v>
      </c>
      <c r="J50" s="47">
        <v>0</v>
      </c>
      <c r="K50" s="17">
        <v>-2.4899999999999999E-2</v>
      </c>
      <c r="L50" s="38">
        <f t="shared" si="2"/>
        <v>0.27761818053512094</v>
      </c>
      <c r="M50" s="32">
        <f t="shared" si="9"/>
        <v>29422.330403863729</v>
      </c>
      <c r="N50" s="47">
        <v>0</v>
      </c>
      <c r="O50" s="15">
        <v>-2.81E-2</v>
      </c>
      <c r="P50" s="38">
        <f t="shared" si="3"/>
        <v>9.2984104874492782E-2</v>
      </c>
      <c r="Q50" s="31">
        <f t="shared" si="10"/>
        <v>9854.5745478608533</v>
      </c>
      <c r="R50" s="47">
        <v>0</v>
      </c>
      <c r="S50" s="17">
        <v>-0.1106</v>
      </c>
      <c r="T50" s="38">
        <f t="shared" si="4"/>
        <v>0.10195513337440636</v>
      </c>
      <c r="U50" s="31">
        <f t="shared" si="11"/>
        <v>10805.335640229383</v>
      </c>
      <c r="V50" s="47">
        <v>0</v>
      </c>
      <c r="W50" s="24">
        <v>-2.4199999999999999E-2</v>
      </c>
      <c r="X50" s="38">
        <f t="shared" si="5"/>
        <v>2.7502242163432545E-2</v>
      </c>
      <c r="Y50" s="31">
        <f t="shared" si="12"/>
        <v>2914.7228550372856</v>
      </c>
      <c r="Z50" s="47">
        <v>0</v>
      </c>
      <c r="AA50" s="27">
        <v>-6.0000000000000001E-3</v>
      </c>
      <c r="AB50" s="38">
        <f t="shared" si="6"/>
        <v>1.9876379011612332E-8</v>
      </c>
      <c r="AC50" s="31">
        <f t="shared" si="13"/>
        <v>2.1065241094255253E-3</v>
      </c>
      <c r="AD50" s="47">
        <v>0</v>
      </c>
      <c r="AE50" s="37">
        <f t="shared" si="7"/>
        <v>105981.28100670829</v>
      </c>
      <c r="AF50" s="40">
        <f t="shared" si="14"/>
        <v>-1.3437809816341351E-2</v>
      </c>
      <c r="AG50" s="1"/>
      <c r="AH50" s="1"/>
      <c r="AI50" s="1"/>
      <c r="AJ50" s="1"/>
      <c r="AK50" s="1"/>
      <c r="AL50" s="1"/>
    </row>
    <row r="51" spans="1:38" x14ac:dyDescent="0.35">
      <c r="A51" s="1"/>
      <c r="B51" s="11" t="s">
        <v>43</v>
      </c>
      <c r="C51" s="15">
        <v>-5.4399999999999997E-2</v>
      </c>
      <c r="D51" s="38">
        <f t="shared" si="0"/>
        <v>9.7366718039227584E-2</v>
      </c>
      <c r="E51" s="32">
        <f t="shared" si="15"/>
        <v>10021.594500169662</v>
      </c>
      <c r="F51" s="49">
        <v>3138.85</v>
      </c>
      <c r="G51" s="17">
        <v>-1.6299999999999999E-2</v>
      </c>
      <c r="H51" s="38">
        <f t="shared" si="1"/>
        <v>0.4051590403730625</v>
      </c>
      <c r="I51" s="32">
        <f t="shared" si="8"/>
        <v>41701.514567440296</v>
      </c>
      <c r="J51" s="48">
        <v>-3132.52</v>
      </c>
      <c r="K51" s="17">
        <v>-9.2200000000000004E-2</v>
      </c>
      <c r="L51" s="38">
        <f t="shared" si="2"/>
        <v>9.3474498259310104E-2</v>
      </c>
      <c r="M51" s="32">
        <f t="shared" si="9"/>
        <v>9620.9827806274916</v>
      </c>
      <c r="N51" s="48">
        <v>-18824.2</v>
      </c>
      <c r="O51" s="15">
        <v>-1.9E-3</v>
      </c>
      <c r="P51" s="38">
        <f t="shared" si="3"/>
        <v>0.1027725635523596</v>
      </c>
      <c r="Q51" s="31">
        <f t="shared" si="10"/>
        <v>10577.998092219917</v>
      </c>
      <c r="R51" s="49">
        <v>743.56</v>
      </c>
      <c r="S51" s="17">
        <v>-0.1038</v>
      </c>
      <c r="T51" s="38">
        <f t="shared" si="4"/>
        <v>2.7683989961822635E-2</v>
      </c>
      <c r="U51" s="31">
        <f t="shared" si="11"/>
        <v>2849.4102207735741</v>
      </c>
      <c r="V51" s="48">
        <v>-7625.9</v>
      </c>
      <c r="W51" s="25">
        <v>5.4000000000000003E-3</v>
      </c>
      <c r="X51" s="38">
        <f t="shared" si="5"/>
        <v>7.2466949028032163E-2</v>
      </c>
      <c r="Y51" s="31">
        <f t="shared" si="12"/>
        <v>7458.7537964544872</v>
      </c>
      <c r="Z51" s="49">
        <v>4503.97</v>
      </c>
      <c r="AA51" s="27">
        <v>-2.3599999999999999E-2</v>
      </c>
      <c r="AB51" s="38">
        <f t="shared" si="6"/>
        <v>0.20107624078618536</v>
      </c>
      <c r="AC51" s="31">
        <f t="shared" si="13"/>
        <v>20696.03032081014</v>
      </c>
      <c r="AD51" s="49">
        <v>21196.26</v>
      </c>
      <c r="AE51" s="37">
        <f t="shared" si="7"/>
        <v>102926.28427849557</v>
      </c>
      <c r="AF51" s="40">
        <f>AE51/AE50-1</f>
        <v>-2.8825814324883958E-2</v>
      </c>
      <c r="AG51" s="1"/>
      <c r="AH51" s="1"/>
      <c r="AI51" s="1"/>
      <c r="AJ51" s="1"/>
      <c r="AK51" s="1"/>
      <c r="AL51" s="1"/>
    </row>
    <row r="52" spans="1:38" x14ac:dyDescent="0.35">
      <c r="A52" s="1"/>
      <c r="B52" s="10" t="s">
        <v>44</v>
      </c>
      <c r="C52" s="20">
        <v>6.7400000000000002E-2</v>
      </c>
      <c r="D52" s="38">
        <f t="shared" si="0"/>
        <v>9.7463404905136178E-2</v>
      </c>
      <c r="E52" s="32">
        <f t="shared" si="15"/>
        <v>10697.049969481097</v>
      </c>
      <c r="F52" s="47">
        <v>0</v>
      </c>
      <c r="G52" s="19">
        <v>6.4799999999999996E-2</v>
      </c>
      <c r="H52" s="38">
        <f t="shared" si="1"/>
        <v>0.40457349376089391</v>
      </c>
      <c r="I52" s="32">
        <f t="shared" si="8"/>
        <v>44403.772711410427</v>
      </c>
      <c r="J52" s="47">
        <v>0</v>
      </c>
      <c r="K52" s="19">
        <v>7.6200000000000004E-2</v>
      </c>
      <c r="L52" s="38">
        <f t="shared" si="2"/>
        <v>9.4338720135568016E-2</v>
      </c>
      <c r="M52" s="32">
        <f t="shared" si="9"/>
        <v>10354.101668511306</v>
      </c>
      <c r="N52" s="47">
        <v>0</v>
      </c>
      <c r="O52" s="20">
        <v>6.9099999999999995E-2</v>
      </c>
      <c r="P52" s="38">
        <f t="shared" si="3"/>
        <v>0.1030384622987385</v>
      </c>
      <c r="Q52" s="31">
        <f t="shared" si="10"/>
        <v>11308.937760392313</v>
      </c>
      <c r="R52" s="47">
        <v>0</v>
      </c>
      <c r="S52" s="19">
        <v>0.1249</v>
      </c>
      <c r="T52" s="38">
        <f t="shared" si="4"/>
        <v>2.9204276358264478E-2</v>
      </c>
      <c r="U52" s="31">
        <f t="shared" si="11"/>
        <v>3205.3015573481935</v>
      </c>
      <c r="V52" s="47">
        <v>0</v>
      </c>
      <c r="W52" s="25">
        <v>6.8500000000000005E-2</v>
      </c>
      <c r="X52" s="38">
        <f t="shared" si="5"/>
        <v>7.2613664342060374E-2</v>
      </c>
      <c r="Y52" s="31">
        <f t="shared" si="12"/>
        <v>7969.6784315116192</v>
      </c>
      <c r="Z52" s="47">
        <v>0</v>
      </c>
      <c r="AA52" s="26">
        <v>5.4100000000000002E-2</v>
      </c>
      <c r="AB52" s="38">
        <f t="shared" si="6"/>
        <v>0.19876797819933834</v>
      </c>
      <c r="AC52" s="31">
        <f t="shared" si="13"/>
        <v>21815.685561165967</v>
      </c>
      <c r="AD52" s="47">
        <v>0</v>
      </c>
      <c r="AE52" s="37">
        <f t="shared" si="7"/>
        <v>109754.52765982095</v>
      </c>
      <c r="AF52" s="40">
        <f t="shared" si="14"/>
        <v>6.6341104502030568E-2</v>
      </c>
      <c r="AG52" s="1"/>
      <c r="AH52" s="1"/>
      <c r="AI52" s="1"/>
      <c r="AJ52" s="1"/>
      <c r="AK52" s="1"/>
      <c r="AL52" s="1"/>
    </row>
    <row r="53" spans="1:38" x14ac:dyDescent="0.35">
      <c r="A53" s="1"/>
      <c r="B53" s="11" t="s">
        <v>45</v>
      </c>
      <c r="C53" s="15">
        <v>-3.5400000000000001E-2</v>
      </c>
      <c r="D53" s="38">
        <f t="shared" si="0"/>
        <v>9.4964278917743061E-2</v>
      </c>
      <c r="E53" s="32">
        <f t="shared" si="15"/>
        <v>10318.374400561466</v>
      </c>
      <c r="F53" s="47">
        <v>0</v>
      </c>
      <c r="G53" s="19">
        <v>3.9E-2</v>
      </c>
      <c r="H53" s="38">
        <f t="shared" si="1"/>
        <v>0.42460432280320609</v>
      </c>
      <c r="I53" s="32">
        <f t="shared" si="8"/>
        <v>46135.519847155432</v>
      </c>
      <c r="J53" s="47">
        <v>0</v>
      </c>
      <c r="K53" s="17">
        <v>-5.3199999999999997E-2</v>
      </c>
      <c r="L53" s="38">
        <f t="shared" si="2"/>
        <v>9.022349929896209E-2</v>
      </c>
      <c r="M53" s="32">
        <f t="shared" si="9"/>
        <v>9803.2634597465039</v>
      </c>
      <c r="N53" s="47">
        <v>0</v>
      </c>
      <c r="O53" s="20">
        <v>2.9700000000000001E-2</v>
      </c>
      <c r="P53" s="38">
        <f t="shared" si="3"/>
        <v>0.10717204540837702</v>
      </c>
      <c r="Q53" s="31">
        <f t="shared" si="10"/>
        <v>11644.813211875964</v>
      </c>
      <c r="R53" s="47">
        <v>0</v>
      </c>
      <c r="S53" s="17">
        <v>-4.2200000000000001E-2</v>
      </c>
      <c r="T53" s="38">
        <f t="shared" si="4"/>
        <v>2.8254831392325697E-2</v>
      </c>
      <c r="U53" s="31">
        <f t="shared" si="11"/>
        <v>3070.0378316280999</v>
      </c>
      <c r="V53" s="47">
        <v>0</v>
      </c>
      <c r="W53" s="24">
        <v>-7.0499999999999993E-2</v>
      </c>
      <c r="X53" s="38">
        <f t="shared" si="5"/>
        <v>6.8177203809540815E-2</v>
      </c>
      <c r="Y53" s="31">
        <f t="shared" si="12"/>
        <v>7407.8161020900498</v>
      </c>
      <c r="Z53" s="47">
        <v>0</v>
      </c>
      <c r="AA53" s="27">
        <v>-7.0599999999999996E-2</v>
      </c>
      <c r="AB53" s="38">
        <f t="shared" si="6"/>
        <v>0.1866038183698453</v>
      </c>
      <c r="AC53" s="31">
        <f t="shared" si="13"/>
        <v>20275.49816054765</v>
      </c>
      <c r="AD53" s="47">
        <v>0</v>
      </c>
      <c r="AE53" s="37">
        <f t="shared" si="7"/>
        <v>108655.32301360516</v>
      </c>
      <c r="AF53" s="40">
        <f t="shared" si="14"/>
        <v>-1.0015118917214294E-2</v>
      </c>
      <c r="AG53" s="1"/>
      <c r="AH53" s="1"/>
      <c r="AI53" s="1"/>
      <c r="AJ53" s="1"/>
      <c r="AK53" s="1"/>
      <c r="AL53" s="1"/>
    </row>
    <row r="54" spans="1:38" x14ac:dyDescent="0.35">
      <c r="A54" s="1"/>
      <c r="B54" s="10" t="s">
        <v>46</v>
      </c>
      <c r="C54" s="15">
        <v>-3.5299999999999998E-2</v>
      </c>
      <c r="D54" s="38">
        <f t="shared" si="0"/>
        <v>9.4474527304055714E-2</v>
      </c>
      <c r="E54" s="32">
        <f t="shared" si="15"/>
        <v>10481.981036221647</v>
      </c>
      <c r="F54" s="49">
        <v>547.16</v>
      </c>
      <c r="G54" s="19">
        <v>6.3399999999999998E-2</v>
      </c>
      <c r="H54" s="38">
        <f t="shared" si="1"/>
        <v>0.41656139487499538</v>
      </c>
      <c r="I54" s="32">
        <f t="shared" si="8"/>
        <v>46217.62887946509</v>
      </c>
      <c r="J54" s="48">
        <v>-2673.39</v>
      </c>
      <c r="K54" s="17">
        <v>-2.2599999999999999E-2</v>
      </c>
      <c r="L54" s="38">
        <f t="shared" si="2"/>
        <v>9.5718249187917728E-2</v>
      </c>
      <c r="M54" s="32">
        <f t="shared" si="9"/>
        <v>10619.972403556234</v>
      </c>
      <c r="N54" s="49">
        <v>1062.27</v>
      </c>
      <c r="O54" s="20">
        <v>1.6500000000000001E-2</v>
      </c>
      <c r="P54" s="38">
        <f t="shared" si="3"/>
        <v>0.29864213859624184</v>
      </c>
      <c r="Q54" s="31">
        <f t="shared" si="10"/>
        <v>33134.447164871919</v>
      </c>
      <c r="R54" s="49">
        <v>20951.79</v>
      </c>
      <c r="S54" s="17">
        <v>-2.9499999999999998E-2</v>
      </c>
      <c r="T54" s="38">
        <f t="shared" si="4"/>
        <v>2.8512737250256111E-2</v>
      </c>
      <c r="U54" s="31">
        <f t="shared" si="11"/>
        <v>3163.4979255950707</v>
      </c>
      <c r="V54" s="49">
        <v>189.62</v>
      </c>
      <c r="W54" s="24">
        <v>-3.5900000000000001E-2</v>
      </c>
      <c r="X54" s="38">
        <f t="shared" si="5"/>
        <v>6.6090968551561338E-2</v>
      </c>
      <c r="Y54" s="31">
        <f t="shared" si="12"/>
        <v>7332.8155090250175</v>
      </c>
      <c r="Z54" s="49">
        <v>198.05</v>
      </c>
      <c r="AA54" s="27">
        <v>-4.9099999999999998E-2</v>
      </c>
      <c r="AB54" s="38">
        <f t="shared" si="6"/>
        <v>-1.5765028052477104E-8</v>
      </c>
      <c r="AC54" s="31">
        <f t="shared" si="13"/>
        <v>-1.7491352409706451E-3</v>
      </c>
      <c r="AD54" s="48">
        <v>-20275.5</v>
      </c>
      <c r="AE54" s="37">
        <f t="shared" si="7"/>
        <v>110950.34116959973</v>
      </c>
      <c r="AF54" s="40">
        <f t="shared" si="14"/>
        <v>2.1122003895816643E-2</v>
      </c>
      <c r="AG54" s="1"/>
      <c r="AH54" s="1"/>
      <c r="AI54" s="1"/>
      <c r="AJ54" s="1"/>
      <c r="AK54" s="1"/>
      <c r="AL54" s="1"/>
    </row>
    <row r="55" spans="1:38" x14ac:dyDescent="0.35">
      <c r="A55" s="1"/>
      <c r="B55" s="11" t="s">
        <v>47</v>
      </c>
      <c r="C55" s="15">
        <v>-2.3800000000000002E-2</v>
      </c>
      <c r="D55" s="38">
        <f t="shared" si="0"/>
        <v>9.4755195060318181E-2</v>
      </c>
      <c r="E55" s="32">
        <f t="shared" si="15"/>
        <v>10232.509887559572</v>
      </c>
      <c r="F55" s="47">
        <v>0</v>
      </c>
      <c r="G55" s="17">
        <v>-5.7000000000000002E-2</v>
      </c>
      <c r="H55" s="38">
        <f t="shared" si="1"/>
        <v>0.40358982693552931</v>
      </c>
      <c r="I55" s="32">
        <f t="shared" si="8"/>
        <v>43583.22403333558</v>
      </c>
      <c r="J55" s="47">
        <v>0</v>
      </c>
      <c r="K55" s="17">
        <v>-5.0099999999999999E-2</v>
      </c>
      <c r="L55" s="38">
        <f t="shared" si="2"/>
        <v>9.3416186209498084E-2</v>
      </c>
      <c r="M55" s="32">
        <f t="shared" si="9"/>
        <v>10087.911786138067</v>
      </c>
      <c r="N55" s="47">
        <v>0</v>
      </c>
      <c r="O55" s="20">
        <v>5.1999999999999998E-3</v>
      </c>
      <c r="P55" s="38">
        <f t="shared" si="3"/>
        <v>0.30842748027858696</v>
      </c>
      <c r="Q55" s="31">
        <f t="shared" si="10"/>
        <v>33306.746290129253</v>
      </c>
      <c r="R55" s="47">
        <v>0</v>
      </c>
      <c r="S55" s="17">
        <v>-7.5600000000000001E-2</v>
      </c>
      <c r="T55" s="38">
        <f t="shared" si="4"/>
        <v>2.7079980533984267E-2</v>
      </c>
      <c r="U55" s="31">
        <f t="shared" si="11"/>
        <v>2924.3374824200832</v>
      </c>
      <c r="V55" s="47">
        <v>0</v>
      </c>
      <c r="W55" s="25">
        <v>7.1099999999999997E-2</v>
      </c>
      <c r="X55" s="38">
        <f t="shared" si="5"/>
        <v>7.2731347650786954E-2</v>
      </c>
      <c r="Y55" s="31">
        <f t="shared" si="12"/>
        <v>7854.1786917166964</v>
      </c>
      <c r="Z55" s="47">
        <v>0</v>
      </c>
      <c r="AA55" s="26">
        <v>2.9100000000000001E-2</v>
      </c>
      <c r="AB55" s="38">
        <f t="shared" si="6"/>
        <v>-1.6668703637894051E-8</v>
      </c>
      <c r="AC55" s="31">
        <f t="shared" si="13"/>
        <v>-1.8000350764828909E-3</v>
      </c>
      <c r="AD55" s="47">
        <v>0</v>
      </c>
      <c r="AE55" s="37">
        <f t="shared" si="7"/>
        <v>107988.90637126417</v>
      </c>
      <c r="AF55" s="40">
        <f t="shared" si="14"/>
        <v>-2.669153395219126E-2</v>
      </c>
      <c r="AG55" s="1"/>
      <c r="AH55" s="1"/>
      <c r="AI55" s="1"/>
      <c r="AJ55" s="1"/>
      <c r="AK55" s="1"/>
      <c r="AL55" s="1"/>
    </row>
    <row r="56" spans="1:38" x14ac:dyDescent="0.35">
      <c r="A56" s="1"/>
      <c r="B56" s="10" t="s">
        <v>48</v>
      </c>
      <c r="C56" s="15">
        <v>-1.14E-2</v>
      </c>
      <c r="D56" s="38">
        <f t="shared" si="0"/>
        <v>9.3508028621733949E-2</v>
      </c>
      <c r="E56" s="32">
        <f t="shared" si="15"/>
        <v>10115.859274841394</v>
      </c>
      <c r="F56" s="47">
        <v>0</v>
      </c>
      <c r="G56" s="17">
        <v>-2.93E-2</v>
      </c>
      <c r="H56" s="38">
        <f t="shared" si="1"/>
        <v>0.39106640167656442</v>
      </c>
      <c r="I56" s="32">
        <f t="shared" si="8"/>
        <v>42306.235569158845</v>
      </c>
      <c r="J56" s="47">
        <v>0</v>
      </c>
      <c r="K56" s="17">
        <v>-1.14E-2</v>
      </c>
      <c r="L56" s="38">
        <f t="shared" si="2"/>
        <v>9.2186643785076308E-2</v>
      </c>
      <c r="M56" s="32">
        <f t="shared" si="9"/>
        <v>9972.9095917760933</v>
      </c>
      <c r="N56" s="47">
        <v>0</v>
      </c>
      <c r="O56" s="20">
        <v>6.1400000000000003E-2</v>
      </c>
      <c r="P56" s="38">
        <f t="shared" si="3"/>
        <v>0.32678146405207609</v>
      </c>
      <c r="Q56" s="31">
        <f t="shared" si="10"/>
        <v>35351.78051234319</v>
      </c>
      <c r="R56" s="47">
        <v>0</v>
      </c>
      <c r="S56" s="17">
        <v>-7.2099999999999997E-2</v>
      </c>
      <c r="T56" s="38">
        <f t="shared" si="4"/>
        <v>2.5082729092236258E-2</v>
      </c>
      <c r="U56" s="31">
        <f t="shared" si="11"/>
        <v>2713.4927499375954</v>
      </c>
      <c r="V56" s="47">
        <v>0</v>
      </c>
      <c r="W56" s="24">
        <v>-1.6899999999999998E-2</v>
      </c>
      <c r="X56" s="38">
        <f t="shared" si="5"/>
        <v>7.1374749306482355E-2</v>
      </c>
      <c r="Y56" s="31">
        <f t="shared" si="12"/>
        <v>7721.443071826684</v>
      </c>
      <c r="Z56" s="47">
        <v>0</v>
      </c>
      <c r="AA56" s="27">
        <v>-6.3E-3</v>
      </c>
      <c r="AB56" s="38">
        <f t="shared" si="6"/>
        <v>-1.6534169287992862E-8</v>
      </c>
      <c r="AC56" s="31">
        <f t="shared" si="13"/>
        <v>-1.7886948555010487E-3</v>
      </c>
      <c r="AD56" s="47">
        <v>0</v>
      </c>
      <c r="AE56" s="37">
        <f t="shared" si="7"/>
        <v>108181.71898118894</v>
      </c>
      <c r="AF56" s="40">
        <f t="shared" si="14"/>
        <v>1.7854853466325871E-3</v>
      </c>
      <c r="AG56" s="1"/>
      <c r="AH56" s="1"/>
      <c r="AI56" s="1"/>
      <c r="AJ56" s="1"/>
      <c r="AK56" s="1"/>
      <c r="AL56" s="1"/>
    </row>
    <row r="57" spans="1:38" x14ac:dyDescent="0.35">
      <c r="A57" s="1"/>
      <c r="B57" s="9" t="s">
        <v>49</v>
      </c>
      <c r="C57" s="15">
        <v>-7.2800000000000004E-2</v>
      </c>
      <c r="D57" s="38">
        <f t="shared" si="0"/>
        <v>9.4035542800205749E-2</v>
      </c>
      <c r="E57" s="32">
        <f t="shared" si="15"/>
        <v>10030.60655163294</v>
      </c>
      <c r="F57" s="49">
        <v>702.31</v>
      </c>
      <c r="G57" s="17">
        <v>-0.10050000000000001</v>
      </c>
      <c r="H57" s="38">
        <f t="shared" si="1"/>
        <v>0.31929187005542997</v>
      </c>
      <c r="I57" s="32">
        <f t="shared" si="8"/>
        <v>34058.304214458381</v>
      </c>
      <c r="J57" s="48">
        <v>-4442.6400000000003</v>
      </c>
      <c r="K57" s="17">
        <v>-7.7100000000000002E-2</v>
      </c>
      <c r="L57" s="38">
        <f t="shared" si="2"/>
        <v>6.5519618782041156E-2</v>
      </c>
      <c r="M57" s="32">
        <f t="shared" si="9"/>
        <v>6988.8629112501567</v>
      </c>
      <c r="N57" s="48">
        <v>-2400.19</v>
      </c>
      <c r="O57" s="20">
        <v>9.6100000000000005E-2</v>
      </c>
      <c r="P57" s="38">
        <f t="shared" si="3"/>
        <v>0.38907822619004978</v>
      </c>
      <c r="Q57" s="31">
        <f t="shared" si="10"/>
        <v>41502.292521579373</v>
      </c>
      <c r="R57" s="49">
        <v>2511.8200000000002</v>
      </c>
      <c r="S57" s="17">
        <v>-2.01E-2</v>
      </c>
      <c r="T57" s="38">
        <f t="shared" si="4"/>
        <v>2.9814112678316969E-2</v>
      </c>
      <c r="U57" s="31">
        <f t="shared" si="11"/>
        <v>3180.2191496638497</v>
      </c>
      <c r="V57" s="49">
        <v>531.96</v>
      </c>
      <c r="W57" s="25">
        <v>8.3000000000000001E-3</v>
      </c>
      <c r="X57" s="38">
        <f t="shared" si="5"/>
        <v>0.10226064612186458</v>
      </c>
      <c r="Y57" s="31">
        <f t="shared" si="12"/>
        <v>10907.963908322845</v>
      </c>
      <c r="Z57" s="49">
        <v>3096.73</v>
      </c>
      <c r="AA57" s="27">
        <v>-8.3999999999999995E-3</v>
      </c>
      <c r="AB57" s="38">
        <f t="shared" si="6"/>
        <v>-1.6627908122270045E-8</v>
      </c>
      <c r="AC57" s="31">
        <f t="shared" si="13"/>
        <v>-1.7736698187148399E-3</v>
      </c>
      <c r="AD57" s="47">
        <v>0</v>
      </c>
      <c r="AE57" s="37">
        <f t="shared" si="7"/>
        <v>106668.24748323772</v>
      </c>
      <c r="AF57" s="40">
        <f t="shared" si="14"/>
        <v>-1.3990085498774452E-2</v>
      </c>
      <c r="AG57" s="1"/>
      <c r="AH57" s="1"/>
      <c r="AI57" s="1"/>
      <c r="AJ57" s="1"/>
      <c r="AK57" s="1"/>
      <c r="AL57" s="1"/>
    </row>
    <row r="58" spans="1:38" x14ac:dyDescent="0.35">
      <c r="A58" s="1"/>
      <c r="B58" s="10" t="s">
        <v>50</v>
      </c>
      <c r="C58" s="15">
        <v>-8.3000000000000004E-2</v>
      </c>
      <c r="D58" s="38">
        <f t="shared" si="0"/>
        <v>8.8982473375798191E-2</v>
      </c>
      <c r="E58" s="32">
        <f t="shared" si="15"/>
        <v>9198.0662078474052</v>
      </c>
      <c r="F58" s="47">
        <v>0</v>
      </c>
      <c r="G58" s="17">
        <v>-3.1E-2</v>
      </c>
      <c r="H58" s="38">
        <f t="shared" si="1"/>
        <v>0.31926752048108031</v>
      </c>
      <c r="I58" s="32">
        <f t="shared" si="8"/>
        <v>33002.496783810173</v>
      </c>
      <c r="J58" s="47">
        <v>0</v>
      </c>
      <c r="K58" s="17">
        <v>-7.7799999999999994E-2</v>
      </c>
      <c r="L58" s="38">
        <f t="shared" si="2"/>
        <v>6.2350448475939207E-2</v>
      </c>
      <c r="M58" s="32">
        <f t="shared" si="9"/>
        <v>6445.1293767548941</v>
      </c>
      <c r="N58" s="47">
        <v>0</v>
      </c>
      <c r="O58" s="20">
        <v>4.0000000000000002E-4</v>
      </c>
      <c r="P58" s="38">
        <f t="shared" si="3"/>
        <v>0.40165549437335057</v>
      </c>
      <c r="Q58" s="31">
        <f t="shared" si="10"/>
        <v>41518.893438588006</v>
      </c>
      <c r="R58" s="47">
        <v>0</v>
      </c>
      <c r="S58" s="17">
        <v>-8.0199999999999994E-2</v>
      </c>
      <c r="T58" s="38">
        <f t="shared" si="4"/>
        <v>2.8298172889188782E-2</v>
      </c>
      <c r="U58" s="31">
        <f t="shared" si="11"/>
        <v>2925.1655738608092</v>
      </c>
      <c r="V58" s="47">
        <v>0</v>
      </c>
      <c r="W58" s="24">
        <v>-5.7599999999999998E-2</v>
      </c>
      <c r="X58" s="38">
        <f t="shared" si="5"/>
        <v>9.9445906689827709E-2</v>
      </c>
      <c r="Y58" s="31">
        <f t="shared" si="12"/>
        <v>10279.665187203449</v>
      </c>
      <c r="Z58" s="47">
        <v>0</v>
      </c>
      <c r="AA58" s="27">
        <v>-5.0900000000000001E-2</v>
      </c>
      <c r="AB58" s="38">
        <f t="shared" si="6"/>
        <v>-1.6285184808488547E-8</v>
      </c>
      <c r="AC58" s="31">
        <f t="shared" si="13"/>
        <v>-1.6833900249422545E-3</v>
      </c>
      <c r="AD58" s="47">
        <v>0</v>
      </c>
      <c r="AE58" s="37">
        <f t="shared" si="7"/>
        <v>103369.41488467471</v>
      </c>
      <c r="AF58" s="40">
        <f t="shared" si="14"/>
        <v>-3.092609728196194E-2</v>
      </c>
      <c r="AG58" s="1"/>
      <c r="AH58" s="1"/>
      <c r="AI58" s="1"/>
      <c r="AJ58" s="1"/>
      <c r="AK58" s="1"/>
      <c r="AL58" s="1"/>
    </row>
    <row r="59" spans="1:38" x14ac:dyDescent="0.35">
      <c r="A59" s="1"/>
      <c r="B59" s="11" t="s">
        <v>51</v>
      </c>
      <c r="C59" s="20">
        <v>3.6799999999999999E-2</v>
      </c>
      <c r="D59" s="38">
        <f t="shared" si="0"/>
        <v>9.1543887113765002E-2</v>
      </c>
      <c r="E59" s="32">
        <f t="shared" si="15"/>
        <v>9536.5550442961903</v>
      </c>
      <c r="F59" s="47">
        <v>0</v>
      </c>
      <c r="G59" s="19">
        <v>3.8999999999999998E-3</v>
      </c>
      <c r="H59" s="38">
        <f t="shared" si="1"/>
        <v>0.31803512019151153</v>
      </c>
      <c r="I59" s="32">
        <f t="shared" si="8"/>
        <v>33131.206521267035</v>
      </c>
      <c r="J59" s="47">
        <v>0</v>
      </c>
      <c r="K59" s="19">
        <v>3.44E-2</v>
      </c>
      <c r="L59" s="38">
        <f t="shared" si="2"/>
        <v>6.3996759082316682E-2</v>
      </c>
      <c r="M59" s="32">
        <f t="shared" si="9"/>
        <v>6666.8418273152629</v>
      </c>
      <c r="N59" s="47">
        <v>0</v>
      </c>
      <c r="O59" s="15">
        <v>-1.9599999999999999E-2</v>
      </c>
      <c r="P59" s="38">
        <f t="shared" si="3"/>
        <v>0.39073912741019012</v>
      </c>
      <c r="Q59" s="31">
        <f t="shared" si="10"/>
        <v>40705.123127191684</v>
      </c>
      <c r="R59" s="47">
        <v>0</v>
      </c>
      <c r="S59" s="19">
        <v>0.1022</v>
      </c>
      <c r="T59" s="38">
        <f t="shared" si="4"/>
        <v>3.0949147431068812E-2</v>
      </c>
      <c r="U59" s="31">
        <f t="shared" si="11"/>
        <v>3224.1174955093838</v>
      </c>
      <c r="V59" s="47">
        <v>0</v>
      </c>
      <c r="W59" s="25">
        <v>6.1400000000000003E-2</v>
      </c>
      <c r="X59" s="38">
        <f t="shared" si="5"/>
        <v>0.10473597563337887</v>
      </c>
      <c r="Y59" s="31">
        <f t="shared" si="12"/>
        <v>10910.83662969774</v>
      </c>
      <c r="Z59" s="47">
        <v>0</v>
      </c>
      <c r="AA59" s="26">
        <v>4.3499999999999997E-2</v>
      </c>
      <c r="AB59" s="38">
        <f t="shared" si="6"/>
        <v>-1.6862230916062499E-8</v>
      </c>
      <c r="AC59" s="31">
        <f t="shared" si="13"/>
        <v>-1.7566174910272426E-3</v>
      </c>
      <c r="AD59" s="47">
        <v>0</v>
      </c>
      <c r="AE59" s="37">
        <f t="shared" si="7"/>
        <v>104174.67888865979</v>
      </c>
      <c r="AF59" s="40">
        <f t="shared" si="14"/>
        <v>7.7901573195851004E-3</v>
      </c>
      <c r="AG59" s="1"/>
      <c r="AH59" s="1"/>
      <c r="AI59" s="1"/>
      <c r="AJ59" s="1"/>
      <c r="AK59" s="1"/>
      <c r="AL59" s="1"/>
    </row>
    <row r="60" spans="1:38" x14ac:dyDescent="0.35">
      <c r="A60" s="1"/>
      <c r="B60" s="10" t="s">
        <v>52</v>
      </c>
      <c r="C60" s="20">
        <v>2.41E-2</v>
      </c>
      <c r="D60" s="38">
        <f t="shared" si="0"/>
        <v>7.3661251582505319E-2</v>
      </c>
      <c r="E60" s="32">
        <f t="shared" si="15"/>
        <v>7467.9676678637279</v>
      </c>
      <c r="F60" s="48">
        <v>-2244.33</v>
      </c>
      <c r="G60" s="19">
        <v>6.7000000000000004E-2</v>
      </c>
      <c r="H60" s="38">
        <f t="shared" si="1"/>
        <v>0.10963852836310491</v>
      </c>
      <c r="I60" s="32">
        <f t="shared" si="8"/>
        <v>11115.436778191925</v>
      </c>
      <c r="J60" s="48">
        <v>-22713.74</v>
      </c>
      <c r="K60" s="19">
        <v>2.2200000000000001E-2</v>
      </c>
      <c r="L60" s="38">
        <f t="shared" si="2"/>
        <v>3.1510563482288055E-2</v>
      </c>
      <c r="M60" s="32">
        <f t="shared" si="9"/>
        <v>3194.6221958816618</v>
      </c>
      <c r="N60" s="48">
        <v>-3541.6</v>
      </c>
      <c r="O60" s="15">
        <v>-6.7000000000000004E-2</v>
      </c>
      <c r="P60" s="38">
        <f t="shared" si="3"/>
        <v>0.33554331352960987</v>
      </c>
      <c r="Q60" s="31">
        <f t="shared" si="10"/>
        <v>34018.246537669838</v>
      </c>
      <c r="R60" s="48">
        <v>-4243.9799999999996</v>
      </c>
      <c r="S60" s="19">
        <v>0.04</v>
      </c>
      <c r="T60" s="38">
        <f t="shared" si="4"/>
        <v>0.10686418009481698</v>
      </c>
      <c r="U60" s="31">
        <f t="shared" si="11"/>
        <v>10834.166195329759</v>
      </c>
      <c r="V60" s="49">
        <v>7193.35</v>
      </c>
      <c r="W60" s="24">
        <v>-5.0599999999999999E-2</v>
      </c>
      <c r="X60" s="38">
        <f t="shared" si="5"/>
        <v>0.2926639429862955</v>
      </c>
      <c r="Y60" s="31">
        <f t="shared" si="12"/>
        <v>29671.025360235035</v>
      </c>
      <c r="Z60" s="49">
        <v>20341.560000000001</v>
      </c>
      <c r="AA60" s="27">
        <v>-2.4500000000000001E-2</v>
      </c>
      <c r="AB60" s="38">
        <f t="shared" si="6"/>
        <v>5.0118219961379259E-2</v>
      </c>
      <c r="AC60" s="31">
        <f t="shared" si="13"/>
        <v>5081.114401419637</v>
      </c>
      <c r="AD60" s="49">
        <v>5208.7299999999996</v>
      </c>
      <c r="AE60" s="37">
        <f t="shared" si="7"/>
        <v>101382.57913659159</v>
      </c>
      <c r="AF60" s="40">
        <f t="shared" si="14"/>
        <v>-2.6802096074155846E-2</v>
      </c>
      <c r="AG60" s="1"/>
      <c r="AH60" s="1"/>
      <c r="AI60" s="1"/>
      <c r="AJ60" s="1"/>
      <c r="AK60" s="1"/>
      <c r="AL60" s="1"/>
    </row>
    <row r="61" spans="1:38" x14ac:dyDescent="0.35">
      <c r="A61" s="1"/>
      <c r="B61" s="11" t="s">
        <v>53</v>
      </c>
      <c r="C61" s="15">
        <v>-2.9600000000000001E-2</v>
      </c>
      <c r="D61" s="38">
        <f t="shared" si="0"/>
        <v>7.43503877965173E-2</v>
      </c>
      <c r="E61" s="32">
        <f t="shared" si="15"/>
        <v>7246.9158248949616</v>
      </c>
      <c r="F61" s="47">
        <v>0</v>
      </c>
      <c r="G61" s="17">
        <v>-9.4999999999999998E-3</v>
      </c>
      <c r="H61" s="38">
        <f t="shared" si="1"/>
        <v>0.11295644974125749</v>
      </c>
      <c r="I61" s="32">
        <f t="shared" si="8"/>
        <v>11009.840128799102</v>
      </c>
      <c r="J61" s="47">
        <v>0</v>
      </c>
      <c r="K61" s="19">
        <v>4.1000000000000003E-3</v>
      </c>
      <c r="L61" s="38">
        <f t="shared" si="2"/>
        <v>3.2909894722979123E-2</v>
      </c>
      <c r="M61" s="32">
        <f t="shared" si="9"/>
        <v>3207.7201468847766</v>
      </c>
      <c r="N61" s="47">
        <v>0</v>
      </c>
      <c r="O61" s="15">
        <v>-2.6200000000000001E-2</v>
      </c>
      <c r="P61" s="38">
        <f t="shared" si="3"/>
        <v>0.33986912672971081</v>
      </c>
      <c r="Q61" s="31">
        <f t="shared" si="10"/>
        <v>33126.968478382885</v>
      </c>
      <c r="R61" s="47">
        <v>0</v>
      </c>
      <c r="S61" s="17">
        <v>-4.19E-2</v>
      </c>
      <c r="T61" s="38">
        <f t="shared" si="4"/>
        <v>0.10649675005608927</v>
      </c>
      <c r="U61" s="31">
        <f t="shared" si="11"/>
        <v>10380.214631745443</v>
      </c>
      <c r="V61" s="47">
        <v>0</v>
      </c>
      <c r="W61" s="24">
        <v>-6.9099999999999995E-2</v>
      </c>
      <c r="X61" s="38">
        <f t="shared" si="5"/>
        <v>0.28337765769087625</v>
      </c>
      <c r="Y61" s="31">
        <f t="shared" si="12"/>
        <v>27620.757507842794</v>
      </c>
      <c r="Z61" s="47">
        <v>0</v>
      </c>
      <c r="AA61" s="27">
        <v>-4.0099999999999997E-2</v>
      </c>
      <c r="AB61" s="38">
        <f t="shared" si="6"/>
        <v>5.0039733262569788E-2</v>
      </c>
      <c r="AC61" s="31">
        <f t="shared" si="13"/>
        <v>4877.3617139227099</v>
      </c>
      <c r="AD61" s="47">
        <v>0</v>
      </c>
      <c r="AE61" s="37">
        <f t="shared" si="7"/>
        <v>97469.778432472667</v>
      </c>
      <c r="AF61" s="40">
        <f t="shared" si="14"/>
        <v>-3.8594408797267388E-2</v>
      </c>
      <c r="AG61" s="1"/>
      <c r="AH61" s="1"/>
      <c r="AI61" s="1"/>
      <c r="AJ61" s="1"/>
      <c r="AK61" s="1"/>
      <c r="AL61" s="1"/>
    </row>
    <row r="62" spans="1:38" x14ac:dyDescent="0.35">
      <c r="A62" s="1"/>
      <c r="B62" s="10" t="s">
        <v>54</v>
      </c>
      <c r="C62" s="15">
        <v>-0.11</v>
      </c>
      <c r="D62" s="38">
        <f t="shared" si="0"/>
        <v>6.8772284364011158E-2</v>
      </c>
      <c r="E62" s="32">
        <f t="shared" si="15"/>
        <v>6449.7550841565162</v>
      </c>
      <c r="F62" s="47">
        <v>0</v>
      </c>
      <c r="G62" s="17">
        <v>-0.1265</v>
      </c>
      <c r="H62" s="38">
        <f t="shared" si="1"/>
        <v>0.10254491956803485</v>
      </c>
      <c r="I62" s="32">
        <f t="shared" si="8"/>
        <v>9617.0953525060158</v>
      </c>
      <c r="J62" s="47">
        <v>0</v>
      </c>
      <c r="K62" s="17">
        <v>-9.9500000000000005E-2</v>
      </c>
      <c r="L62" s="38">
        <f t="shared" si="2"/>
        <v>3.0799978669048156E-2</v>
      </c>
      <c r="M62" s="32">
        <f t="shared" si="9"/>
        <v>2888.5519922697413</v>
      </c>
      <c r="N62" s="47">
        <v>0</v>
      </c>
      <c r="O62" s="20">
        <v>1.5699999999999999E-2</v>
      </c>
      <c r="P62" s="38">
        <f t="shared" si="3"/>
        <v>0.3587710351280281</v>
      </c>
      <c r="Q62" s="31">
        <f t="shared" si="10"/>
        <v>33647.061883493494</v>
      </c>
      <c r="R62" s="47">
        <v>0</v>
      </c>
      <c r="S62" s="17">
        <v>-0.1411</v>
      </c>
      <c r="T62" s="38">
        <f t="shared" si="4"/>
        <v>9.5064673944352696E-2</v>
      </c>
      <c r="U62" s="31">
        <f t="shared" si="11"/>
        <v>8915.5663472061606</v>
      </c>
      <c r="V62" s="47">
        <v>0</v>
      </c>
      <c r="W62" s="24">
        <v>-4.0000000000000001E-3</v>
      </c>
      <c r="X62" s="38">
        <f t="shared" si="5"/>
        <v>0.29333585456097516</v>
      </c>
      <c r="Y62" s="31">
        <f t="shared" si="12"/>
        <v>27510.274477811425</v>
      </c>
      <c r="Z62" s="47">
        <v>0</v>
      </c>
      <c r="AA62" s="27">
        <v>-2.4899999999999999E-2</v>
      </c>
      <c r="AB62" s="38">
        <f t="shared" si="6"/>
        <v>5.0711253765549816E-2</v>
      </c>
      <c r="AC62" s="31">
        <f t="shared" si="13"/>
        <v>4755.9154072460342</v>
      </c>
      <c r="AD62" s="47">
        <v>0</v>
      </c>
      <c r="AE62" s="37">
        <f t="shared" si="7"/>
        <v>93784.220544689393</v>
      </c>
      <c r="AF62" s="40">
        <f t="shared" si="14"/>
        <v>-3.7812314207081532E-2</v>
      </c>
      <c r="AG62" s="1"/>
      <c r="AH62" s="1"/>
      <c r="AI62" s="1"/>
      <c r="AJ62" s="1"/>
      <c r="AK62" s="1"/>
      <c r="AL62" s="1"/>
    </row>
    <row r="63" spans="1:38" x14ac:dyDescent="0.35">
      <c r="A63" s="1"/>
      <c r="B63" s="11" t="s">
        <v>55</v>
      </c>
      <c r="C63" s="15">
        <v>-3.04E-2</v>
      </c>
      <c r="D63" s="38">
        <f t="shared" si="0"/>
        <v>2.9236008300978195E-2</v>
      </c>
      <c r="E63" s="32">
        <f t="shared" si="15"/>
        <v>2727.9939215981581</v>
      </c>
      <c r="F63" s="48">
        <v>-3636.23</v>
      </c>
      <c r="G63" s="17">
        <v>-7.46E-2</v>
      </c>
      <c r="H63" s="38">
        <f t="shared" si="1"/>
        <v>3.0270284314821934E-2</v>
      </c>
      <c r="I63" s="32">
        <f t="shared" si="8"/>
        <v>2824.5015792090671</v>
      </c>
      <c r="J63" s="48">
        <v>-6564.9</v>
      </c>
      <c r="K63" s="19">
        <v>1.15E-2</v>
      </c>
      <c r="L63" s="38">
        <f t="shared" si="2"/>
        <v>0.1016647356459589</v>
      </c>
      <c r="M63" s="32">
        <f t="shared" si="9"/>
        <v>9486.2738451808436</v>
      </c>
      <c r="N63" s="49">
        <v>6489.87</v>
      </c>
      <c r="O63" s="15">
        <v>-3.2599999999999997E-2</v>
      </c>
      <c r="P63" s="38">
        <f t="shared" si="3"/>
        <v>9.7232292756476768E-2</v>
      </c>
      <c r="Q63" s="31">
        <f t="shared" si="10"/>
        <v>9072.6853300916046</v>
      </c>
      <c r="R63" s="48">
        <v>-24268.639999999999</v>
      </c>
      <c r="S63" s="19">
        <v>9.7999999999999997E-3</v>
      </c>
      <c r="T63" s="38">
        <f t="shared" si="4"/>
        <v>0.10149380945280108</v>
      </c>
      <c r="U63" s="31">
        <f t="shared" si="11"/>
        <v>9470.3248274087819</v>
      </c>
      <c r="V63" s="49">
        <v>462.85</v>
      </c>
      <c r="W63" s="24">
        <v>-2.7799999999999998E-2</v>
      </c>
      <c r="X63" s="38">
        <f t="shared" si="5"/>
        <v>9.7714762422076828E-2</v>
      </c>
      <c r="Y63" s="31">
        <f t="shared" si="12"/>
        <v>9117.7042773282701</v>
      </c>
      <c r="Z63" s="48">
        <v>-18131.849999999999</v>
      </c>
      <c r="AA63" s="27">
        <v>-2.01E-2</v>
      </c>
      <c r="AB63" s="38">
        <f t="shared" si="6"/>
        <v>0.54238810710688634</v>
      </c>
      <c r="AC63" s="31">
        <f t="shared" si="13"/>
        <v>50609.900096560392</v>
      </c>
      <c r="AD63" s="49">
        <v>46892.11</v>
      </c>
      <c r="AE63" s="37">
        <f t="shared" si="7"/>
        <v>93309.383877377113</v>
      </c>
      <c r="AF63" s="40">
        <f t="shared" si="14"/>
        <v>-5.0630763315456795E-3</v>
      </c>
      <c r="AG63" s="1"/>
      <c r="AH63" s="1"/>
      <c r="AI63" s="1"/>
      <c r="AJ63" s="1"/>
      <c r="AK63" s="1"/>
      <c r="AL63" s="1"/>
    </row>
    <row r="64" spans="1:38" x14ac:dyDescent="0.35">
      <c r="A64" s="1"/>
      <c r="B64" s="10" t="s">
        <v>56</v>
      </c>
      <c r="C64" s="20">
        <v>5.9499999999999997E-2</v>
      </c>
      <c r="D64" s="38">
        <f t="shared" si="0"/>
        <v>2.9662840831420876E-2</v>
      </c>
      <c r="E64" s="32">
        <f t="shared" si="15"/>
        <v>2890.3095599332482</v>
      </c>
      <c r="F64" s="47">
        <v>0</v>
      </c>
      <c r="G64" s="17">
        <v>-1.9400000000000001E-2</v>
      </c>
      <c r="H64" s="38">
        <f t="shared" si="1"/>
        <v>2.8425105995598856E-2</v>
      </c>
      <c r="I64" s="32">
        <f t="shared" si="8"/>
        <v>2769.7062485724114</v>
      </c>
      <c r="J64" s="47">
        <v>0</v>
      </c>
      <c r="K64" s="19">
        <v>8.4199999999999997E-2</v>
      </c>
      <c r="L64" s="38">
        <f t="shared" si="2"/>
        <v>0.1055536954121232</v>
      </c>
      <c r="M64" s="32">
        <f t="shared" si="9"/>
        <v>10285.01810294507</v>
      </c>
      <c r="N64" s="47">
        <v>0</v>
      </c>
      <c r="O64" s="15">
        <v>-4.8500000000000001E-2</v>
      </c>
      <c r="P64" s="38">
        <f t="shared" si="3"/>
        <v>8.8595777351362578E-2</v>
      </c>
      <c r="Q64" s="31">
        <f t="shared" si="10"/>
        <v>8632.6600915821618</v>
      </c>
      <c r="R64" s="47">
        <v>0</v>
      </c>
      <c r="S64" s="19">
        <v>7.1599999999999997E-2</v>
      </c>
      <c r="T64" s="38">
        <f t="shared" si="4"/>
        <v>0.10415160389373851</v>
      </c>
      <c r="U64" s="31">
        <f t="shared" si="11"/>
        <v>10148.400085051251</v>
      </c>
      <c r="V64" s="47">
        <v>0</v>
      </c>
      <c r="W64" s="25">
        <v>7.1499999999999994E-2</v>
      </c>
      <c r="X64" s="38">
        <f t="shared" si="5"/>
        <v>0.10026423847831056</v>
      </c>
      <c r="Y64" s="31">
        <f t="shared" si="12"/>
        <v>9769.6201331572411</v>
      </c>
      <c r="Z64" s="47">
        <v>0</v>
      </c>
      <c r="AA64" s="26">
        <v>4.6100000000000002E-2</v>
      </c>
      <c r="AB64" s="38">
        <f t="shared" si="6"/>
        <v>0.54334673803744526</v>
      </c>
      <c r="AC64" s="31">
        <f t="shared" si="13"/>
        <v>52943.016491011826</v>
      </c>
      <c r="AD64" s="47">
        <v>0</v>
      </c>
      <c r="AE64" s="37">
        <f t="shared" si="7"/>
        <v>97438.730712253222</v>
      </c>
      <c r="AF64" s="40">
        <f t="shared" si="14"/>
        <v>4.425435752852791E-2</v>
      </c>
      <c r="AG64" s="1"/>
      <c r="AH64" s="1"/>
      <c r="AI64" s="1"/>
      <c r="AJ64" s="1"/>
      <c r="AK64" s="1"/>
      <c r="AL64" s="1"/>
    </row>
    <row r="65" spans="1:38" x14ac:dyDescent="0.35">
      <c r="A65" s="1"/>
      <c r="B65" s="11" t="s">
        <v>57</v>
      </c>
      <c r="C65" s="20">
        <v>9.11E-2</v>
      </c>
      <c r="D65" s="38">
        <f t="shared" si="0"/>
        <v>2.7224435926871713E-2</v>
      </c>
      <c r="E65" s="32">
        <f t="shared" si="15"/>
        <v>3153.616760843167</v>
      </c>
      <c r="F65" s="47">
        <v>0</v>
      </c>
      <c r="G65" s="19">
        <v>2.3900000000000001E-2</v>
      </c>
      <c r="H65" s="38">
        <f t="shared" si="1"/>
        <v>2.4481680671324189E-2</v>
      </c>
      <c r="I65" s="32">
        <f t="shared" si="8"/>
        <v>2835.9022279132919</v>
      </c>
      <c r="J65" s="47">
        <v>0</v>
      </c>
      <c r="K65" s="19">
        <v>0.1047</v>
      </c>
      <c r="L65" s="38">
        <f t="shared" si="2"/>
        <v>9.8084275731564571E-2</v>
      </c>
      <c r="M65" s="32">
        <f t="shared" si="9"/>
        <v>11361.85949832342</v>
      </c>
      <c r="N65" s="47">
        <v>0</v>
      </c>
      <c r="O65" s="20">
        <v>0.2581</v>
      </c>
      <c r="P65" s="38">
        <f t="shared" si="3"/>
        <v>9.375831170766942E-2</v>
      </c>
      <c r="Q65" s="31">
        <f t="shared" si="10"/>
        <v>10860.749661219517</v>
      </c>
      <c r="R65" s="47">
        <v>0</v>
      </c>
      <c r="S65" s="19">
        <v>0.18310000000000001</v>
      </c>
      <c r="T65" s="38">
        <f t="shared" si="4"/>
        <v>0.10364992918682692</v>
      </c>
      <c r="U65" s="31">
        <f t="shared" si="11"/>
        <v>12006.572140624135</v>
      </c>
      <c r="V65" s="47">
        <v>0</v>
      </c>
      <c r="W65" s="25">
        <v>0.21340000000000001</v>
      </c>
      <c r="X65" s="38">
        <f t="shared" si="5"/>
        <v>0.10233675535519239</v>
      </c>
      <c r="Y65" s="31">
        <f t="shared" si="12"/>
        <v>11854.457069572996</v>
      </c>
      <c r="Z65" s="47">
        <v>0</v>
      </c>
      <c r="AA65" s="26">
        <v>0.2044</v>
      </c>
      <c r="AB65" s="38">
        <f t="shared" si="6"/>
        <v>0.55046461142055081</v>
      </c>
      <c r="AC65" s="31">
        <f t="shared" si="13"/>
        <v>63764.569061774644</v>
      </c>
      <c r="AD65" s="47">
        <v>0</v>
      </c>
      <c r="AE65" s="37">
        <f t="shared" si="7"/>
        <v>115837.72642027117</v>
      </c>
      <c r="AF65" s="40">
        <f t="shared" si="14"/>
        <v>0.1888263072961418</v>
      </c>
      <c r="AG65" s="1"/>
      <c r="AH65" s="1"/>
      <c r="AI65" s="1"/>
      <c r="AJ65" s="1"/>
      <c r="AK65" s="1"/>
      <c r="AL65" s="1"/>
    </row>
    <row r="66" spans="1:38" x14ac:dyDescent="0.35">
      <c r="A66" s="1"/>
      <c r="B66" s="10" t="s">
        <v>58</v>
      </c>
      <c r="C66" s="15">
        <v>-0.1089</v>
      </c>
      <c r="D66" s="38">
        <f t="shared" si="0"/>
        <v>7.052660013426644E-2</v>
      </c>
      <c r="E66" s="32">
        <f t="shared" si="15"/>
        <v>7225.6062175873467</v>
      </c>
      <c r="F66" s="49">
        <v>4955.0200000000004</v>
      </c>
      <c r="G66" s="17">
        <v>-0.20150000000000001</v>
      </c>
      <c r="H66" s="38">
        <f t="shared" si="1"/>
        <v>2.7084755113483485E-2</v>
      </c>
      <c r="I66" s="32">
        <f t="shared" si="8"/>
        <v>2774.8930839887635</v>
      </c>
      <c r="J66" s="49">
        <v>639.23</v>
      </c>
      <c r="K66" s="17">
        <v>-0.15190000000000001</v>
      </c>
      <c r="L66" s="38">
        <f t="shared" si="2"/>
        <v>0.33561691998960297</v>
      </c>
      <c r="M66" s="32">
        <f t="shared" si="9"/>
        <v>34384.695975528091</v>
      </c>
      <c r="N66" s="49">
        <v>29181.35</v>
      </c>
      <c r="O66" s="15">
        <v>-0.10829999999999999</v>
      </c>
      <c r="P66" s="38">
        <f t="shared" si="3"/>
        <v>0.12098423262130192</v>
      </c>
      <c r="Q66" s="31">
        <f t="shared" si="10"/>
        <v>12395.102298909444</v>
      </c>
      <c r="R66" s="49">
        <v>3039.78</v>
      </c>
      <c r="S66" s="17">
        <v>-0.26750000000000002</v>
      </c>
      <c r="T66" s="38">
        <f t="shared" si="4"/>
        <v>0.14907638286740438</v>
      </c>
      <c r="U66" s="31">
        <f t="shared" si="11"/>
        <v>15273.205243007178</v>
      </c>
      <c r="V66" s="49">
        <v>8844.2199999999993</v>
      </c>
      <c r="W66" s="25">
        <v>4.9700000000000001E-2</v>
      </c>
      <c r="X66" s="38">
        <f t="shared" si="5"/>
        <v>0.29671111906259301</v>
      </c>
      <c r="Y66" s="31">
        <f t="shared" si="12"/>
        <v>30398.710594930773</v>
      </c>
      <c r="Z66" s="49">
        <v>17104.97</v>
      </c>
      <c r="AA66" s="26">
        <v>6.8900000000000003E-2</v>
      </c>
      <c r="AB66" s="38">
        <f t="shared" si="6"/>
        <v>-9.7886522669911649E-9</v>
      </c>
      <c r="AC66" s="31">
        <f t="shared" si="13"/>
        <v>-1.0028690812760033E-3</v>
      </c>
      <c r="AD66" s="48">
        <v>-63764.57</v>
      </c>
      <c r="AE66" s="37">
        <f t="shared" si="7"/>
        <v>102452.21241108252</v>
      </c>
      <c r="AF66" s="40">
        <f t="shared" si="14"/>
        <v>-0.11555401183052072</v>
      </c>
      <c r="AG66" s="1"/>
      <c r="AH66" s="1"/>
      <c r="AI66" s="1"/>
      <c r="AJ66" s="1"/>
      <c r="AK66" s="1"/>
      <c r="AL66" s="1"/>
    </row>
    <row r="67" spans="1:38" x14ac:dyDescent="0.35">
      <c r="A67" s="1"/>
      <c r="B67" s="11" t="s">
        <v>59</v>
      </c>
      <c r="C67" s="20">
        <v>8.6999999999999994E-3</v>
      </c>
      <c r="D67" s="38">
        <f t="shared" si="0"/>
        <v>6.6902295302052814E-2</v>
      </c>
      <c r="E67" s="32">
        <f t="shared" si="15"/>
        <v>7288.4689916803563</v>
      </c>
      <c r="F67" s="47">
        <v>0</v>
      </c>
      <c r="G67" s="17">
        <v>-1.6E-2</v>
      </c>
      <c r="H67" s="38">
        <f t="shared" si="1"/>
        <v>2.5063750601199721E-2</v>
      </c>
      <c r="I67" s="32">
        <f t="shared" si="8"/>
        <v>2730.4947946449433</v>
      </c>
      <c r="J67" s="47">
        <v>0</v>
      </c>
      <c r="K67" s="17">
        <v>-3.9699999999999999E-2</v>
      </c>
      <c r="L67" s="38">
        <f t="shared" si="2"/>
        <v>0.30309364116275761</v>
      </c>
      <c r="M67" s="32">
        <f t="shared" si="9"/>
        <v>33019.623545299626</v>
      </c>
      <c r="N67" s="47">
        <v>0</v>
      </c>
      <c r="O67" s="20">
        <v>0.2334</v>
      </c>
      <c r="P67" s="38">
        <f t="shared" si="3"/>
        <v>0.14033266312281992</v>
      </c>
      <c r="Q67" s="31">
        <f t="shared" si="10"/>
        <v>15288.119175474907</v>
      </c>
      <c r="R67" s="47">
        <v>0</v>
      </c>
      <c r="S67" s="17">
        <v>-0.15740000000000001</v>
      </c>
      <c r="T67" s="38">
        <f t="shared" si="4"/>
        <v>0.11812895175190469</v>
      </c>
      <c r="U67" s="31">
        <f t="shared" si="11"/>
        <v>12869.202737757849</v>
      </c>
      <c r="V67" s="47">
        <v>0</v>
      </c>
      <c r="W67" s="25">
        <v>0.2417</v>
      </c>
      <c r="X67" s="38">
        <f t="shared" si="5"/>
        <v>0.3464787080804087</v>
      </c>
      <c r="Y67" s="31">
        <f t="shared" si="12"/>
        <v>37746.078945725545</v>
      </c>
      <c r="Z67" s="47">
        <v>0</v>
      </c>
      <c r="AA67" s="26">
        <v>8.8599999999999998E-2</v>
      </c>
      <c r="AB67" s="38">
        <f t="shared" si="6"/>
        <v>-1.0021143463138483E-8</v>
      </c>
      <c r="AC67" s="31">
        <f t="shared" si="13"/>
        <v>-1.0917232818770572E-3</v>
      </c>
      <c r="AD67" s="47">
        <v>0</v>
      </c>
      <c r="AE67" s="37">
        <f t="shared" si="7"/>
        <v>108941.98709885994</v>
      </c>
      <c r="AF67" s="40">
        <f t="shared" si="14"/>
        <v>6.3344407456401575E-2</v>
      </c>
      <c r="AG67" s="1"/>
      <c r="AH67" s="1"/>
      <c r="AI67" s="1"/>
      <c r="AJ67" s="1"/>
      <c r="AK67" s="1"/>
      <c r="AL67" s="1"/>
    </row>
    <row r="68" spans="1:38" x14ac:dyDescent="0.35">
      <c r="A68" s="1"/>
      <c r="B68" s="10" t="s">
        <v>60</v>
      </c>
      <c r="C68" s="20">
        <v>2.2800000000000001E-2</v>
      </c>
      <c r="D68" s="38">
        <f t="shared" si="0"/>
        <v>6.2075931960137699E-2</v>
      </c>
      <c r="E68" s="32">
        <f t="shared" si="15"/>
        <v>7454.6460846906684</v>
      </c>
      <c r="F68" s="47">
        <v>0</v>
      </c>
      <c r="G68" s="19">
        <v>0.1041</v>
      </c>
      <c r="H68" s="38">
        <f t="shared" si="1"/>
        <v>2.5104176604772068E-2</v>
      </c>
      <c r="I68" s="32">
        <f t="shared" si="8"/>
        <v>3014.7393027674821</v>
      </c>
      <c r="J68" s="47">
        <v>0</v>
      </c>
      <c r="K68" s="19">
        <v>5.5500000000000001E-2</v>
      </c>
      <c r="L68" s="38">
        <f t="shared" si="2"/>
        <v>0.29021948951980781</v>
      </c>
      <c r="M68" s="32">
        <f t="shared" si="9"/>
        <v>34852.212652063754</v>
      </c>
      <c r="N68" s="47">
        <v>0</v>
      </c>
      <c r="O68" s="20">
        <v>9.1200000000000003E-2</v>
      </c>
      <c r="P68" s="38">
        <f t="shared" si="3"/>
        <v>0.13891675676904836</v>
      </c>
      <c r="Q68" s="31">
        <f t="shared" si="10"/>
        <v>16682.395644278218</v>
      </c>
      <c r="R68" s="47">
        <v>0</v>
      </c>
      <c r="S68" s="19">
        <v>0.15310000000000001</v>
      </c>
      <c r="T68" s="38">
        <f t="shared" si="4"/>
        <v>0.12357050839576957</v>
      </c>
      <c r="U68" s="31">
        <f t="shared" si="11"/>
        <v>14839.477676908577</v>
      </c>
      <c r="V68" s="47">
        <v>0</v>
      </c>
      <c r="W68" s="25">
        <v>0.1457</v>
      </c>
      <c r="X68" s="38">
        <f t="shared" si="5"/>
        <v>0.36011314596776856</v>
      </c>
      <c r="Y68" s="31">
        <f t="shared" si="12"/>
        <v>43245.682648117756</v>
      </c>
      <c r="Z68" s="47">
        <v>0</v>
      </c>
      <c r="AA68" s="26">
        <v>1.3899999999999999E-2</v>
      </c>
      <c r="AB68" s="38">
        <f t="shared" si="6"/>
        <v>-9.2173040507589044E-9</v>
      </c>
      <c r="AC68" s="31">
        <f t="shared" si="13"/>
        <v>-1.1068982354951484E-3</v>
      </c>
      <c r="AD68" s="47">
        <v>0</v>
      </c>
      <c r="AE68" s="37">
        <f t="shared" si="7"/>
        <v>120089.15290192822</v>
      </c>
      <c r="AF68" s="40">
        <f t="shared" si="14"/>
        <v>0.10232203487304425</v>
      </c>
      <c r="AG68" s="1"/>
      <c r="AH68" s="1"/>
      <c r="AI68" s="1"/>
      <c r="AJ68" s="1"/>
      <c r="AK68" s="1"/>
      <c r="AL68" s="1"/>
    </row>
    <row r="69" spans="1:38" x14ac:dyDescent="0.35">
      <c r="A69" s="1"/>
      <c r="B69" s="9" t="s">
        <v>61</v>
      </c>
      <c r="C69" s="15">
        <v>-9.9000000000000005E-2</v>
      </c>
      <c r="D69" s="38">
        <f t="shared" si="0"/>
        <v>9.663071081701069E-2</v>
      </c>
      <c r="E69" s="32">
        <f t="shared" si="15"/>
        <v>10820.033392306294</v>
      </c>
      <c r="F69" s="49">
        <v>4554.2700000000004</v>
      </c>
      <c r="G69" s="17">
        <v>-0.1062</v>
      </c>
      <c r="H69" s="38">
        <f t="shared" si="1"/>
        <v>2.875751285178935E-2</v>
      </c>
      <c r="I69" s="32">
        <f t="shared" si="8"/>
        <v>3220.0658228135753</v>
      </c>
      <c r="J69" s="49">
        <v>587.92999999999995</v>
      </c>
      <c r="K69" s="17">
        <v>-0.1099</v>
      </c>
      <c r="L69" s="38">
        <f t="shared" si="2"/>
        <v>9.5461677150776983E-2</v>
      </c>
      <c r="M69" s="32">
        <f t="shared" si="9"/>
        <v>10689.133151601945</v>
      </c>
      <c r="N69" s="48">
        <v>-22843.3</v>
      </c>
      <c r="O69" s="20">
        <v>3.7900000000000003E-2</v>
      </c>
      <c r="P69" s="38">
        <f t="shared" si="3"/>
        <v>0.38959540808832877</v>
      </c>
      <c r="Q69" s="31">
        <f t="shared" si="10"/>
        <v>43624.177959196357</v>
      </c>
      <c r="R69" s="49">
        <v>25348.799999999999</v>
      </c>
      <c r="S69" s="17">
        <v>-0.18740000000000001</v>
      </c>
      <c r="T69" s="38">
        <f t="shared" si="4"/>
        <v>6.1004947284163731E-2</v>
      </c>
      <c r="U69" s="31">
        <f t="shared" si="11"/>
        <v>6830.9087362559094</v>
      </c>
      <c r="V69" s="48">
        <v>-6433.24</v>
      </c>
      <c r="W69" s="24">
        <v>-0.1434</v>
      </c>
      <c r="X69" s="38">
        <f t="shared" si="5"/>
        <v>0.27560661711141854</v>
      </c>
      <c r="Y69" s="31">
        <f t="shared" si="12"/>
        <v>30860.507752377674</v>
      </c>
      <c r="Z69" s="48">
        <v>-7218.94</v>
      </c>
      <c r="AA69" s="27">
        <v>-1.2699999999999999E-2</v>
      </c>
      <c r="AB69" s="38">
        <f t="shared" si="6"/>
        <v>5.2943126696512036E-2</v>
      </c>
      <c r="AC69" s="31">
        <f t="shared" si="13"/>
        <v>5928.2022651593725</v>
      </c>
      <c r="AD69" s="49">
        <v>6004.46</v>
      </c>
      <c r="AE69" s="37">
        <f t="shared" si="7"/>
        <v>111973.02907971112</v>
      </c>
      <c r="AF69" s="40">
        <f t="shared" si="14"/>
        <v>-6.7584154156247522E-2</v>
      </c>
      <c r="AG69" s="1"/>
      <c r="AH69" s="1"/>
      <c r="AI69" s="1"/>
      <c r="AJ69" s="1"/>
      <c r="AK69" s="1"/>
      <c r="AL69" s="1"/>
    </row>
    <row r="70" spans="1:38" x14ac:dyDescent="0.35">
      <c r="A70" s="1"/>
      <c r="B70" s="10" t="s">
        <v>62</v>
      </c>
      <c r="C70" s="15">
        <v>-8.7400000000000005E-2</v>
      </c>
      <c r="D70" s="38">
        <f t="shared" si="0"/>
        <v>8.9033261565600846E-2</v>
      </c>
      <c r="E70" s="32">
        <f t="shared" si="15"/>
        <v>9874.3624738187227</v>
      </c>
      <c r="F70" s="47">
        <v>0</v>
      </c>
      <c r="G70" s="17">
        <v>-3.9E-2</v>
      </c>
      <c r="H70" s="38">
        <f t="shared" si="1"/>
        <v>2.7901744325037347E-2</v>
      </c>
      <c r="I70" s="32">
        <f t="shared" si="8"/>
        <v>3094.483255723846</v>
      </c>
      <c r="J70" s="47">
        <v>0</v>
      </c>
      <c r="K70" s="17">
        <v>-9.7600000000000006E-2</v>
      </c>
      <c r="L70" s="38">
        <f t="shared" si="2"/>
        <v>8.6973068228382022E-2</v>
      </c>
      <c r="M70" s="32">
        <f t="shared" si="9"/>
        <v>9645.8737560055961</v>
      </c>
      <c r="N70" s="47">
        <v>0</v>
      </c>
      <c r="O70" s="20">
        <v>4.48E-2</v>
      </c>
      <c r="P70" s="38">
        <f t="shared" si="3"/>
        <v>0.41096386578098459</v>
      </c>
      <c r="Q70" s="31">
        <f t="shared" si="10"/>
        <v>45578.541131768354</v>
      </c>
      <c r="R70" s="47">
        <v>0</v>
      </c>
      <c r="S70" s="17">
        <v>-0.1852</v>
      </c>
      <c r="T70" s="38">
        <f t="shared" si="4"/>
        <v>5.0184860476552094E-2</v>
      </c>
      <c r="U70" s="31">
        <f t="shared" si="11"/>
        <v>5565.8244383013152</v>
      </c>
      <c r="V70" s="47">
        <v>0</v>
      </c>
      <c r="W70" s="25">
        <v>6.7999999999999996E-3</v>
      </c>
      <c r="X70" s="38">
        <f t="shared" si="5"/>
        <v>0.2801492679025061</v>
      </c>
      <c r="Y70" s="31">
        <f t="shared" si="12"/>
        <v>31070.359205093842</v>
      </c>
      <c r="Z70" s="47">
        <v>0</v>
      </c>
      <c r="AA70" s="26">
        <v>2.5100000000000001E-2</v>
      </c>
      <c r="AB70" s="38">
        <f t="shared" si="6"/>
        <v>5.47939317209368E-2</v>
      </c>
      <c r="AC70" s="31">
        <f t="shared" si="13"/>
        <v>6077.0001420148728</v>
      </c>
      <c r="AD70" s="47">
        <v>0</v>
      </c>
      <c r="AE70" s="37">
        <f t="shared" si="7"/>
        <v>110906.44440272657</v>
      </c>
      <c r="AF70" s="40">
        <f t="shared" si="14"/>
        <v>-9.5253712947720448E-3</v>
      </c>
      <c r="AG70" s="1"/>
      <c r="AH70" s="1"/>
      <c r="AI70" s="1"/>
      <c r="AJ70" s="1"/>
      <c r="AK70" s="1"/>
      <c r="AL70" s="1"/>
    </row>
    <row r="71" spans="1:38" x14ac:dyDescent="0.35">
      <c r="A71" s="1"/>
      <c r="B71" s="11" t="s">
        <v>63</v>
      </c>
      <c r="C71" s="20">
        <v>7.5300000000000006E-2</v>
      </c>
      <c r="D71" s="38">
        <f t="shared" si="0"/>
        <v>9.4893780649925846E-2</v>
      </c>
      <c r="E71" s="32">
        <f t="shared" si="15"/>
        <v>10617.901968097272</v>
      </c>
      <c r="F71" s="47">
        <v>0</v>
      </c>
      <c r="G71" s="19">
        <v>0.15770000000000001</v>
      </c>
      <c r="H71" s="38">
        <f t="shared" si="1"/>
        <v>3.2017189663904599E-2</v>
      </c>
      <c r="I71" s="32">
        <f t="shared" si="8"/>
        <v>3582.4832651514967</v>
      </c>
      <c r="J71" s="47">
        <v>0</v>
      </c>
      <c r="K71" s="19">
        <v>6.4000000000000001E-2</v>
      </c>
      <c r="L71" s="38">
        <f t="shared" si="2"/>
        <v>9.1723842499373737E-2</v>
      </c>
      <c r="M71" s="32">
        <f t="shared" si="9"/>
        <v>10263.209676389954</v>
      </c>
      <c r="N71" s="47">
        <v>0</v>
      </c>
      <c r="O71" s="15">
        <v>-3.7499999999999999E-2</v>
      </c>
      <c r="P71" s="38">
        <f t="shared" si="3"/>
        <v>0.39206691621761453</v>
      </c>
      <c r="Q71" s="31">
        <f t="shared" si="10"/>
        <v>43869.345839327041</v>
      </c>
      <c r="R71" s="47">
        <v>0</v>
      </c>
      <c r="S71" s="19">
        <v>6.7999999999999996E-3</v>
      </c>
      <c r="T71" s="38">
        <f t="shared" si="4"/>
        <v>5.0080856596801324E-2</v>
      </c>
      <c r="U71" s="31">
        <f t="shared" si="11"/>
        <v>5603.6720444817638</v>
      </c>
      <c r="V71" s="47">
        <v>0</v>
      </c>
      <c r="W71" s="25">
        <v>2.7900000000000001E-2</v>
      </c>
      <c r="X71" s="38">
        <f t="shared" si="5"/>
        <v>0.28542773983738245</v>
      </c>
      <c r="Y71" s="31">
        <f t="shared" si="12"/>
        <v>31937.222226915961</v>
      </c>
      <c r="Z71" s="47">
        <v>0</v>
      </c>
      <c r="AA71" s="27">
        <v>-9.5999999999999992E-3</v>
      </c>
      <c r="AB71" s="38">
        <f t="shared" si="6"/>
        <v>5.378967453499759E-2</v>
      </c>
      <c r="AC71" s="31">
        <f t="shared" si="13"/>
        <v>6018.6609406515299</v>
      </c>
      <c r="AD71" s="47">
        <v>0</v>
      </c>
      <c r="AE71" s="37">
        <f t="shared" si="7"/>
        <v>111892.49596101501</v>
      </c>
      <c r="AF71" s="40">
        <f t="shared" si="14"/>
        <v>8.8908409569767866E-3</v>
      </c>
      <c r="AG71" s="1"/>
      <c r="AH71" s="1"/>
      <c r="AI71" s="1"/>
      <c r="AJ71" s="1"/>
      <c r="AK71" s="1"/>
      <c r="AL71" s="1"/>
    </row>
    <row r="72" spans="1:38" x14ac:dyDescent="0.35">
      <c r="A72" s="1"/>
      <c r="B72" s="10" t="s">
        <v>64</v>
      </c>
      <c r="C72" s="20">
        <v>2.2599999999999999E-2</v>
      </c>
      <c r="D72" s="38">
        <f t="shared" si="0"/>
        <v>0.10818248141467642</v>
      </c>
      <c r="E72" s="32">
        <f t="shared" si="15"/>
        <v>11442.12906257627</v>
      </c>
      <c r="F72" s="49">
        <v>571.35</v>
      </c>
      <c r="G72" s="19">
        <v>8.0199999999999994E-2</v>
      </c>
      <c r="H72" s="38">
        <f t="shared" si="1"/>
        <v>0.11427609032892189</v>
      </c>
      <c r="I72" s="32">
        <f t="shared" si="8"/>
        <v>12086.631377016647</v>
      </c>
      <c r="J72" s="49">
        <v>7606.77</v>
      </c>
      <c r="K72" s="19">
        <v>7.8600000000000003E-2</v>
      </c>
      <c r="L72" s="38">
        <f t="shared" si="2"/>
        <v>7.9874699036106125E-2</v>
      </c>
      <c r="M72" s="32">
        <f t="shared" si="9"/>
        <v>8448.1017929542049</v>
      </c>
      <c r="N72" s="48">
        <v>-2430.7399999999998</v>
      </c>
      <c r="O72" s="15">
        <v>-9.7500000000000003E-2</v>
      </c>
      <c r="P72" s="38">
        <f t="shared" si="3"/>
        <v>0.33416905254138862</v>
      </c>
      <c r="Q72" s="31">
        <f t="shared" si="10"/>
        <v>35344.035169992654</v>
      </c>
      <c r="R72" s="48">
        <v>-4706.9799999999996</v>
      </c>
      <c r="S72" s="19">
        <v>0.22159999999999999</v>
      </c>
      <c r="T72" s="38">
        <f t="shared" si="4"/>
        <v>3.8770461478423057E-2</v>
      </c>
      <c r="U72" s="31">
        <f t="shared" si="11"/>
        <v>4100.6327295389219</v>
      </c>
      <c r="V72" s="48">
        <v>-2246.9</v>
      </c>
      <c r="W72" s="24">
        <v>-0.13270000000000001</v>
      </c>
      <c r="X72" s="38">
        <f t="shared" si="5"/>
        <v>0.27525911163355787</v>
      </c>
      <c r="Y72" s="31">
        <f t="shared" si="12"/>
        <v>29113.31150640421</v>
      </c>
      <c r="Z72" s="49">
        <v>1630.53</v>
      </c>
      <c r="AA72" s="27">
        <v>-6.4799999999999996E-2</v>
      </c>
      <c r="AB72" s="38">
        <f t="shared" si="6"/>
        <v>4.9468103566926089E-2</v>
      </c>
      <c r="AC72" s="31">
        <f t="shared" si="13"/>
        <v>5232.0895036973106</v>
      </c>
      <c r="AD72" s="48">
        <v>-424.04</v>
      </c>
      <c r="AE72" s="37">
        <f t="shared" si="7"/>
        <v>105766.93114218021</v>
      </c>
      <c r="AF72" s="40">
        <f t="shared" si="14"/>
        <v>-5.4745090510529226E-2</v>
      </c>
      <c r="AG72" s="1"/>
      <c r="AH72" s="1"/>
      <c r="AI72" s="1"/>
      <c r="AJ72" s="1"/>
      <c r="AK72" s="1"/>
      <c r="AL72" s="1"/>
    </row>
    <row r="73" spans="1:38" x14ac:dyDescent="0.35">
      <c r="A73" s="1"/>
      <c r="B73" s="11" t="s">
        <v>65</v>
      </c>
      <c r="C73" s="15">
        <v>-3.2000000000000001E-2</v>
      </c>
      <c r="D73" s="38">
        <f t="shared" si="0"/>
        <v>0.10829116076304215</v>
      </c>
      <c r="E73" s="32">
        <f t="shared" si="15"/>
        <v>11075.98093257383</v>
      </c>
      <c r="F73" s="47">
        <v>0</v>
      </c>
      <c r="G73" s="19">
        <v>6.5699999999999995E-2</v>
      </c>
      <c r="H73" s="38">
        <f t="shared" si="1"/>
        <v>0.12593633556812761</v>
      </c>
      <c r="I73" s="32">
        <f t="shared" si="8"/>
        <v>12880.723058486641</v>
      </c>
      <c r="J73" s="47">
        <v>0</v>
      </c>
      <c r="K73" s="17">
        <v>-4.9500000000000002E-2</v>
      </c>
      <c r="L73" s="38">
        <f t="shared" si="2"/>
        <v>7.8509474203817792E-2</v>
      </c>
      <c r="M73" s="32">
        <f t="shared" si="9"/>
        <v>8029.9207542029717</v>
      </c>
      <c r="N73" s="47">
        <v>0</v>
      </c>
      <c r="O73" s="20">
        <v>1.6299999999999999E-2</v>
      </c>
      <c r="P73" s="38">
        <f t="shared" si="3"/>
        <v>0.35119543792826741</v>
      </c>
      <c r="Q73" s="31">
        <f t="shared" si="10"/>
        <v>35920.142943263534</v>
      </c>
      <c r="R73" s="47">
        <v>0</v>
      </c>
      <c r="S73" s="17">
        <v>-5.67E-2</v>
      </c>
      <c r="T73" s="38">
        <f t="shared" si="4"/>
        <v>3.7819128574153996E-2</v>
      </c>
      <c r="U73" s="31">
        <f t="shared" si="11"/>
        <v>3868.1268537740652</v>
      </c>
      <c r="V73" s="47">
        <v>0</v>
      </c>
      <c r="W73" s="24">
        <v>-0.1174</v>
      </c>
      <c r="X73" s="38">
        <f t="shared" si="5"/>
        <v>0.25122701593592961</v>
      </c>
      <c r="Y73" s="31">
        <f t="shared" si="12"/>
        <v>25695.408735552355</v>
      </c>
      <c r="Z73" s="47">
        <v>0</v>
      </c>
      <c r="AA73" s="27">
        <v>-8.0799999999999997E-2</v>
      </c>
      <c r="AB73" s="38">
        <f t="shared" si="6"/>
        <v>4.7021447026661473E-2</v>
      </c>
      <c r="AC73" s="31">
        <f t="shared" si="13"/>
        <v>4809.3366717985682</v>
      </c>
      <c r="AD73" s="47">
        <v>0</v>
      </c>
      <c r="AE73" s="37">
        <f t="shared" si="7"/>
        <v>102279.63994965196</v>
      </c>
      <c r="AF73" s="40">
        <f t="shared" si="14"/>
        <v>-3.2971469956336041E-2</v>
      </c>
      <c r="AG73" s="1"/>
      <c r="AH73" s="1"/>
      <c r="AI73" s="1"/>
      <c r="AJ73" s="1"/>
      <c r="AK73" s="1"/>
      <c r="AL73" s="1"/>
    </row>
    <row r="74" spans="1:38" x14ac:dyDescent="0.35">
      <c r="A74" s="1"/>
      <c r="B74" s="10" t="s">
        <v>66</v>
      </c>
      <c r="C74" s="15">
        <v>-2.3300000000000001E-2</v>
      </c>
      <c r="D74" s="38">
        <f t="shared" si="0"/>
        <v>0.11076835236298195</v>
      </c>
      <c r="E74" s="32">
        <f t="shared" si="15"/>
        <v>10817.910576844859</v>
      </c>
      <c r="F74" s="47">
        <v>0</v>
      </c>
      <c r="G74" s="17">
        <v>-5.3100000000000001E-2</v>
      </c>
      <c r="H74" s="38">
        <f t="shared" si="1"/>
        <v>0.12488683745863502</v>
      </c>
      <c r="I74" s="32">
        <f t="shared" si="8"/>
        <v>12196.756664081</v>
      </c>
      <c r="J74" s="47">
        <v>0</v>
      </c>
      <c r="K74" s="17">
        <v>-5.7999999999999996E-3</v>
      </c>
      <c r="L74" s="38">
        <f t="shared" si="2"/>
        <v>8.1744271311522593E-2</v>
      </c>
      <c r="M74" s="32">
        <f t="shared" si="9"/>
        <v>7983.3472138285942</v>
      </c>
      <c r="N74" s="47">
        <v>0</v>
      </c>
      <c r="O74" s="15">
        <v>-7.6499999999999999E-2</v>
      </c>
      <c r="P74" s="38">
        <f t="shared" si="3"/>
        <v>0.33966223634462395</v>
      </c>
      <c r="Q74" s="31">
        <f t="shared" si="10"/>
        <v>33172.252008103875</v>
      </c>
      <c r="R74" s="47">
        <v>0</v>
      </c>
      <c r="S74" s="17">
        <v>-7.0000000000000007E-2</v>
      </c>
      <c r="T74" s="38">
        <f t="shared" si="4"/>
        <v>3.6834600619995855E-2</v>
      </c>
      <c r="U74" s="31">
        <f t="shared" si="11"/>
        <v>3597.3579740098808</v>
      </c>
      <c r="V74" s="47">
        <v>0</v>
      </c>
      <c r="W74" s="24">
        <v>-1.9300000000000001E-2</v>
      </c>
      <c r="X74" s="38">
        <f t="shared" si="5"/>
        <v>0.25802632347403431</v>
      </c>
      <c r="Y74" s="31">
        <f t="shared" si="12"/>
        <v>25199.487346956194</v>
      </c>
      <c r="Z74" s="47">
        <v>0</v>
      </c>
      <c r="AA74" s="27">
        <v>-2.3699999999999999E-2</v>
      </c>
      <c r="AB74" s="38">
        <f t="shared" si="6"/>
        <v>4.8077378428206412E-2</v>
      </c>
      <c r="AC74" s="31">
        <f t="shared" si="13"/>
        <v>4695.3553926769418</v>
      </c>
      <c r="AD74" s="47">
        <v>0</v>
      </c>
      <c r="AE74" s="37">
        <f t="shared" si="7"/>
        <v>97662.467176501334</v>
      </c>
      <c r="AF74" s="40">
        <f t="shared" si="14"/>
        <v>-4.5142638118627176E-2</v>
      </c>
      <c r="AG74" s="1"/>
      <c r="AH74" s="1"/>
      <c r="AI74" s="1"/>
      <c r="AJ74" s="1"/>
      <c r="AK74" s="1"/>
      <c r="AL74" s="1"/>
    </row>
    <row r="75" spans="1:38" x14ac:dyDescent="0.35">
      <c r="A75" s="1"/>
      <c r="B75" s="11" t="s">
        <v>67</v>
      </c>
      <c r="C75" s="20">
        <v>3.4000000000000002E-2</v>
      </c>
      <c r="D75" s="38">
        <f t="shared" si="0"/>
        <v>0.10021904658096971</v>
      </c>
      <c r="E75" s="32">
        <f t="shared" si="15"/>
        <v>10098.303096457585</v>
      </c>
      <c r="F75" s="48">
        <v>-1051.6600000000001</v>
      </c>
      <c r="G75" s="19">
        <v>6.8699999999999997E-2</v>
      </c>
      <c r="H75" s="38">
        <f t="shared" si="1"/>
        <v>0.41432902201941929</v>
      </c>
      <c r="I75" s="32">
        <f t="shared" si="8"/>
        <v>41748.751247903361</v>
      </c>
      <c r="J75" s="49">
        <v>26868.23</v>
      </c>
      <c r="K75" s="19">
        <v>4.7300000000000002E-2</v>
      </c>
      <c r="L75" s="38">
        <f t="shared" si="2"/>
        <v>0.10244353508706155</v>
      </c>
      <c r="M75" s="32">
        <f t="shared" si="9"/>
        <v>10322.447707042686</v>
      </c>
      <c r="N75" s="49">
        <v>1872.9</v>
      </c>
      <c r="O75" s="15">
        <v>-8.3000000000000001E-3</v>
      </c>
      <c r="P75" s="38">
        <f t="shared" si="3"/>
        <v>9.6119190579979308E-2</v>
      </c>
      <c r="Q75" s="31">
        <f t="shared" si="10"/>
        <v>9685.192116436614</v>
      </c>
      <c r="R75" s="48">
        <v>-23406</v>
      </c>
      <c r="S75" s="19">
        <v>6.6400000000000001E-2</v>
      </c>
      <c r="T75" s="38">
        <f t="shared" si="4"/>
        <v>7.2351482191985894E-2</v>
      </c>
      <c r="U75" s="31">
        <f t="shared" si="11"/>
        <v>7290.3028074841368</v>
      </c>
      <c r="V75" s="49">
        <v>3239.01</v>
      </c>
      <c r="W75" s="24">
        <v>-3.49E-2</v>
      </c>
      <c r="X75" s="38">
        <f t="shared" si="5"/>
        <v>2.8062227320851733E-2</v>
      </c>
      <c r="Y75" s="31">
        <f t="shared" si="12"/>
        <v>2827.614976547422</v>
      </c>
      <c r="Z75" s="48">
        <v>-22269.62</v>
      </c>
      <c r="AA75" s="27">
        <v>-3.7999999999999999E-2</v>
      </c>
      <c r="AB75" s="38">
        <f t="shared" si="6"/>
        <v>0.18647549621973242</v>
      </c>
      <c r="AC75" s="31">
        <f t="shared" si="13"/>
        <v>18789.702607755218</v>
      </c>
      <c r="AD75" s="49">
        <v>14836.56</v>
      </c>
      <c r="AE75" s="37">
        <f t="shared" si="7"/>
        <v>100762.31455962703</v>
      </c>
      <c r="AF75" s="40">
        <f t="shared" si="14"/>
        <v>3.1740416484906886E-2</v>
      </c>
      <c r="AG75" s="1"/>
      <c r="AH75" s="1"/>
      <c r="AI75" s="1"/>
      <c r="AJ75" s="1"/>
      <c r="AK75" s="1"/>
      <c r="AL75" s="1"/>
    </row>
    <row r="76" spans="1:38" x14ac:dyDescent="0.35">
      <c r="A76" s="1"/>
      <c r="B76" s="10" t="s">
        <v>68</v>
      </c>
      <c r="C76" s="20">
        <v>3.2500000000000001E-2</v>
      </c>
      <c r="D76" s="38">
        <f t="shared" si="0"/>
        <v>0.10240679909502202</v>
      </c>
      <c r="E76" s="32">
        <f t="shared" si="15"/>
        <v>10426.497947092455</v>
      </c>
      <c r="F76" s="47">
        <v>0</v>
      </c>
      <c r="G76" s="17">
        <v>-1.4200000000000001E-2</v>
      </c>
      <c r="H76" s="38">
        <f t="shared" si="1"/>
        <v>0.40422450068672561</v>
      </c>
      <c r="I76" s="32">
        <f t="shared" si="8"/>
        <v>41155.918980183131</v>
      </c>
      <c r="J76" s="47">
        <v>0</v>
      </c>
      <c r="K76" s="19">
        <v>2.8199999999999999E-2</v>
      </c>
      <c r="L76" s="38">
        <f t="shared" si="2"/>
        <v>0.10424389272247421</v>
      </c>
      <c r="M76" s="32">
        <f t="shared" si="9"/>
        <v>10613.540732381289</v>
      </c>
      <c r="N76" s="47">
        <v>0</v>
      </c>
      <c r="O76" s="15">
        <v>-5.4000000000000003E-3</v>
      </c>
      <c r="P76" s="38">
        <f t="shared" si="3"/>
        <v>9.4612174561840831E-2</v>
      </c>
      <c r="Q76" s="31">
        <f t="shared" si="10"/>
        <v>9632.8920790078555</v>
      </c>
      <c r="R76" s="47">
        <v>0</v>
      </c>
      <c r="S76" s="19">
        <v>0.14199999999999999</v>
      </c>
      <c r="T76" s="38">
        <f t="shared" si="4"/>
        <v>8.1771506877652972E-2</v>
      </c>
      <c r="U76" s="31">
        <f t="shared" si="11"/>
        <v>8325.5258061468849</v>
      </c>
      <c r="V76" s="47">
        <v>0</v>
      </c>
      <c r="W76" s="25">
        <v>1.78E-2</v>
      </c>
      <c r="X76" s="38">
        <f t="shared" si="5"/>
        <v>2.8266565906971082E-2</v>
      </c>
      <c r="Y76" s="31">
        <f t="shared" si="12"/>
        <v>2877.946523129966</v>
      </c>
      <c r="Z76" s="47">
        <v>0</v>
      </c>
      <c r="AA76" s="27">
        <v>-4.0000000000000002E-4</v>
      </c>
      <c r="AB76" s="38">
        <f t="shared" si="6"/>
        <v>0.18447456014931313</v>
      </c>
      <c r="AC76" s="31">
        <f t="shared" si="13"/>
        <v>18782.186726712116</v>
      </c>
      <c r="AD76" s="47">
        <v>0</v>
      </c>
      <c r="AE76" s="37">
        <f t="shared" si="7"/>
        <v>101814.50879465371</v>
      </c>
      <c r="AF76" s="40">
        <f t="shared" si="14"/>
        <v>1.0442338880614299E-2</v>
      </c>
      <c r="AG76" s="1"/>
      <c r="AH76" s="1"/>
      <c r="AI76" s="1"/>
      <c r="AJ76" s="1"/>
      <c r="AK76" s="1"/>
      <c r="AL76" s="1"/>
    </row>
    <row r="77" spans="1:38" x14ac:dyDescent="0.35">
      <c r="A77" s="1"/>
      <c r="B77" s="11" t="s">
        <v>69</v>
      </c>
      <c r="C77" s="15">
        <v>-1.55E-2</v>
      </c>
      <c r="D77" s="38">
        <f t="shared" si="0"/>
        <v>9.9938496576486333E-2</v>
      </c>
      <c r="E77" s="32">
        <f t="shared" si="15"/>
        <v>10264.887228912523</v>
      </c>
      <c r="F77" s="47">
        <v>0</v>
      </c>
      <c r="G77" s="19">
        <v>4.7500000000000001E-2</v>
      </c>
      <c r="H77" s="38">
        <f t="shared" si="1"/>
        <v>0.41972512252280469</v>
      </c>
      <c r="I77" s="32">
        <f t="shared" si="8"/>
        <v>43110.825131741833</v>
      </c>
      <c r="J77" s="47">
        <v>0</v>
      </c>
      <c r="K77" s="19">
        <v>1.1000000000000001E-3</v>
      </c>
      <c r="L77" s="38">
        <f t="shared" si="2"/>
        <v>0.10344663822425097</v>
      </c>
      <c r="M77" s="32">
        <f t="shared" si="9"/>
        <v>10625.215627186908</v>
      </c>
      <c r="N77" s="47">
        <v>0</v>
      </c>
      <c r="O77" s="20">
        <v>7.6E-3</v>
      </c>
      <c r="P77" s="38">
        <f t="shared" si="3"/>
        <v>9.4498188410980372E-2</v>
      </c>
      <c r="Q77" s="31">
        <f t="shared" si="10"/>
        <v>9706.1020588083156</v>
      </c>
      <c r="R77" s="47">
        <v>0</v>
      </c>
      <c r="S77" s="19">
        <v>3.3E-3</v>
      </c>
      <c r="T77" s="38">
        <f t="shared" si="4"/>
        <v>8.1324445891648167E-2</v>
      </c>
      <c r="U77" s="31">
        <f t="shared" si="11"/>
        <v>8353.0000413071702</v>
      </c>
      <c r="V77" s="47">
        <v>0</v>
      </c>
      <c r="W77" s="24">
        <v>-2.92E-2</v>
      </c>
      <c r="X77" s="38">
        <f t="shared" si="5"/>
        <v>2.7201391226120756E-2</v>
      </c>
      <c r="Y77" s="31">
        <f t="shared" si="12"/>
        <v>2793.9104846545711</v>
      </c>
      <c r="Z77" s="47">
        <v>0</v>
      </c>
      <c r="AA77" s="27">
        <v>-4.9200000000000001E-2</v>
      </c>
      <c r="AB77" s="38">
        <f t="shared" si="6"/>
        <v>0.17386571714770876</v>
      </c>
      <c r="AC77" s="31">
        <f t="shared" si="13"/>
        <v>17858.103139757881</v>
      </c>
      <c r="AD77" s="47">
        <v>0</v>
      </c>
      <c r="AE77" s="37">
        <f t="shared" si="7"/>
        <v>102712.0437123692</v>
      </c>
      <c r="AF77" s="40">
        <f t="shared" si="14"/>
        <v>8.8153930941776704E-3</v>
      </c>
      <c r="AG77" s="1"/>
      <c r="AH77" s="1"/>
      <c r="AI77" s="1"/>
      <c r="AJ77" s="1"/>
      <c r="AK77" s="1"/>
      <c r="AL77" s="1"/>
    </row>
    <row r="78" spans="1:38" x14ac:dyDescent="0.35">
      <c r="A78" s="1"/>
      <c r="B78" s="10" t="s">
        <v>70</v>
      </c>
      <c r="C78" s="15">
        <v>-4.9399999999999999E-2</v>
      </c>
      <c r="D78" s="38">
        <f t="shared" si="0"/>
        <v>0.12183516281959959</v>
      </c>
      <c r="E78" s="32">
        <f t="shared" si="15"/>
        <v>11716.560629804244</v>
      </c>
      <c r="F78" s="49">
        <v>2060.5500000000002</v>
      </c>
      <c r="G78" s="17">
        <v>-6.3600000000000004E-2</v>
      </c>
      <c r="H78" s="38">
        <f t="shared" si="1"/>
        <v>0.25003176702895097</v>
      </c>
      <c r="I78" s="32">
        <f t="shared" si="8"/>
        <v>24044.884005363056</v>
      </c>
      <c r="J78" s="48">
        <v>-17432.82</v>
      </c>
      <c r="K78" s="17">
        <v>-9.3200000000000005E-2</v>
      </c>
      <c r="L78" s="38">
        <f t="shared" si="2"/>
        <v>0.17433229135842807</v>
      </c>
      <c r="M78" s="32">
        <f t="shared" si="9"/>
        <v>16765.068590733088</v>
      </c>
      <c r="N78" s="49">
        <v>7862.95</v>
      </c>
      <c r="O78" s="20">
        <v>6.1000000000000004E-3</v>
      </c>
      <c r="P78" s="38">
        <f t="shared" si="3"/>
        <v>0.10745705295066606</v>
      </c>
      <c r="Q78" s="31">
        <f t="shared" si="10"/>
        <v>10333.856391367046</v>
      </c>
      <c r="R78" s="49">
        <v>565.1</v>
      </c>
      <c r="S78" s="17">
        <v>-7.3499999999999996E-2</v>
      </c>
      <c r="T78" s="38">
        <f t="shared" si="4"/>
        <v>0.34634368943456506</v>
      </c>
      <c r="U78" s="31">
        <f t="shared" si="11"/>
        <v>33306.943103271093</v>
      </c>
      <c r="V78" s="49">
        <v>27596.21</v>
      </c>
      <c r="W78" s="24">
        <v>-5.8500000000000003E-2</v>
      </c>
      <c r="X78" s="38">
        <f t="shared" si="5"/>
        <v>4.7448789972492265E-9</v>
      </c>
      <c r="Y78" s="31">
        <f t="shared" si="12"/>
        <v>4.5630227896253928E-4</v>
      </c>
      <c r="Z78" s="48">
        <v>-2793.91</v>
      </c>
      <c r="AA78" s="27">
        <v>-3.0200000000000001E-2</v>
      </c>
      <c r="AB78" s="38">
        <f t="shared" si="6"/>
        <v>3.1662911214087655E-8</v>
      </c>
      <c r="AC78" s="31">
        <f t="shared" si="13"/>
        <v>3.0449371952272486E-3</v>
      </c>
      <c r="AD78" s="48">
        <v>-17858.099999999999</v>
      </c>
      <c r="AE78" s="37">
        <f t="shared" si="7"/>
        <v>96167.316221778005</v>
      </c>
      <c r="AF78" s="40">
        <f t="shared" si="14"/>
        <v>-6.3719182814809816E-2</v>
      </c>
      <c r="AG78" s="1"/>
      <c r="AH78" s="1"/>
      <c r="AI78" s="1"/>
      <c r="AJ78" s="1"/>
      <c r="AK78" s="1"/>
      <c r="AL78" s="1"/>
    </row>
    <row r="79" spans="1:38" x14ac:dyDescent="0.35">
      <c r="A79" s="1"/>
      <c r="B79" s="11" t="s">
        <v>71</v>
      </c>
      <c r="C79" s="20">
        <v>6.2899999999999998E-2</v>
      </c>
      <c r="D79" s="38">
        <f t="shared" si="0"/>
        <v>0.12054804854614712</v>
      </c>
      <c r="E79" s="32">
        <f t="shared" si="15"/>
        <v>12453.532293418932</v>
      </c>
      <c r="F79" s="47">
        <v>0</v>
      </c>
      <c r="G79" s="19">
        <v>8.4099999999999994E-2</v>
      </c>
      <c r="H79" s="38">
        <f t="shared" si="1"/>
        <v>0.25232464088414841</v>
      </c>
      <c r="I79" s="32">
        <f t="shared" si="8"/>
        <v>26067.058750214088</v>
      </c>
      <c r="J79" s="47">
        <v>0</v>
      </c>
      <c r="K79" s="19">
        <v>3.6600000000000001E-2</v>
      </c>
      <c r="L79" s="38">
        <f t="shared" si="2"/>
        <v>0.16822253459192957</v>
      </c>
      <c r="M79" s="32">
        <f t="shared" si="9"/>
        <v>17378.670101153919</v>
      </c>
      <c r="N79" s="47">
        <v>0</v>
      </c>
      <c r="O79" s="20">
        <v>0.1351</v>
      </c>
      <c r="P79" s="38">
        <f t="shared" si="3"/>
        <v>0.11354399709278823</v>
      </c>
      <c r="Q79" s="31">
        <f t="shared" si="10"/>
        <v>11729.960389840733</v>
      </c>
      <c r="R79" s="47">
        <v>0</v>
      </c>
      <c r="S79" s="19">
        <v>7.1199999999999999E-2</v>
      </c>
      <c r="T79" s="38">
        <f t="shared" si="4"/>
        <v>0.34536074478983547</v>
      </c>
      <c r="U79" s="31">
        <f t="shared" si="11"/>
        <v>35678.397452223995</v>
      </c>
      <c r="V79" s="47">
        <v>0</v>
      </c>
      <c r="W79" s="25">
        <v>1.41E-2</v>
      </c>
      <c r="X79" s="38">
        <f t="shared" si="5"/>
        <v>4.47920617914683E-9</v>
      </c>
      <c r="Y79" s="31">
        <f t="shared" si="12"/>
        <v>4.627361410959111E-4</v>
      </c>
      <c r="Z79" s="47">
        <v>0</v>
      </c>
      <c r="AA79" s="26">
        <v>4.7999999999999996E-3</v>
      </c>
      <c r="AB79" s="38">
        <f t="shared" si="6"/>
        <v>2.9615945265739029E-8</v>
      </c>
      <c r="AC79" s="31">
        <f t="shared" si="13"/>
        <v>3.0595528937643396E-3</v>
      </c>
      <c r="AD79" s="47">
        <v>0</v>
      </c>
      <c r="AE79" s="37">
        <f t="shared" si="7"/>
        <v>103307.62250914068</v>
      </c>
      <c r="AF79" s="40">
        <f t="shared" si="14"/>
        <v>7.4248783972466592E-2</v>
      </c>
      <c r="AG79" s="1"/>
      <c r="AH79" s="1"/>
      <c r="AI79" s="1"/>
      <c r="AJ79" s="1"/>
      <c r="AK79" s="1"/>
      <c r="AL79" s="1"/>
    </row>
    <row r="80" spans="1:38" x14ac:dyDescent="0.35">
      <c r="A80" s="1"/>
      <c r="B80" s="10" t="s">
        <v>72</v>
      </c>
      <c r="C80" s="20">
        <v>1.66E-2</v>
      </c>
      <c r="D80" s="38">
        <f t="shared" si="0"/>
        <v>0.1186975186707178</v>
      </c>
      <c r="E80" s="32">
        <f t="shared" si="15"/>
        <v>12660.260929489687</v>
      </c>
      <c r="F80" s="47">
        <v>0</v>
      </c>
      <c r="G80" s="19">
        <v>2.3E-2</v>
      </c>
      <c r="H80" s="38">
        <f t="shared" si="1"/>
        <v>0.25001533536748272</v>
      </c>
      <c r="I80" s="32">
        <f t="shared" si="8"/>
        <v>26666.601101469012</v>
      </c>
      <c r="J80" s="47">
        <v>0</v>
      </c>
      <c r="K80" s="19">
        <v>7.3700000000000002E-2</v>
      </c>
      <c r="L80" s="38">
        <f t="shared" si="2"/>
        <v>0.17494376782794246</v>
      </c>
      <c r="M80" s="32">
        <f t="shared" si="9"/>
        <v>18659.478087608964</v>
      </c>
      <c r="N80" s="47">
        <v>0</v>
      </c>
      <c r="O80" s="15">
        <v>-7.1599999999999997E-2</v>
      </c>
      <c r="P80" s="38">
        <f t="shared" si="3"/>
        <v>0.10210115641412799</v>
      </c>
      <c r="Q80" s="31">
        <f t="shared" si="10"/>
        <v>10890.095225928137</v>
      </c>
      <c r="R80" s="47">
        <v>0</v>
      </c>
      <c r="S80" s="19">
        <v>5.8999999999999997E-2</v>
      </c>
      <c r="T80" s="38">
        <f t="shared" si="4"/>
        <v>0.3542421890291399</v>
      </c>
      <c r="U80" s="31">
        <f t="shared" si="11"/>
        <v>37783.422901905207</v>
      </c>
      <c r="V80" s="47">
        <v>0</v>
      </c>
      <c r="W80" s="24">
        <v>-7.0800000000000002E-2</v>
      </c>
      <c r="X80" s="38">
        <f t="shared" si="5"/>
        <v>4.0312673888699075E-9</v>
      </c>
      <c r="Y80" s="31">
        <f t="shared" si="12"/>
        <v>4.2997442230632062E-4</v>
      </c>
      <c r="Z80" s="47">
        <v>0</v>
      </c>
      <c r="AA80" s="27">
        <v>-8.9999999999999998E-4</v>
      </c>
      <c r="AB80" s="38">
        <f t="shared" si="6"/>
        <v>2.8659321758797917E-8</v>
      </c>
      <c r="AC80" s="31">
        <f t="shared" si="13"/>
        <v>3.0567992961599518E-3</v>
      </c>
      <c r="AD80" s="47">
        <v>0</v>
      </c>
      <c r="AE80" s="37">
        <f t="shared" si="7"/>
        <v>106659.86173317472</v>
      </c>
      <c r="AF80" s="40">
        <f t="shared" si="14"/>
        <v>3.2449098552601363E-2</v>
      </c>
      <c r="AG80" s="1"/>
      <c r="AH80" s="1"/>
      <c r="AI80" s="1"/>
      <c r="AJ80" s="1"/>
      <c r="AK80" s="1"/>
      <c r="AL80" s="1"/>
    </row>
    <row r="81" spans="1:38" x14ac:dyDescent="0.35">
      <c r="A81" s="1"/>
      <c r="B81" s="9" t="s">
        <v>73</v>
      </c>
      <c r="C81" s="20">
        <v>2.8899999999999999E-2</v>
      </c>
      <c r="D81" s="38">
        <f t="shared" si="0"/>
        <v>0.12180796985419301</v>
      </c>
      <c r="E81" s="32">
        <f t="shared" si="15"/>
        <v>13169.077258351939</v>
      </c>
      <c r="F81" s="49">
        <v>138.91999999999999</v>
      </c>
      <c r="G81" s="17">
        <v>-1.4500000000000001E-2</v>
      </c>
      <c r="H81" s="38">
        <f t="shared" si="1"/>
        <v>0.24307743924705716</v>
      </c>
      <c r="I81" s="32">
        <f t="shared" si="8"/>
        <v>26279.935385497713</v>
      </c>
      <c r="J81" s="47">
        <v>0</v>
      </c>
      <c r="K81" s="19">
        <v>2.8500000000000001E-2</v>
      </c>
      <c r="L81" s="38">
        <f t="shared" si="2"/>
        <v>0.18264089136652487</v>
      </c>
      <c r="M81" s="32">
        <f t="shared" si="9"/>
        <v>19745.932978105822</v>
      </c>
      <c r="N81" s="49">
        <v>539.29</v>
      </c>
      <c r="O81" s="20">
        <v>5.3499999999999999E-2</v>
      </c>
      <c r="P81" s="38">
        <f t="shared" si="3"/>
        <v>0.10393357768209308</v>
      </c>
      <c r="Q81" s="31">
        <f t="shared" si="10"/>
        <v>11236.615435515292</v>
      </c>
      <c r="R81" s="48">
        <v>-224.11</v>
      </c>
      <c r="S81" s="19">
        <v>9.4000000000000004E-3</v>
      </c>
      <c r="T81" s="38">
        <f t="shared" si="4"/>
        <v>0.34854008727894709</v>
      </c>
      <c r="U81" s="31">
        <f t="shared" si="11"/>
        <v>37681.863859183119</v>
      </c>
      <c r="V81" s="48">
        <v>-452.47</v>
      </c>
      <c r="W81" s="25">
        <v>9.7100000000000006E-2</v>
      </c>
      <c r="X81" s="38">
        <f t="shared" si="5"/>
        <v>4.3632409459586865E-9</v>
      </c>
      <c r="Y81" s="31">
        <f t="shared" si="12"/>
        <v>4.7172493871226436E-4</v>
      </c>
      <c r="Z81" s="47">
        <v>0</v>
      </c>
      <c r="AA81" s="26">
        <v>6.8400000000000002E-2</v>
      </c>
      <c r="AB81" s="38">
        <f t="shared" si="6"/>
        <v>3.0207943718641003E-8</v>
      </c>
      <c r="AC81" s="31">
        <f t="shared" si="13"/>
        <v>3.2658843680172926E-3</v>
      </c>
      <c r="AD81" s="47">
        <v>0</v>
      </c>
      <c r="AE81" s="37">
        <f t="shared" si="7"/>
        <v>108113.4286542632</v>
      </c>
      <c r="AF81" s="40">
        <f t="shared" si="14"/>
        <v>1.3628059304303219E-2</v>
      </c>
      <c r="AG81" s="1"/>
      <c r="AH81" s="1"/>
      <c r="AI81" s="1"/>
      <c r="AJ81" s="1"/>
      <c r="AK81" s="1"/>
      <c r="AL81" s="1"/>
    </row>
    <row r="82" spans="1:38" x14ac:dyDescent="0.35">
      <c r="A82" s="1"/>
      <c r="B82" s="10" t="s">
        <v>74</v>
      </c>
      <c r="C82" s="20">
        <v>8.6E-3</v>
      </c>
      <c r="D82" s="38">
        <f t="shared" si="0"/>
        <v>0.12071138375080492</v>
      </c>
      <c r="E82" s="32">
        <f t="shared" si="15"/>
        <v>13282.331322773765</v>
      </c>
      <c r="F82" s="47">
        <v>0</v>
      </c>
      <c r="G82" s="17">
        <v>-1.9E-3</v>
      </c>
      <c r="H82" s="38">
        <f t="shared" si="1"/>
        <v>0.23838134603993258</v>
      </c>
      <c r="I82" s="32">
        <f t="shared" si="8"/>
        <v>26230.003508265268</v>
      </c>
      <c r="J82" s="47">
        <v>0</v>
      </c>
      <c r="K82" s="19">
        <v>2.4500000000000001E-2</v>
      </c>
      <c r="L82" s="38">
        <f t="shared" si="2"/>
        <v>0.18384996028032946</v>
      </c>
      <c r="M82" s="32">
        <f t="shared" si="9"/>
        <v>20229.708336069416</v>
      </c>
      <c r="N82" s="47">
        <v>0</v>
      </c>
      <c r="O82" s="20">
        <v>3.5000000000000001E-3</v>
      </c>
      <c r="P82" s="38">
        <f t="shared" si="3"/>
        <v>0.10247709688249936</v>
      </c>
      <c r="Q82" s="31">
        <f t="shared" si="10"/>
        <v>11275.943589539596</v>
      </c>
      <c r="R82" s="47">
        <v>0</v>
      </c>
      <c r="S82" s="19">
        <v>3.5400000000000001E-2</v>
      </c>
      <c r="T82" s="38">
        <f t="shared" si="4"/>
        <v>0.35458017977266654</v>
      </c>
      <c r="U82" s="31">
        <f t="shared" si="11"/>
        <v>39015.801839798201</v>
      </c>
      <c r="V82" s="47">
        <v>0</v>
      </c>
      <c r="W82" s="24">
        <v>-2.6200000000000001E-2</v>
      </c>
      <c r="X82" s="38">
        <f t="shared" si="5"/>
        <v>4.1747697311224848E-9</v>
      </c>
      <c r="Y82" s="31">
        <f t="shared" si="12"/>
        <v>4.5936574531800305E-4</v>
      </c>
      <c r="Z82" s="47">
        <v>0</v>
      </c>
      <c r="AA82" s="27">
        <v>-1.9599999999999999E-2</v>
      </c>
      <c r="AB82" s="38">
        <f t="shared" si="6"/>
        <v>2.9098997396234221E-8</v>
      </c>
      <c r="AC82" s="31">
        <f t="shared" si="13"/>
        <v>3.2018730344041536E-3</v>
      </c>
      <c r="AD82" s="47">
        <v>0</v>
      </c>
      <c r="AE82" s="37">
        <f t="shared" si="7"/>
        <v>110033.79225768503</v>
      </c>
      <c r="AF82" s="40">
        <f t="shared" si="14"/>
        <v>1.7762489149825811E-2</v>
      </c>
      <c r="AG82" s="1"/>
      <c r="AH82" s="1"/>
      <c r="AI82" s="1"/>
      <c r="AJ82" s="1"/>
      <c r="AK82" s="1"/>
      <c r="AL82" s="1"/>
    </row>
    <row r="83" spans="1:38" x14ac:dyDescent="0.35">
      <c r="A83" s="1"/>
      <c r="B83" s="11" t="s">
        <v>75</v>
      </c>
      <c r="C83" s="20">
        <v>3.9100000000000003E-2</v>
      </c>
      <c r="D83" s="38">
        <f t="shared" si="0"/>
        <v>0.11889881973388049</v>
      </c>
      <c r="E83" s="32">
        <f t="shared" si="15"/>
        <v>13801.670477494219</v>
      </c>
      <c r="F83" s="47">
        <v>0</v>
      </c>
      <c r="G83" s="19">
        <v>6.0999999999999999E-2</v>
      </c>
      <c r="H83" s="38">
        <f t="shared" si="1"/>
        <v>0.23975055542209212</v>
      </c>
      <c r="I83" s="32">
        <f t="shared" si="8"/>
        <v>27830.033722269451</v>
      </c>
      <c r="J83" s="47">
        <v>0</v>
      </c>
      <c r="K83" s="19">
        <v>5.9499999999999997E-2</v>
      </c>
      <c r="L83" s="38">
        <f t="shared" si="2"/>
        <v>0.18464454077031217</v>
      </c>
      <c r="M83" s="32">
        <f t="shared" si="9"/>
        <v>21433.375982065547</v>
      </c>
      <c r="N83" s="47">
        <v>0</v>
      </c>
      <c r="O83" s="15">
        <v>-1.2200000000000001E-2</v>
      </c>
      <c r="P83" s="38">
        <f t="shared" si="3"/>
        <v>9.5955043301069645E-2</v>
      </c>
      <c r="Q83" s="31">
        <f t="shared" si="10"/>
        <v>11138.377077747213</v>
      </c>
      <c r="R83" s="47">
        <v>0</v>
      </c>
      <c r="S83" s="19">
        <v>7.3300000000000004E-2</v>
      </c>
      <c r="T83" s="38">
        <f t="shared" si="4"/>
        <v>0.36075100991062248</v>
      </c>
      <c r="U83" s="31">
        <f t="shared" si="11"/>
        <v>41875.660114655409</v>
      </c>
      <c r="V83" s="47">
        <v>0</v>
      </c>
      <c r="W83" s="24">
        <v>-4.19E-2</v>
      </c>
      <c r="X83" s="38">
        <f t="shared" si="5"/>
        <v>3.7915373321397932E-9</v>
      </c>
      <c r="Y83" s="31">
        <f t="shared" si="12"/>
        <v>4.4011832058917872E-4</v>
      </c>
      <c r="Z83" s="47">
        <v>0</v>
      </c>
      <c r="AA83" s="27">
        <v>-1.8599999999999998E-2</v>
      </c>
      <c r="AB83" s="38">
        <f t="shared" si="6"/>
        <v>2.7070485803706639E-8</v>
      </c>
      <c r="AC83" s="31">
        <f t="shared" si="13"/>
        <v>3.1423181959642364E-3</v>
      </c>
      <c r="AD83" s="47">
        <v>0</v>
      </c>
      <c r="AE83" s="37">
        <f t="shared" si="7"/>
        <v>116079.12095666835</v>
      </c>
      <c r="AF83" s="40">
        <f t="shared" si="14"/>
        <v>5.4940655728977772E-2</v>
      </c>
      <c r="AG83" s="1"/>
      <c r="AH83" s="1"/>
      <c r="AI83" s="1"/>
      <c r="AJ83" s="1"/>
      <c r="AK83" s="1"/>
      <c r="AL83" s="1"/>
    </row>
    <row r="84" spans="1:38" x14ac:dyDescent="0.35">
      <c r="A84" s="1"/>
      <c r="B84" s="10" t="s">
        <v>76</v>
      </c>
      <c r="C84" s="15">
        <v>-1.9E-2</v>
      </c>
      <c r="D84" s="38">
        <f t="shared" si="0"/>
        <v>0.1740043919343971</v>
      </c>
      <c r="E84" s="32">
        <f t="shared" si="15"/>
        <v>20497.249908421829</v>
      </c>
      <c r="F84" s="49">
        <v>7092.57</v>
      </c>
      <c r="G84" s="17">
        <v>-3.49E-2</v>
      </c>
      <c r="H84" s="38">
        <f t="shared" si="1"/>
        <v>6.6571656117150907E-2</v>
      </c>
      <c r="I84" s="32">
        <f t="shared" si="8"/>
        <v>7841.9622463622436</v>
      </c>
      <c r="J84" s="48">
        <v>-19704.490000000002</v>
      </c>
      <c r="K84" s="19">
        <v>2.1600000000000001E-2</v>
      </c>
      <c r="L84" s="38">
        <f t="shared" si="2"/>
        <v>0.2516746966502536</v>
      </c>
      <c r="M84" s="32">
        <f t="shared" si="9"/>
        <v>29646.60314327816</v>
      </c>
      <c r="N84" s="49">
        <v>7586.4</v>
      </c>
      <c r="O84" s="20">
        <v>2.3699999999999999E-2</v>
      </c>
      <c r="P84" s="38">
        <f t="shared" si="3"/>
        <v>0.12105213180902885</v>
      </c>
      <c r="Q84" s="31">
        <f t="shared" si="10"/>
        <v>14259.615921489822</v>
      </c>
      <c r="R84" s="49">
        <v>2791.11</v>
      </c>
      <c r="S84" s="19">
        <v>3.5900000000000001E-2</v>
      </c>
      <c r="T84" s="38">
        <f t="shared" si="4"/>
        <v>0.35727660450424559</v>
      </c>
      <c r="U84" s="31">
        <f t="shared" si="11"/>
        <v>42086.224189771536</v>
      </c>
      <c r="V84" s="48">
        <v>-1247.97</v>
      </c>
      <c r="W84" s="24">
        <v>-4.7999999999999996E-3</v>
      </c>
      <c r="X84" s="38">
        <f t="shared" si="5"/>
        <v>2.9420493208257261E-2</v>
      </c>
      <c r="Y84" s="31">
        <f t="shared" si="12"/>
        <v>3465.6550620057524</v>
      </c>
      <c r="Z84" s="49">
        <v>3482.37</v>
      </c>
      <c r="AA84" s="27">
        <v>-3.3700000000000001E-2</v>
      </c>
      <c r="AB84" s="38">
        <f t="shared" si="6"/>
        <v>2.5776666566852017E-8</v>
      </c>
      <c r="AC84" s="31">
        <f t="shared" si="13"/>
        <v>3.0364220727602418E-3</v>
      </c>
      <c r="AD84" s="47">
        <v>0</v>
      </c>
      <c r="AE84" s="37">
        <f t="shared" si="7"/>
        <v>117797.31350775143</v>
      </c>
      <c r="AF84" s="40">
        <f t="shared" si="14"/>
        <v>1.4801908706083999E-2</v>
      </c>
      <c r="AG84" s="1"/>
      <c r="AH84" s="1"/>
      <c r="AI84" s="1"/>
      <c r="AJ84" s="1"/>
      <c r="AK84" s="1"/>
      <c r="AL84" s="1"/>
    </row>
    <row r="85" spans="1:38" x14ac:dyDescent="0.35">
      <c r="A85" s="1"/>
      <c r="B85" s="11" t="s">
        <v>77</v>
      </c>
      <c r="C85" s="15">
        <v>-3.7100000000000001E-2</v>
      </c>
      <c r="D85" s="38">
        <f t="shared" si="0"/>
        <v>0.16878783159336042</v>
      </c>
      <c r="E85" s="32">
        <f t="shared" si="15"/>
        <v>19736.801936819378</v>
      </c>
      <c r="F85" s="47">
        <v>0</v>
      </c>
      <c r="G85" s="17">
        <v>-4.9700000000000001E-2</v>
      </c>
      <c r="H85" s="38">
        <f t="shared" si="1"/>
        <v>6.3730867098829511E-2</v>
      </c>
      <c r="I85" s="32">
        <f t="shared" si="8"/>
        <v>7452.2167227180398</v>
      </c>
      <c r="J85" s="47">
        <v>0</v>
      </c>
      <c r="K85" s="17">
        <v>-3.0200000000000001E-2</v>
      </c>
      <c r="L85" s="38">
        <f t="shared" si="2"/>
        <v>0.24587901835697576</v>
      </c>
      <c r="M85" s="32">
        <f t="shared" si="9"/>
        <v>28751.27572835116</v>
      </c>
      <c r="N85" s="47">
        <v>0</v>
      </c>
      <c r="O85" s="20">
        <v>7.9799999999999996E-2</v>
      </c>
      <c r="P85" s="38">
        <f t="shared" si="3"/>
        <v>0.13167869147145581</v>
      </c>
      <c r="Q85" s="31">
        <f t="shared" si="10"/>
        <v>15397.53327202471</v>
      </c>
      <c r="R85" s="47">
        <v>0</v>
      </c>
      <c r="S85" s="17">
        <v>-7.1000000000000004E-3</v>
      </c>
      <c r="T85" s="38">
        <f t="shared" si="4"/>
        <v>0.35736319803093225</v>
      </c>
      <c r="U85" s="31">
        <f t="shared" si="11"/>
        <v>41787.411998024159</v>
      </c>
      <c r="V85" s="47">
        <v>0</v>
      </c>
      <c r="W85" s="25">
        <v>9.8599999999999993E-2</v>
      </c>
      <c r="X85" s="38">
        <f t="shared" si="5"/>
        <v>3.256036620097752E-2</v>
      </c>
      <c r="Y85" s="31">
        <f t="shared" si="12"/>
        <v>3807.3686511195197</v>
      </c>
      <c r="Z85" s="47">
        <v>0</v>
      </c>
      <c r="AA85" s="26">
        <v>4.9299999999999997E-2</v>
      </c>
      <c r="AB85" s="38">
        <f t="shared" si="6"/>
        <v>2.7247468778876973E-8</v>
      </c>
      <c r="AC85" s="31">
        <f t="shared" si="13"/>
        <v>3.1861176809473216E-3</v>
      </c>
      <c r="AD85" s="47">
        <v>0</v>
      </c>
      <c r="AE85" s="37">
        <f t="shared" si="7"/>
        <v>116932.61149517464</v>
      </c>
      <c r="AF85" s="40">
        <f t="shared" si="14"/>
        <v>-7.3405919611221337E-3</v>
      </c>
      <c r="AG85" s="1"/>
      <c r="AH85" s="1"/>
      <c r="AI85" s="1"/>
      <c r="AJ85" s="1"/>
      <c r="AK85" s="1"/>
      <c r="AL85" s="1"/>
    </row>
    <row r="86" spans="1:38" x14ac:dyDescent="0.35">
      <c r="A86" s="1"/>
      <c r="B86" s="10" t="s">
        <v>78</v>
      </c>
      <c r="C86" s="15">
        <v>-5.4899999999999997E-2</v>
      </c>
      <c r="D86" s="38">
        <f t="shared" si="0"/>
        <v>0.16746926133891984</v>
      </c>
      <c r="E86" s="32">
        <f t="shared" si="15"/>
        <v>18653.251510487993</v>
      </c>
      <c r="F86" s="47">
        <v>0</v>
      </c>
      <c r="G86" s="17">
        <v>-2.1600000000000001E-2</v>
      </c>
      <c r="H86" s="38">
        <f t="shared" si="1"/>
        <v>6.5460976443647553E-2</v>
      </c>
      <c r="I86" s="32">
        <f t="shared" si="8"/>
        <v>7291.2488415073303</v>
      </c>
      <c r="J86" s="47">
        <v>0</v>
      </c>
      <c r="K86" s="17">
        <v>-7.85E-2</v>
      </c>
      <c r="L86" s="38">
        <f t="shared" si="2"/>
        <v>0.23786635514696858</v>
      </c>
      <c r="M86" s="32">
        <f t="shared" si="9"/>
        <v>26494.300583675595</v>
      </c>
      <c r="N86" s="47">
        <v>0</v>
      </c>
      <c r="O86" s="20">
        <v>2.2100000000000002E-2</v>
      </c>
      <c r="P86" s="38">
        <f t="shared" si="3"/>
        <v>0.14129444836440652</v>
      </c>
      <c r="Q86" s="31">
        <f t="shared" si="10"/>
        <v>15737.818757336456</v>
      </c>
      <c r="R86" s="47">
        <v>0</v>
      </c>
      <c r="S86" s="17">
        <v>-6.2E-2</v>
      </c>
      <c r="T86" s="38">
        <f t="shared" si="4"/>
        <v>0.35190778302687947</v>
      </c>
      <c r="U86" s="31">
        <f t="shared" si="11"/>
        <v>39196.592454146659</v>
      </c>
      <c r="V86" s="47">
        <v>0</v>
      </c>
      <c r="W86" s="25">
        <v>5.3199999999999997E-2</v>
      </c>
      <c r="X86" s="38">
        <f t="shared" si="5"/>
        <v>3.6001147099894971E-2</v>
      </c>
      <c r="Y86" s="31">
        <f t="shared" si="12"/>
        <v>4009.9206633590779</v>
      </c>
      <c r="Z86" s="47">
        <v>0</v>
      </c>
      <c r="AA86" s="27">
        <v>-8.9999999999999998E-4</v>
      </c>
      <c r="AB86" s="38">
        <f t="shared" si="6"/>
        <v>2.8579283090150291E-8</v>
      </c>
      <c r="AC86" s="31">
        <f t="shared" si="13"/>
        <v>3.183250175034469E-3</v>
      </c>
      <c r="AD86" s="47">
        <v>0</v>
      </c>
      <c r="AE86" s="37">
        <f t="shared" si="7"/>
        <v>111383.13599376328</v>
      </c>
      <c r="AF86" s="40">
        <f t="shared" si="14"/>
        <v>-4.7458749363862185E-2</v>
      </c>
      <c r="AG86" s="1"/>
      <c r="AH86" s="1"/>
      <c r="AI86" s="1"/>
      <c r="AJ86" s="1"/>
      <c r="AK86" s="1"/>
      <c r="AL86" s="1"/>
    </row>
    <row r="87" spans="1:38" x14ac:dyDescent="0.35">
      <c r="A87" s="1"/>
      <c r="B87" s="11" t="s">
        <v>79</v>
      </c>
      <c r="C87" s="20">
        <v>3.9600000000000003E-2</v>
      </c>
      <c r="D87" s="38">
        <f t="shared" si="0"/>
        <v>7.398635006594742E-2</v>
      </c>
      <c r="E87" s="32">
        <f t="shared" si="15"/>
        <v>8105.5756423033163</v>
      </c>
      <c r="F87" s="48">
        <v>-10856.43</v>
      </c>
      <c r="G87" s="19">
        <v>7.9000000000000001E-2</v>
      </c>
      <c r="H87" s="38">
        <f t="shared" si="1"/>
        <v>3.2910099841321608E-2</v>
      </c>
      <c r="I87" s="32">
        <f t="shared" si="8"/>
        <v>3605.4664599864091</v>
      </c>
      <c r="J87" s="48">
        <v>-3949.76</v>
      </c>
      <c r="K87" s="19">
        <v>3.4799999999999998E-2</v>
      </c>
      <c r="L87" s="38">
        <f t="shared" si="2"/>
        <v>0.10520672067469541</v>
      </c>
      <c r="M87" s="32">
        <f t="shared" si="9"/>
        <v>11525.923791987507</v>
      </c>
      <c r="N87" s="48">
        <v>-15355.99</v>
      </c>
      <c r="O87" s="15">
        <v>-7.4999999999999997E-2</v>
      </c>
      <c r="P87" s="38">
        <f t="shared" si="3"/>
        <v>0.32915235846009416</v>
      </c>
      <c r="Q87" s="31">
        <f t="shared" si="10"/>
        <v>36060.291350536223</v>
      </c>
      <c r="R87" s="49">
        <v>23246.28</v>
      </c>
      <c r="S87" s="19">
        <v>6.6000000000000003E-2</v>
      </c>
      <c r="T87" s="38">
        <f t="shared" si="4"/>
        <v>0.1950819391082419</v>
      </c>
      <c r="U87" s="31">
        <f t="shared" si="11"/>
        <v>21372.204636120343</v>
      </c>
      <c r="V87" s="48">
        <v>-19147.62</v>
      </c>
      <c r="W87" s="24">
        <v>-3.95E-2</v>
      </c>
      <c r="X87" s="38">
        <f t="shared" si="5"/>
        <v>0.26366250359837606</v>
      </c>
      <c r="Y87" s="31">
        <f t="shared" si="12"/>
        <v>28885.549362156395</v>
      </c>
      <c r="Z87" s="49">
        <v>26063.53</v>
      </c>
      <c r="AA87" s="27">
        <v>-2.7699999999999999E-2</v>
      </c>
      <c r="AB87" s="38">
        <f t="shared" si="6"/>
        <v>2.8251323445884675E-8</v>
      </c>
      <c r="AC87" s="31">
        <f t="shared" si="13"/>
        <v>3.095074145186014E-3</v>
      </c>
      <c r="AD87" s="47">
        <v>0</v>
      </c>
      <c r="AE87" s="37">
        <f t="shared" si="7"/>
        <v>109555.01433816434</v>
      </c>
      <c r="AF87" s="40">
        <f t="shared" si="14"/>
        <v>-1.6412912415226799E-2</v>
      </c>
      <c r="AG87" s="1"/>
      <c r="AH87" s="1"/>
      <c r="AI87" s="1"/>
      <c r="AJ87" s="1"/>
      <c r="AK87" s="1"/>
      <c r="AL87" s="1"/>
    </row>
    <row r="88" spans="1:38" x14ac:dyDescent="0.35">
      <c r="A88" s="1"/>
      <c r="B88" s="10" t="s">
        <v>80</v>
      </c>
      <c r="C88" s="15">
        <v>-4.9299999999999997E-2</v>
      </c>
      <c r="D88" s="38">
        <f t="shared" si="0"/>
        <v>6.8765513344445195E-2</v>
      </c>
      <c r="E88" s="32">
        <f t="shared" si="15"/>
        <v>7705.9707631377623</v>
      </c>
      <c r="F88" s="47">
        <v>0</v>
      </c>
      <c r="G88" s="17">
        <v>-3.4299999999999997E-2</v>
      </c>
      <c r="H88" s="38">
        <f t="shared" si="1"/>
        <v>3.1070412831047434E-2</v>
      </c>
      <c r="I88" s="32">
        <f t="shared" si="8"/>
        <v>3481.7989604088752</v>
      </c>
      <c r="J88" s="47">
        <v>0</v>
      </c>
      <c r="K88" s="17">
        <v>-7.6300000000000007E-2</v>
      </c>
      <c r="L88" s="38">
        <f t="shared" si="2"/>
        <v>9.5005778242308589E-2</v>
      </c>
      <c r="M88" s="32">
        <f t="shared" si="9"/>
        <v>10646.495806658861</v>
      </c>
      <c r="N88" s="47">
        <v>0</v>
      </c>
      <c r="O88" s="20">
        <v>5.4399999999999997E-2</v>
      </c>
      <c r="P88" s="38">
        <f t="shared" si="3"/>
        <v>0.33929539162583761</v>
      </c>
      <c r="Q88" s="31">
        <f t="shared" si="10"/>
        <v>38021.971200005391</v>
      </c>
      <c r="R88" s="47">
        <v>0</v>
      </c>
      <c r="S88" s="17">
        <v>-1.47E-2</v>
      </c>
      <c r="T88" s="38">
        <f t="shared" si="4"/>
        <v>0.18791486620643055</v>
      </c>
      <c r="U88" s="31">
        <f t="shared" si="11"/>
        <v>21058.033227969372</v>
      </c>
      <c r="V88" s="47">
        <v>0</v>
      </c>
      <c r="W88" s="25">
        <v>7.8299999999999995E-2</v>
      </c>
      <c r="X88" s="38">
        <f t="shared" si="5"/>
        <v>0.27794801018575993</v>
      </c>
      <c r="Y88" s="31">
        <f t="shared" si="12"/>
        <v>31147.287877213239</v>
      </c>
      <c r="Z88" s="47">
        <v>0</v>
      </c>
      <c r="AA88" s="27">
        <v>-2E-3</v>
      </c>
      <c r="AB88" s="38">
        <f t="shared" si="6"/>
        <v>2.7564170723829827E-8</v>
      </c>
      <c r="AC88" s="31">
        <f t="shared" si="13"/>
        <v>3.0888839968956422E-3</v>
      </c>
      <c r="AD88" s="47">
        <v>0</v>
      </c>
      <c r="AE88" s="37">
        <f t="shared" si="7"/>
        <v>112061.5609242775</v>
      </c>
      <c r="AF88" s="40">
        <f t="shared" si="14"/>
        <v>2.2879341500300354E-2</v>
      </c>
      <c r="AG88" s="1"/>
      <c r="AH88" s="1"/>
      <c r="AI88" s="1"/>
      <c r="AJ88" s="1"/>
      <c r="AK88" s="1"/>
      <c r="AL88" s="1"/>
    </row>
    <row r="89" spans="1:38" x14ac:dyDescent="0.35">
      <c r="A89" s="1"/>
      <c r="B89" s="11" t="s">
        <v>81</v>
      </c>
      <c r="C89" s="20">
        <v>5.11E-2</v>
      </c>
      <c r="D89" s="38">
        <f t="shared" si="0"/>
        <v>7.2164961610666947E-2</v>
      </c>
      <c r="E89" s="32">
        <f t="shared" si="15"/>
        <v>8099.7458691341017</v>
      </c>
      <c r="F89" s="47">
        <v>0</v>
      </c>
      <c r="G89" s="19">
        <v>8.0100000000000005E-2</v>
      </c>
      <c r="H89" s="38">
        <f t="shared" si="1"/>
        <v>3.3506005021973373E-2</v>
      </c>
      <c r="I89" s="32">
        <f t="shared" si="8"/>
        <v>3760.6910571376261</v>
      </c>
      <c r="J89" s="47">
        <v>0</v>
      </c>
      <c r="K89" s="19">
        <v>8.4000000000000005E-2</v>
      </c>
      <c r="L89" s="38">
        <f t="shared" si="2"/>
        <v>0.10282316351283913</v>
      </c>
      <c r="M89" s="32">
        <f t="shared" si="9"/>
        <v>11540.801454418204</v>
      </c>
      <c r="N89" s="47">
        <v>0</v>
      </c>
      <c r="O89" s="20">
        <v>1.2800000000000001E-2</v>
      </c>
      <c r="P89" s="38">
        <f t="shared" si="3"/>
        <v>0.34309415002486854</v>
      </c>
      <c r="Q89" s="31">
        <f t="shared" si="10"/>
        <v>38508.652431365459</v>
      </c>
      <c r="R89" s="47">
        <v>0</v>
      </c>
      <c r="S89" s="19">
        <v>6.9999999999999999E-4</v>
      </c>
      <c r="T89" s="38">
        <f t="shared" si="4"/>
        <v>0.18774859613796435</v>
      </c>
      <c r="U89" s="31">
        <f t="shared" si="11"/>
        <v>21072.773851228951</v>
      </c>
      <c r="V89" s="47">
        <v>0</v>
      </c>
      <c r="W89" s="24">
        <v>-6.0699999999999997E-2</v>
      </c>
      <c r="X89" s="38">
        <f t="shared" si="5"/>
        <v>0.26066309709310787</v>
      </c>
      <c r="Y89" s="31">
        <f t="shared" si="12"/>
        <v>29256.647503066397</v>
      </c>
      <c r="Z89" s="47">
        <v>0</v>
      </c>
      <c r="AA89" s="27">
        <v>-3.3500000000000002E-2</v>
      </c>
      <c r="AB89" s="38">
        <f t="shared" si="6"/>
        <v>2.6598579819942005E-8</v>
      </c>
      <c r="AC89" s="31">
        <f t="shared" si="13"/>
        <v>2.985406382999638E-3</v>
      </c>
      <c r="AD89" s="47">
        <v>0</v>
      </c>
      <c r="AE89" s="37">
        <f t="shared" si="7"/>
        <v>112239.31515175712</v>
      </c>
      <c r="AF89" s="40">
        <f t="shared" si="14"/>
        <v>1.586219449501769E-3</v>
      </c>
      <c r="AG89" s="1"/>
      <c r="AH89" s="1"/>
      <c r="AI89" s="1"/>
      <c r="AJ89" s="1"/>
      <c r="AK89" s="1"/>
      <c r="AL89" s="1"/>
    </row>
    <row r="90" spans="1:38" x14ac:dyDescent="0.35">
      <c r="A90" s="1"/>
      <c r="B90" s="10" t="s">
        <v>82</v>
      </c>
      <c r="C90" s="20">
        <v>3.9300000000000002E-2</v>
      </c>
      <c r="D90" s="38">
        <f t="shared" si="0"/>
        <v>3.0689369650262682E-2</v>
      </c>
      <c r="E90" s="32">
        <f t="shared" si="15"/>
        <v>3499.5058807910718</v>
      </c>
      <c r="F90" s="48">
        <v>-4732.57</v>
      </c>
      <c r="G90" s="19">
        <v>3.2599999999999997E-2</v>
      </c>
      <c r="H90" s="38">
        <f t="shared" si="1"/>
        <v>0.12196626369819767</v>
      </c>
      <c r="I90" s="32">
        <f t="shared" si="8"/>
        <v>13907.801363600312</v>
      </c>
      <c r="J90" s="49">
        <v>9708.0300000000007</v>
      </c>
      <c r="K90" s="19">
        <v>4.3900000000000002E-2</v>
      </c>
      <c r="L90" s="38">
        <f t="shared" si="2"/>
        <v>7.1925543581870532E-2</v>
      </c>
      <c r="M90" s="32">
        <f t="shared" si="9"/>
        <v>8201.6628432671641</v>
      </c>
      <c r="N90" s="48">
        <v>-3684.05</v>
      </c>
      <c r="O90" s="20">
        <v>4.19E-2</v>
      </c>
      <c r="P90" s="38">
        <f t="shared" si="3"/>
        <v>0.30769839546280625</v>
      </c>
      <c r="Q90" s="31">
        <f t="shared" si="10"/>
        <v>35086.818553239675</v>
      </c>
      <c r="R90" s="48">
        <v>-4832.8500000000004</v>
      </c>
      <c r="S90" s="19">
        <v>4.99E-2</v>
      </c>
      <c r="T90" s="38">
        <f t="shared" si="4"/>
        <v>0.1860145186173853</v>
      </c>
      <c r="U90" s="31">
        <f t="shared" si="11"/>
        <v>21211.217735405276</v>
      </c>
      <c r="V90" s="48">
        <v>-869.69</v>
      </c>
      <c r="W90" s="24">
        <v>-4.5999999999999999E-2</v>
      </c>
      <c r="X90" s="38">
        <f t="shared" si="5"/>
        <v>0.28170588274049957</v>
      </c>
      <c r="Y90" s="31">
        <f t="shared" si="12"/>
        <v>32122.894817925342</v>
      </c>
      <c r="Z90" s="49">
        <v>4415.1499999999996</v>
      </c>
      <c r="AA90" s="26">
        <v>2.5999999999999999E-3</v>
      </c>
      <c r="AB90" s="38">
        <f t="shared" si="6"/>
        <v>2.6248977940702726E-8</v>
      </c>
      <c r="AC90" s="31">
        <f t="shared" si="13"/>
        <v>2.9931684395954369E-3</v>
      </c>
      <c r="AD90" s="47">
        <v>0</v>
      </c>
      <c r="AE90" s="37">
        <f t="shared" si="7"/>
        <v>114029.90418739729</v>
      </c>
      <c r="AF90" s="40">
        <f t="shared" si="14"/>
        <v>1.5953313981105E-2</v>
      </c>
      <c r="AG90" s="1"/>
      <c r="AH90" s="1"/>
      <c r="AI90" s="1"/>
      <c r="AJ90" s="1"/>
      <c r="AK90" s="1"/>
      <c r="AL90" s="1"/>
    </row>
    <row r="91" spans="1:38" x14ac:dyDescent="0.35">
      <c r="A91" s="1"/>
      <c r="B91" s="11" t="s">
        <v>83</v>
      </c>
      <c r="C91" s="20">
        <v>1.12E-2</v>
      </c>
      <c r="D91" s="38">
        <f t="shared" si="0"/>
        <v>3.0747816132429492E-2</v>
      </c>
      <c r="E91" s="32">
        <f t="shared" si="15"/>
        <v>3538.7003466559318</v>
      </c>
      <c r="F91" s="47">
        <v>0</v>
      </c>
      <c r="G91" s="17">
        <v>-1.6E-2</v>
      </c>
      <c r="H91" s="38">
        <f t="shared" si="1"/>
        <v>0.11891155667527305</v>
      </c>
      <c r="I91" s="32">
        <f t="shared" si="8"/>
        <v>13685.276541782707</v>
      </c>
      <c r="J91" s="47">
        <v>0</v>
      </c>
      <c r="K91" s="19">
        <v>4.8800000000000003E-2</v>
      </c>
      <c r="L91" s="38">
        <f t="shared" si="2"/>
        <v>7.4742062442174892E-2</v>
      </c>
      <c r="M91" s="32">
        <f t="shared" si="9"/>
        <v>8601.9039900186017</v>
      </c>
      <c r="N91" s="47">
        <v>0</v>
      </c>
      <c r="O91" s="20">
        <v>3.3399999999999999E-2</v>
      </c>
      <c r="P91" s="38">
        <f t="shared" si="3"/>
        <v>0.31505250347680719</v>
      </c>
      <c r="Q91" s="31">
        <f t="shared" si="10"/>
        <v>36258.718292917882</v>
      </c>
      <c r="R91" s="47">
        <v>0</v>
      </c>
      <c r="S91" s="17">
        <v>-5.3E-3</v>
      </c>
      <c r="T91" s="38">
        <f t="shared" si="4"/>
        <v>0.1833277493487126</v>
      </c>
      <c r="U91" s="31">
        <f t="shared" si="11"/>
        <v>21098.798281407628</v>
      </c>
      <c r="V91" s="47">
        <v>0</v>
      </c>
      <c r="W91" s="24">
        <v>-6.7999999999999996E-3</v>
      </c>
      <c r="X91" s="38">
        <f t="shared" si="5"/>
        <v>0.27721828556581724</v>
      </c>
      <c r="Y91" s="31">
        <f t="shared" si="12"/>
        <v>31904.459133163451</v>
      </c>
      <c r="Z91" s="47">
        <v>0</v>
      </c>
      <c r="AA91" s="26">
        <v>1.35E-2</v>
      </c>
      <c r="AB91" s="38">
        <f t="shared" si="6"/>
        <v>2.6358785570944691E-8</v>
      </c>
      <c r="AC91" s="31">
        <f t="shared" si="13"/>
        <v>3.0335762135299755E-3</v>
      </c>
      <c r="AD91" s="47">
        <v>0</v>
      </c>
      <c r="AE91" s="37">
        <f t="shared" si="7"/>
        <v>115087.85961952241</v>
      </c>
      <c r="AF91" s="40">
        <f t="shared" si="14"/>
        <v>9.2778770592183424E-3</v>
      </c>
      <c r="AG91" s="1"/>
      <c r="AH91" s="1"/>
      <c r="AI91" s="1"/>
      <c r="AJ91" s="1"/>
      <c r="AK91" s="1"/>
      <c r="AL91" s="1"/>
    </row>
    <row r="92" spans="1:38" x14ac:dyDescent="0.35">
      <c r="A92" s="1"/>
      <c r="B92" s="10" t="s">
        <v>84</v>
      </c>
      <c r="C92" s="20">
        <v>2.4E-2</v>
      </c>
      <c r="D92" s="38">
        <f t="shared" si="0"/>
        <v>3.21973669500372E-2</v>
      </c>
      <c r="E92" s="32">
        <f t="shared" si="15"/>
        <v>3623.6291549756743</v>
      </c>
      <c r="F92" s="47">
        <v>0</v>
      </c>
      <c r="G92" s="19">
        <v>2.2599999999999999E-2</v>
      </c>
      <c r="H92" s="38">
        <f t="shared" si="1"/>
        <v>0.12434719073998154</v>
      </c>
      <c r="I92" s="32">
        <f t="shared" si="8"/>
        <v>13994.563791626995</v>
      </c>
      <c r="J92" s="47">
        <v>0</v>
      </c>
      <c r="K92" s="19">
        <v>3.3799999999999997E-2</v>
      </c>
      <c r="L92" s="38">
        <f t="shared" si="2"/>
        <v>7.901467000965888E-2</v>
      </c>
      <c r="M92" s="32">
        <f t="shared" si="9"/>
        <v>8892.6483448812305</v>
      </c>
      <c r="N92" s="47">
        <v>0</v>
      </c>
      <c r="O92" s="15">
        <v>-1.46E-2</v>
      </c>
      <c r="P92" s="38">
        <f t="shared" si="3"/>
        <v>0.31746921499084957</v>
      </c>
      <c r="Q92" s="31">
        <f t="shared" si="10"/>
        <v>35729.341005841277</v>
      </c>
      <c r="R92" s="47">
        <v>0</v>
      </c>
      <c r="S92" s="17">
        <v>-5.8999999999999999E-3</v>
      </c>
      <c r="T92" s="38">
        <f t="shared" si="4"/>
        <v>0.18636502237438493</v>
      </c>
      <c r="U92" s="31">
        <f t="shared" si="11"/>
        <v>20974.315371547324</v>
      </c>
      <c r="V92" s="47">
        <v>0</v>
      </c>
      <c r="W92" s="24">
        <v>-8.0699999999999994E-2</v>
      </c>
      <c r="X92" s="38">
        <f t="shared" si="5"/>
        <v>0.26060650903179894</v>
      </c>
      <c r="Y92" s="31">
        <f t="shared" si="12"/>
        <v>29329.769281117162</v>
      </c>
      <c r="Z92" s="47">
        <v>0</v>
      </c>
      <c r="AA92" s="27">
        <v>-3.9E-2</v>
      </c>
      <c r="AB92" s="38">
        <f t="shared" si="6"/>
        <v>2.5903288943032005E-8</v>
      </c>
      <c r="AC92" s="31">
        <f t="shared" si="13"/>
        <v>2.9152667412023063E-3</v>
      </c>
      <c r="AD92" s="47">
        <v>0</v>
      </c>
      <c r="AE92" s="37">
        <f t="shared" si="7"/>
        <v>112544.2698652564</v>
      </c>
      <c r="AF92" s="40">
        <f t="shared" si="14"/>
        <v>-2.2101286466487902E-2</v>
      </c>
      <c r="AG92" s="1"/>
      <c r="AH92" s="1"/>
      <c r="AI92" s="1"/>
      <c r="AJ92" s="1"/>
      <c r="AK92" s="1"/>
      <c r="AL92" s="1"/>
    </row>
    <row r="93" spans="1:38" x14ac:dyDescent="0.35">
      <c r="A93" s="1"/>
      <c r="B93" s="9" t="s">
        <v>85</v>
      </c>
      <c r="C93" s="20">
        <v>3.5400000000000001E-2</v>
      </c>
      <c r="D93" s="38">
        <f t="shared" si="0"/>
        <v>0.18560416191926046</v>
      </c>
      <c r="E93" s="32">
        <f t="shared" si="15"/>
        <v>20975.101263061813</v>
      </c>
      <c r="F93" s="49">
        <v>16634.34</v>
      </c>
      <c r="G93" s="17">
        <v>-2.6499999999999999E-2</v>
      </c>
      <c r="H93" s="38">
        <f t="shared" si="1"/>
        <v>0.24237236157031899</v>
      </c>
      <c r="I93" s="32">
        <f t="shared" si="8"/>
        <v>27390.46783614888</v>
      </c>
      <c r="J93" s="49">
        <v>14141.51</v>
      </c>
      <c r="K93" s="19">
        <v>8.6999999999999994E-3</v>
      </c>
      <c r="L93" s="38">
        <f t="shared" si="2"/>
        <v>0.35159041760850596</v>
      </c>
      <c r="M93" s="32">
        <f t="shared" si="9"/>
        <v>39733.185593481699</v>
      </c>
      <c r="N93" s="49">
        <v>30497.84</v>
      </c>
      <c r="O93" s="15">
        <v>-5.0599999999999999E-2</v>
      </c>
      <c r="P93" s="38">
        <f t="shared" si="3"/>
        <v>6.6184214109761316E-2</v>
      </c>
      <c r="Q93" s="31">
        <f t="shared" si="10"/>
        <v>7479.4690949457108</v>
      </c>
      <c r="R93" s="48">
        <v>-27851.24</v>
      </c>
      <c r="S93" s="19">
        <v>4.5400000000000003E-2</v>
      </c>
      <c r="T93" s="38">
        <f t="shared" si="4"/>
        <v>0.12493109560053342</v>
      </c>
      <c r="U93" s="31">
        <f t="shared" si="11"/>
        <v>14118.446235415571</v>
      </c>
      <c r="V93" s="48">
        <v>-7469.01</v>
      </c>
      <c r="W93" s="24">
        <v>-1.8700000000000001E-2</v>
      </c>
      <c r="X93" s="38">
        <f t="shared" si="5"/>
        <v>2.9317723072594188E-2</v>
      </c>
      <c r="Y93" s="31">
        <f t="shared" si="12"/>
        <v>3313.1919235602727</v>
      </c>
      <c r="Z93" s="48">
        <v>-25953.439999999999</v>
      </c>
      <c r="AA93" s="26">
        <v>1.2500000000000001E-2</v>
      </c>
      <c r="AB93" s="38">
        <f t="shared" si="6"/>
        <v>2.6119025787023801E-8</v>
      </c>
      <c r="AC93" s="31">
        <f t="shared" si="13"/>
        <v>2.9517075754673353E-3</v>
      </c>
      <c r="AD93" s="47">
        <v>0</v>
      </c>
      <c r="AE93" s="37">
        <f t="shared" si="7"/>
        <v>113009.86489832151</v>
      </c>
      <c r="AF93" s="40">
        <f t="shared" si="14"/>
        <v>4.1369945677602882E-3</v>
      </c>
      <c r="AG93" s="1"/>
      <c r="AH93" s="1"/>
      <c r="AI93" s="1"/>
      <c r="AJ93" s="1"/>
      <c r="AK93" s="1"/>
      <c r="AL93" s="1"/>
    </row>
    <row r="94" spans="1:38" x14ac:dyDescent="0.35">
      <c r="A94" s="1"/>
      <c r="B94" s="10" t="s">
        <v>86</v>
      </c>
      <c r="C94" s="20">
        <v>2.0500000000000001E-2</v>
      </c>
      <c r="D94" s="38">
        <f t="shared" si="0"/>
        <v>0.184976857248771</v>
      </c>
      <c r="E94" s="32">
        <f t="shared" si="15"/>
        <v>21405.09083895458</v>
      </c>
      <c r="F94" s="47">
        <v>0</v>
      </c>
      <c r="G94" s="17">
        <v>-1.1599999999999999E-2</v>
      </c>
      <c r="H94" s="38">
        <f t="shared" si="1"/>
        <v>0.23395509534336811</v>
      </c>
      <c r="I94" s="32">
        <f t="shared" si="8"/>
        <v>27072.738409249552</v>
      </c>
      <c r="J94" s="47">
        <v>0</v>
      </c>
      <c r="K94" s="19">
        <v>4.3700000000000003E-2</v>
      </c>
      <c r="L94" s="38">
        <f t="shared" si="2"/>
        <v>0.35836813833302084</v>
      </c>
      <c r="M94" s="32">
        <f t="shared" si="9"/>
        <v>41469.525803916848</v>
      </c>
      <c r="N94" s="47">
        <v>0</v>
      </c>
      <c r="O94" s="20">
        <v>4.7300000000000002E-2</v>
      </c>
      <c r="P94" s="38">
        <f t="shared" si="3"/>
        <v>6.7692756123881856E-2</v>
      </c>
      <c r="Q94" s="31">
        <f t="shared" si="10"/>
        <v>7833.2479831366427</v>
      </c>
      <c r="R94" s="47">
        <v>0</v>
      </c>
      <c r="S94" s="19">
        <v>3.5400000000000001E-2</v>
      </c>
      <c r="T94" s="38">
        <f t="shared" si="4"/>
        <v>0.12632676833833639</v>
      </c>
      <c r="U94" s="31">
        <f t="shared" si="11"/>
        <v>14618.239232149283</v>
      </c>
      <c r="V94" s="47">
        <v>0</v>
      </c>
      <c r="W94" s="25">
        <v>1.6999999999999999E-3</v>
      </c>
      <c r="X94" s="38">
        <f t="shared" si="5"/>
        <v>2.8680359387920837E-2</v>
      </c>
      <c r="Y94" s="31">
        <f t="shared" si="12"/>
        <v>3318.824349830325</v>
      </c>
      <c r="Z94" s="47">
        <v>0</v>
      </c>
      <c r="AA94" s="27">
        <v>-1.11E-2</v>
      </c>
      <c r="AB94" s="38">
        <f t="shared" si="6"/>
        <v>2.5224701059737442E-8</v>
      </c>
      <c r="AC94" s="31">
        <f t="shared" si="13"/>
        <v>2.9189436213796481E-3</v>
      </c>
      <c r="AD94" s="47">
        <v>0</v>
      </c>
      <c r="AE94" s="37">
        <f t="shared" si="7"/>
        <v>115717.66953618084</v>
      </c>
      <c r="AF94" s="40">
        <f t="shared" si="14"/>
        <v>2.3960781125573538E-2</v>
      </c>
      <c r="AG94" s="1"/>
      <c r="AH94" s="1"/>
      <c r="AI94" s="1"/>
      <c r="AJ94" s="1"/>
      <c r="AK94" s="1"/>
      <c r="AL94" s="1"/>
    </row>
    <row r="95" spans="1:38" x14ac:dyDescent="0.35">
      <c r="A95" s="1"/>
      <c r="B95" s="11" t="s">
        <v>87</v>
      </c>
      <c r="C95" s="15">
        <v>-2.1499999999999998E-2</v>
      </c>
      <c r="D95" s="38">
        <f t="shared" si="0"/>
        <v>0.18102683889110685</v>
      </c>
      <c r="E95" s="32">
        <f t="shared" si="15"/>
        <v>20944.881385917055</v>
      </c>
      <c r="F95" s="47">
        <v>0</v>
      </c>
      <c r="G95" s="19">
        <v>4.1200000000000001E-2</v>
      </c>
      <c r="H95" s="38">
        <f t="shared" si="1"/>
        <v>0.24363036109923478</v>
      </c>
      <c r="I95" s="32">
        <f t="shared" si="8"/>
        <v>28188.135231710632</v>
      </c>
      <c r="J95" s="47">
        <v>0</v>
      </c>
      <c r="K95" s="19">
        <v>2.2000000000000001E-3</v>
      </c>
      <c r="L95" s="38">
        <f t="shared" si="2"/>
        <v>0.3592100925155633</v>
      </c>
      <c r="M95" s="32">
        <f t="shared" si="9"/>
        <v>41560.758760685465</v>
      </c>
      <c r="N95" s="47">
        <v>0</v>
      </c>
      <c r="O95" s="15">
        <v>-7.0000000000000001E-3</v>
      </c>
      <c r="P95" s="38">
        <f t="shared" si="3"/>
        <v>6.7228928053977163E-2</v>
      </c>
      <c r="Q95" s="31">
        <f t="shared" si="10"/>
        <v>7778.4152472546866</v>
      </c>
      <c r="R95" s="47">
        <v>0</v>
      </c>
      <c r="S95" s="17">
        <v>-4.3200000000000002E-2</v>
      </c>
      <c r="T95" s="38">
        <f t="shared" si="4"/>
        <v>0.12088747157459098</v>
      </c>
      <c r="U95" s="31">
        <f t="shared" si="11"/>
        <v>13986.731297320433</v>
      </c>
      <c r="V95" s="47">
        <v>0</v>
      </c>
      <c r="W95" s="24">
        <v>-2.3300000000000001E-2</v>
      </c>
      <c r="X95" s="38">
        <f t="shared" si="5"/>
        <v>2.8016283154248697E-2</v>
      </c>
      <c r="Y95" s="31">
        <f t="shared" si="12"/>
        <v>3241.4957424792783</v>
      </c>
      <c r="Z95" s="47">
        <v>0</v>
      </c>
      <c r="AA95" s="27">
        <v>-2.0500000000000001E-2</v>
      </c>
      <c r="AB95" s="38">
        <f t="shared" si="6"/>
        <v>2.4711278180156746E-8</v>
      </c>
      <c r="AC95" s="31">
        <f t="shared" si="13"/>
        <v>2.8591052771413652E-3</v>
      </c>
      <c r="AD95" s="47">
        <v>0</v>
      </c>
      <c r="AE95" s="37">
        <f t="shared" si="7"/>
        <v>115700.42052447284</v>
      </c>
      <c r="AF95" s="40">
        <f t="shared" si="14"/>
        <v>-1.4906117429724919E-4</v>
      </c>
      <c r="AG95" s="1"/>
      <c r="AH95" s="1"/>
      <c r="AI95" s="1"/>
      <c r="AJ95" s="1"/>
      <c r="AK95" s="1"/>
      <c r="AL95" s="1"/>
    </row>
    <row r="96" spans="1:38" x14ac:dyDescent="0.35">
      <c r="A96" s="1"/>
      <c r="B96" s="10" t="s">
        <v>88</v>
      </c>
      <c r="C96" s="15">
        <v>-1.1999999999999999E-3</v>
      </c>
      <c r="D96" s="38">
        <f t="shared" ref="D96:D159" si="16">E96/AE96</f>
        <v>0.2425553420465075</v>
      </c>
      <c r="E96" s="32">
        <f t="shared" si="15"/>
        <v>28890.401252253952</v>
      </c>
      <c r="F96" s="49">
        <v>7980.23</v>
      </c>
      <c r="G96" s="17">
        <v>-2.3E-3</v>
      </c>
      <c r="H96" s="38">
        <f t="shared" ref="H96:H159" si="17">I96/AE96</f>
        <v>6.7840649078791171E-2</v>
      </c>
      <c r="I96" s="32">
        <f t="shared" si="8"/>
        <v>8080.3974736776981</v>
      </c>
      <c r="J96" s="48">
        <v>-20089.11</v>
      </c>
      <c r="K96" s="17">
        <v>-3.2000000000000002E-3</v>
      </c>
      <c r="L96" s="38">
        <f t="shared" ref="L96:L159" si="18">M96/AE96</f>
        <v>0.35673328846856112</v>
      </c>
      <c r="M96" s="32">
        <f t="shared" si="9"/>
        <v>42489.964380651269</v>
      </c>
      <c r="N96" s="49">
        <v>1065.6099999999999</v>
      </c>
      <c r="O96" s="20">
        <v>6.1199999999999997E-2</v>
      </c>
      <c r="P96" s="38">
        <f t="shared" ref="P96:P159" si="19">Q96/AE96</f>
        <v>0.12370023706428031</v>
      </c>
      <c r="Q96" s="31">
        <f t="shared" si="10"/>
        <v>14733.748816386673</v>
      </c>
      <c r="R96" s="49">
        <v>6105.63</v>
      </c>
      <c r="S96" s="19">
        <v>2.69E-2</v>
      </c>
      <c r="T96" s="38">
        <f t="shared" ref="T96:T159" si="20">U96/AE96</f>
        <v>0.1803290709938693</v>
      </c>
      <c r="U96" s="31">
        <f t="shared" si="11"/>
        <v>21478.723884218354</v>
      </c>
      <c r="V96" s="49">
        <v>6929.35</v>
      </c>
      <c r="W96" s="24">
        <v>-1.03E-2</v>
      </c>
      <c r="X96" s="38">
        <f t="shared" ref="X96:X159" si="21">Y96/AE96</f>
        <v>2.8841389037502121E-2</v>
      </c>
      <c r="Y96" s="31">
        <f t="shared" si="12"/>
        <v>3435.2543833317413</v>
      </c>
      <c r="Z96" s="49">
        <v>229.51</v>
      </c>
      <c r="AA96" s="27">
        <v>-2.8899999999999999E-2</v>
      </c>
      <c r="AB96" s="38">
        <f t="shared" si="6"/>
        <v>2.3310488324298583E-8</v>
      </c>
      <c r="AC96" s="31">
        <f t="shared" si="13"/>
        <v>2.7764771346319799E-3</v>
      </c>
      <c r="AD96" s="47">
        <v>0</v>
      </c>
      <c r="AE96" s="37">
        <f t="shared" si="7"/>
        <v>119108.49296699684</v>
      </c>
      <c r="AF96" s="40">
        <f t="shared" si="14"/>
        <v>2.9456007394572437E-2</v>
      </c>
      <c r="AG96" s="1"/>
      <c r="AH96" s="1"/>
      <c r="AI96" s="1"/>
      <c r="AJ96" s="1"/>
      <c r="AK96" s="1"/>
      <c r="AL96" s="1"/>
    </row>
    <row r="97" spans="1:38" x14ac:dyDescent="0.35">
      <c r="A97" s="1"/>
      <c r="B97" s="11" t="s">
        <v>89</v>
      </c>
      <c r="C97" s="15">
        <v>-9.1000000000000004E-3</v>
      </c>
      <c r="D97" s="38">
        <f t="shared" si="16"/>
        <v>0.24184621860072028</v>
      </c>
      <c r="E97" s="32">
        <f t="shared" si="15"/>
        <v>28627.498600858442</v>
      </c>
      <c r="F97" s="47">
        <v>0</v>
      </c>
      <c r="G97" s="17">
        <v>-2.5100000000000001E-2</v>
      </c>
      <c r="H97" s="38">
        <f t="shared" si="17"/>
        <v>6.655009715170368E-2</v>
      </c>
      <c r="I97" s="32">
        <f t="shared" si="8"/>
        <v>7877.5794970883881</v>
      </c>
      <c r="J97" s="47">
        <v>0</v>
      </c>
      <c r="K97" s="17">
        <v>-1.3599999999999999E-2</v>
      </c>
      <c r="L97" s="38">
        <f t="shared" si="18"/>
        <v>0.35407505381997539</v>
      </c>
      <c r="M97" s="32">
        <f t="shared" si="9"/>
        <v>41912.100865074412</v>
      </c>
      <c r="N97" s="47">
        <v>0</v>
      </c>
      <c r="O97" s="15">
        <v>-1.38E-2</v>
      </c>
      <c r="P97" s="38">
        <f t="shared" si="19"/>
        <v>0.12275357781763042</v>
      </c>
      <c r="Q97" s="31">
        <f t="shared" si="10"/>
        <v>14530.423082720537</v>
      </c>
      <c r="R97" s="47">
        <v>0</v>
      </c>
      <c r="S97" s="19">
        <v>1.8200000000000001E-2</v>
      </c>
      <c r="T97" s="38">
        <f t="shared" si="20"/>
        <v>0.18475553878712772</v>
      </c>
      <c r="U97" s="31">
        <f t="shared" si="11"/>
        <v>21869.636658911128</v>
      </c>
      <c r="V97" s="47">
        <v>0</v>
      </c>
      <c r="W97" s="25">
        <v>3.44E-2</v>
      </c>
      <c r="X97" s="38">
        <f t="shared" si="21"/>
        <v>3.0019490261505005E-2</v>
      </c>
      <c r="Y97" s="31">
        <f t="shared" si="12"/>
        <v>3553.427134118353</v>
      </c>
      <c r="Z97" s="47">
        <v>0</v>
      </c>
      <c r="AA97" s="26">
        <v>4.4999999999999997E-3</v>
      </c>
      <c r="AB97" s="38">
        <f t="shared" ref="AB97:AB160" si="22">AC97/AE97</f>
        <v>2.3561337568419991E-8</v>
      </c>
      <c r="AC97" s="31">
        <f t="shared" si="13"/>
        <v>2.7889712817378239E-3</v>
      </c>
      <c r="AD97" s="47">
        <v>0</v>
      </c>
      <c r="AE97" s="37">
        <f t="shared" ref="AE97:AE160" si="23">Q97+M97+I97+E97+U97+Y97+AC97</f>
        <v>118370.66862774253</v>
      </c>
      <c r="AF97" s="40">
        <f t="shared" si="14"/>
        <v>-6.1945569192849437E-3</v>
      </c>
      <c r="AG97" s="1"/>
      <c r="AH97" s="1"/>
      <c r="AI97" s="1"/>
      <c r="AJ97" s="1"/>
      <c r="AK97" s="1"/>
      <c r="AL97" s="1"/>
    </row>
    <row r="98" spans="1:38" x14ac:dyDescent="0.35">
      <c r="A98" s="1"/>
      <c r="B98" s="10" t="s">
        <v>90</v>
      </c>
      <c r="C98" s="15">
        <v>-3.1199999999999999E-2</v>
      </c>
      <c r="D98" s="38">
        <f t="shared" si="16"/>
        <v>0.24361565170895938</v>
      </c>
      <c r="E98" s="32">
        <f t="shared" si="15"/>
        <v>27734.320644511659</v>
      </c>
      <c r="F98" s="47">
        <v>0</v>
      </c>
      <c r="G98" s="17">
        <v>-3.2099999999999997E-2</v>
      </c>
      <c r="H98" s="38">
        <f t="shared" si="17"/>
        <v>6.6974725052631939E-2</v>
      </c>
      <c r="I98" s="32">
        <f t="shared" ref="I98:I161" si="24">((I97+J98)*G98)+I97+J98</f>
        <v>7624.7091952318506</v>
      </c>
      <c r="J98" s="47">
        <v>0</v>
      </c>
      <c r="K98" s="17">
        <v>-3.6900000000000002E-2</v>
      </c>
      <c r="L98" s="38">
        <f t="shared" si="18"/>
        <v>0.35456712705490923</v>
      </c>
      <c r="M98" s="32">
        <f t="shared" ref="M98:M161" si="25">((M97+N98)*K98)+M97+N98</f>
        <v>40365.544343153168</v>
      </c>
      <c r="N98" s="47">
        <v>0</v>
      </c>
      <c r="O98" s="15">
        <v>-3.5499999999999997E-2</v>
      </c>
      <c r="P98" s="38">
        <f t="shared" si="19"/>
        <v>0.12310286111960032</v>
      </c>
      <c r="Q98" s="31">
        <f t="shared" ref="Q98:Q161" si="26">((Q97+R98)*O98)+Q97+R98</f>
        <v>14014.593063283959</v>
      </c>
      <c r="R98" s="47">
        <v>0</v>
      </c>
      <c r="S98" s="17">
        <v>-5.3800000000000001E-2</v>
      </c>
      <c r="T98" s="38">
        <f t="shared" si="20"/>
        <v>0.18176579756748795</v>
      </c>
      <c r="U98" s="31">
        <f t="shared" ref="U98:U161" si="27">((U97+V98)*S98)+U97+V98</f>
        <v>20693.050206661708</v>
      </c>
      <c r="V98" s="47">
        <v>0</v>
      </c>
      <c r="W98" s="24">
        <v>-3.9699999999999999E-2</v>
      </c>
      <c r="X98" s="38">
        <f t="shared" si="21"/>
        <v>2.9973813319275615E-2</v>
      </c>
      <c r="Y98" s="31">
        <f t="shared" ref="Y98:Y161" si="28">((Y97+Z98)*W98)+Y97+Z98</f>
        <v>3412.3560768938546</v>
      </c>
      <c r="Z98" s="47">
        <v>0</v>
      </c>
      <c r="AA98" s="27">
        <v>-1.3100000000000001E-2</v>
      </c>
      <c r="AB98" s="38">
        <f t="shared" si="22"/>
        <v>2.4177135598668741E-8</v>
      </c>
      <c r="AC98" s="31">
        <f t="shared" ref="AC98:AC161" si="29">((AC97+AD98)*AA98)+AC97+AD98</f>
        <v>2.7524357579470585E-3</v>
      </c>
      <c r="AD98" s="47">
        <v>0</v>
      </c>
      <c r="AE98" s="37">
        <f t="shared" si="23"/>
        <v>113844.57628217195</v>
      </c>
      <c r="AF98" s="40">
        <f t="shared" ref="AF98:AF161" si="30">AE98/AE97-1</f>
        <v>-3.8236603696177762E-2</v>
      </c>
      <c r="AG98" s="1"/>
      <c r="AH98" s="1"/>
      <c r="AI98" s="1"/>
      <c r="AJ98" s="1"/>
      <c r="AK98" s="1"/>
      <c r="AL98" s="1"/>
    </row>
    <row r="99" spans="1:38" x14ac:dyDescent="0.35">
      <c r="A99" s="1"/>
      <c r="B99" s="11" t="s">
        <v>91</v>
      </c>
      <c r="C99" s="15">
        <v>-2.1499999999999998E-2</v>
      </c>
      <c r="D99" s="38">
        <f t="shared" si="16"/>
        <v>9.6648388315811795E-2</v>
      </c>
      <c r="E99" s="32">
        <f t="shared" ref="E99:E162" si="31">((E98+F99)*C99)+E98+F99</f>
        <v>11139.694740654657</v>
      </c>
      <c r="F99" s="48">
        <v>-16349.86</v>
      </c>
      <c r="G99" s="17">
        <v>-1.03E-2</v>
      </c>
      <c r="H99" s="38">
        <f t="shared" si="17"/>
        <v>2.9326398970555657E-2</v>
      </c>
      <c r="I99" s="32">
        <f t="shared" si="24"/>
        <v>3380.161201520963</v>
      </c>
      <c r="J99" s="48">
        <v>-4209.37</v>
      </c>
      <c r="K99" s="17">
        <v>-3.6999999999999998E-2</v>
      </c>
      <c r="L99" s="38">
        <f t="shared" si="18"/>
        <v>0.38046962132759016</v>
      </c>
      <c r="M99" s="32">
        <f t="shared" si="25"/>
        <v>43852.934472456502</v>
      </c>
      <c r="N99" s="49">
        <v>5172.29</v>
      </c>
      <c r="O99" s="20">
        <v>8.43E-2</v>
      </c>
      <c r="P99" s="38">
        <f t="shared" si="19"/>
        <v>0.32129530986241506</v>
      </c>
      <c r="Q99" s="31">
        <f t="shared" si="26"/>
        <v>37032.502412518792</v>
      </c>
      <c r="R99" s="49">
        <v>20138.78</v>
      </c>
      <c r="S99" s="19">
        <v>1.5599999999999999E-2</v>
      </c>
      <c r="T99" s="38">
        <f t="shared" si="20"/>
        <v>0.10031282513891032</v>
      </c>
      <c r="U99" s="31">
        <f t="shared" si="27"/>
        <v>11562.05778588563</v>
      </c>
      <c r="V99" s="48">
        <v>-9308.59</v>
      </c>
      <c r="W99" s="25">
        <v>4.0599999999999997E-2</v>
      </c>
      <c r="X99" s="38">
        <f t="shared" si="21"/>
        <v>7.1947432504486361E-2</v>
      </c>
      <c r="Y99" s="31">
        <f t="shared" si="28"/>
        <v>8292.6621896157449</v>
      </c>
      <c r="Z99" s="49">
        <v>4556.76</v>
      </c>
      <c r="AA99" s="26">
        <v>0</v>
      </c>
      <c r="AB99" s="38">
        <f t="shared" si="22"/>
        <v>2.3880230665347632E-8</v>
      </c>
      <c r="AC99" s="31">
        <f t="shared" si="29"/>
        <v>2.7524357579470585E-3</v>
      </c>
      <c r="AD99" s="47">
        <v>0</v>
      </c>
      <c r="AE99" s="37">
        <f t="shared" si="23"/>
        <v>115260.01555508804</v>
      </c>
      <c r="AF99" s="40">
        <f t="shared" si="30"/>
        <v>1.2433084817390139E-2</v>
      </c>
      <c r="AG99" s="1"/>
      <c r="AH99" s="1"/>
      <c r="AI99" s="1"/>
      <c r="AJ99" s="1"/>
      <c r="AK99" s="1"/>
      <c r="AL99" s="1"/>
    </row>
    <row r="100" spans="1:38" x14ac:dyDescent="0.35">
      <c r="A100" s="1"/>
      <c r="B100" s="10" t="s">
        <v>92</v>
      </c>
      <c r="C100" s="15">
        <v>-3.9300000000000002E-2</v>
      </c>
      <c r="D100" s="38">
        <f t="shared" si="16"/>
        <v>9.1354080291629849E-2</v>
      </c>
      <c r="E100" s="32">
        <f t="shared" si="31"/>
        <v>10701.904737346929</v>
      </c>
      <c r="F100" s="47">
        <v>0</v>
      </c>
      <c r="G100" s="17">
        <v>-7.5800000000000006E-2</v>
      </c>
      <c r="H100" s="38">
        <f t="shared" si="17"/>
        <v>2.6666759586922387E-2</v>
      </c>
      <c r="I100" s="32">
        <f t="shared" si="24"/>
        <v>3123.9449824456742</v>
      </c>
      <c r="J100" s="47">
        <v>0</v>
      </c>
      <c r="K100" s="17">
        <v>-7.2099999999999997E-2</v>
      </c>
      <c r="L100" s="38">
        <f t="shared" si="18"/>
        <v>0.34734952046687417</v>
      </c>
      <c r="M100" s="32">
        <f t="shared" si="25"/>
        <v>40691.13789699239</v>
      </c>
      <c r="N100" s="47">
        <v>0</v>
      </c>
      <c r="O100" s="20">
        <v>0.14180000000000001</v>
      </c>
      <c r="P100" s="38">
        <f t="shared" si="19"/>
        <v>0.36094411675166027</v>
      </c>
      <c r="Q100" s="31">
        <f t="shared" si="26"/>
        <v>42283.711254613954</v>
      </c>
      <c r="R100" s="47">
        <v>0</v>
      </c>
      <c r="S100" s="17">
        <v>-3.8699999999999998E-2</v>
      </c>
      <c r="T100" s="38">
        <f t="shared" si="20"/>
        <v>9.4877000638443898E-2</v>
      </c>
      <c r="U100" s="31">
        <f t="shared" si="27"/>
        <v>11114.606149571857</v>
      </c>
      <c r="V100" s="47">
        <v>0</v>
      </c>
      <c r="W100" s="25">
        <v>0.1133</v>
      </c>
      <c r="X100" s="38">
        <f t="shared" si="21"/>
        <v>7.8808498334337312E-2</v>
      </c>
      <c r="Y100" s="31">
        <f t="shared" si="28"/>
        <v>9232.2208156992092</v>
      </c>
      <c r="Z100" s="47">
        <v>0</v>
      </c>
      <c r="AA100" s="26">
        <v>1.8499999999999999E-2</v>
      </c>
      <c r="AB100" s="38">
        <f t="shared" si="22"/>
        <v>2.3930131962777533E-8</v>
      </c>
      <c r="AC100" s="31">
        <f t="shared" si="29"/>
        <v>2.803355819469079E-3</v>
      </c>
      <c r="AD100" s="47">
        <v>0</v>
      </c>
      <c r="AE100" s="37">
        <f t="shared" si="23"/>
        <v>117147.52864002585</v>
      </c>
      <c r="AF100" s="40">
        <f t="shared" si="30"/>
        <v>1.6376130749658602E-2</v>
      </c>
      <c r="AG100" s="1"/>
      <c r="AH100" s="1"/>
      <c r="AI100" s="1"/>
      <c r="AJ100" s="1"/>
      <c r="AK100" s="1"/>
      <c r="AL100" s="1"/>
    </row>
    <row r="101" spans="1:38" x14ac:dyDescent="0.35">
      <c r="A101" s="1"/>
      <c r="B101" s="11" t="s">
        <v>93</v>
      </c>
      <c r="C101" s="20">
        <v>6.1400000000000003E-2</v>
      </c>
      <c r="D101" s="38">
        <f t="shared" si="16"/>
        <v>9.3362947734935225E-2</v>
      </c>
      <c r="E101" s="32">
        <f t="shared" si="31"/>
        <v>11359.001688220031</v>
      </c>
      <c r="F101" s="47">
        <v>0</v>
      </c>
      <c r="G101" s="17">
        <v>-6.13E-2</v>
      </c>
      <c r="H101" s="38">
        <f t="shared" si="17"/>
        <v>2.4102638417043628E-2</v>
      </c>
      <c r="I101" s="32">
        <f t="shared" si="24"/>
        <v>2932.4471550217545</v>
      </c>
      <c r="J101" s="47">
        <v>0</v>
      </c>
      <c r="K101" s="19">
        <v>1.2E-2</v>
      </c>
      <c r="L101" s="38">
        <f t="shared" si="18"/>
        <v>0.33846575792906891</v>
      </c>
      <c r="M101" s="32">
        <f t="shared" si="25"/>
        <v>41179.431551756301</v>
      </c>
      <c r="N101" s="47">
        <v>0</v>
      </c>
      <c r="O101" s="20">
        <v>1.83E-2</v>
      </c>
      <c r="P101" s="38">
        <f t="shared" si="19"/>
        <v>0.35390217630480747</v>
      </c>
      <c r="Q101" s="31">
        <f t="shared" si="26"/>
        <v>43057.503170573393</v>
      </c>
      <c r="R101" s="47">
        <v>0</v>
      </c>
      <c r="S101" s="19">
        <v>9.7000000000000003E-3</v>
      </c>
      <c r="T101" s="38">
        <f t="shared" si="20"/>
        <v>9.2240325163074205E-2</v>
      </c>
      <c r="U101" s="31">
        <f t="shared" si="27"/>
        <v>11222.417829222704</v>
      </c>
      <c r="V101" s="47">
        <v>0</v>
      </c>
      <c r="W101" s="25">
        <v>0.29049999999999998</v>
      </c>
      <c r="X101" s="38">
        <f t="shared" si="21"/>
        <v>9.7926128109914509E-2</v>
      </c>
      <c r="Y101" s="31">
        <f t="shared" si="28"/>
        <v>11914.18096265983</v>
      </c>
      <c r="Z101" s="47">
        <v>0</v>
      </c>
      <c r="AA101" s="26">
        <v>0.14319999999999999</v>
      </c>
      <c r="AB101" s="38">
        <f t="shared" si="22"/>
        <v>2.6341156068911081E-8</v>
      </c>
      <c r="AC101" s="31">
        <f t="shared" si="29"/>
        <v>3.2047963728170509E-3</v>
      </c>
      <c r="AD101" s="47">
        <v>0</v>
      </c>
      <c r="AE101" s="37">
        <f t="shared" si="23"/>
        <v>121664.98556225038</v>
      </c>
      <c r="AF101" s="40">
        <f t="shared" si="30"/>
        <v>3.8562118848498361E-2</v>
      </c>
      <c r="AG101" s="1"/>
      <c r="AH101" s="1"/>
      <c r="AI101" s="1"/>
      <c r="AJ101" s="1"/>
      <c r="AK101" s="1"/>
      <c r="AL101" s="1"/>
    </row>
    <row r="102" spans="1:38" x14ac:dyDescent="0.35">
      <c r="A102" s="1"/>
      <c r="B102" s="10" t="s">
        <v>94</v>
      </c>
      <c r="C102" s="20">
        <v>1.49E-2</v>
      </c>
      <c r="D102" s="38">
        <f t="shared" si="16"/>
        <v>0.10571931086178787</v>
      </c>
      <c r="E102" s="32">
        <f t="shared" si="31"/>
        <v>12347.782563374509</v>
      </c>
      <c r="F102" s="49">
        <v>807.5</v>
      </c>
      <c r="G102" s="19">
        <v>6.5500000000000003E-2</v>
      </c>
      <c r="H102" s="38">
        <f t="shared" si="17"/>
        <v>3.3297021073526445E-2</v>
      </c>
      <c r="I102" s="32">
        <f t="shared" si="24"/>
        <v>3889.0186936756795</v>
      </c>
      <c r="J102" s="49">
        <v>717.5</v>
      </c>
      <c r="K102" s="19">
        <v>5.45E-2</v>
      </c>
      <c r="L102" s="38">
        <f t="shared" si="18"/>
        <v>7.6891036262626958E-2</v>
      </c>
      <c r="M102" s="32">
        <f t="shared" si="25"/>
        <v>8980.7036113270187</v>
      </c>
      <c r="N102" s="48">
        <v>-32662.880000000001</v>
      </c>
      <c r="O102" s="15">
        <v>-3.27E-2</v>
      </c>
      <c r="P102" s="38">
        <f t="shared" si="19"/>
        <v>0.35266330660453526</v>
      </c>
      <c r="Q102" s="31">
        <f t="shared" si="26"/>
        <v>41190.297141895644</v>
      </c>
      <c r="R102" s="48">
        <v>-474.75</v>
      </c>
      <c r="S102" s="19">
        <v>4.7100000000000003E-2</v>
      </c>
      <c r="T102" s="38">
        <f t="shared" si="20"/>
        <v>0.10907346072689722</v>
      </c>
      <c r="U102" s="31">
        <f t="shared" si="27"/>
        <v>12739.539876979094</v>
      </c>
      <c r="V102" s="49">
        <v>944.08</v>
      </c>
      <c r="W102" s="24">
        <v>-0.1211</v>
      </c>
      <c r="X102" s="38">
        <f t="shared" si="21"/>
        <v>0.27465767624585624</v>
      </c>
      <c r="Y102" s="31">
        <f t="shared" si="28"/>
        <v>32079.411396081723</v>
      </c>
      <c r="Z102" s="49">
        <v>24585.32</v>
      </c>
      <c r="AA102" s="27">
        <v>-8.4199999999999997E-2</v>
      </c>
      <c r="AB102" s="38">
        <f t="shared" si="22"/>
        <v>4.7698188224770073E-2</v>
      </c>
      <c r="AC102" s="31">
        <f t="shared" si="29"/>
        <v>5571.0432849525187</v>
      </c>
      <c r="AD102" s="49">
        <v>6083.25</v>
      </c>
      <c r="AE102" s="37">
        <f t="shared" si="23"/>
        <v>116797.79656828618</v>
      </c>
      <c r="AF102" s="40">
        <f t="shared" si="30"/>
        <v>-4.0004845859895166E-2</v>
      </c>
      <c r="AG102" s="1"/>
      <c r="AH102" s="1"/>
      <c r="AI102" s="1"/>
      <c r="AJ102" s="1"/>
      <c r="AK102" s="1"/>
      <c r="AL102" s="1"/>
    </row>
    <row r="103" spans="1:38" x14ac:dyDescent="0.35">
      <c r="A103" s="1"/>
      <c r="B103" s="11" t="s">
        <v>95</v>
      </c>
      <c r="C103" s="20">
        <v>9.6699999999999994E-2</v>
      </c>
      <c r="D103" s="38">
        <f t="shared" si="16"/>
        <v>0.10462249882898192</v>
      </c>
      <c r="E103" s="32">
        <f t="shared" si="31"/>
        <v>13541.813137252824</v>
      </c>
      <c r="F103" s="47">
        <v>0</v>
      </c>
      <c r="G103" s="19">
        <v>8.0600000000000005E-2</v>
      </c>
      <c r="H103" s="38">
        <f t="shared" si="17"/>
        <v>3.2467830184843338E-2</v>
      </c>
      <c r="I103" s="32">
        <f t="shared" si="24"/>
        <v>4202.4736003859389</v>
      </c>
      <c r="J103" s="47">
        <v>0</v>
      </c>
      <c r="K103" s="19">
        <v>9.8100000000000007E-2</v>
      </c>
      <c r="L103" s="38">
        <f t="shared" si="18"/>
        <v>7.6190447982650247E-2</v>
      </c>
      <c r="M103" s="32">
        <f t="shared" si="25"/>
        <v>9861.7106355981996</v>
      </c>
      <c r="N103" s="47">
        <v>0</v>
      </c>
      <c r="O103" s="20">
        <v>0.12180000000000001</v>
      </c>
      <c r="P103" s="38">
        <f t="shared" si="19"/>
        <v>0.35699212214055182</v>
      </c>
      <c r="Q103" s="31">
        <f t="shared" si="26"/>
        <v>46207.275333778533</v>
      </c>
      <c r="R103" s="47">
        <v>0</v>
      </c>
      <c r="S103" s="19">
        <v>6.0400000000000002E-2</v>
      </c>
      <c r="T103" s="38">
        <f t="shared" si="20"/>
        <v>0.10436905075310608</v>
      </c>
      <c r="U103" s="31">
        <f t="shared" si="27"/>
        <v>13509.00808554863</v>
      </c>
      <c r="V103" s="47">
        <v>0</v>
      </c>
      <c r="W103" s="25">
        <v>0.12130000000000001</v>
      </c>
      <c r="X103" s="38">
        <f t="shared" si="21"/>
        <v>0.27790507973044953</v>
      </c>
      <c r="Y103" s="31">
        <f t="shared" si="28"/>
        <v>35970.643998426436</v>
      </c>
      <c r="Z103" s="47">
        <v>0</v>
      </c>
      <c r="AA103" s="26">
        <v>0.10249999999999999</v>
      </c>
      <c r="AB103" s="38">
        <f t="shared" si="22"/>
        <v>4.7452970379416988E-2</v>
      </c>
      <c r="AC103" s="31">
        <f t="shared" si="29"/>
        <v>6142.0752216601522</v>
      </c>
      <c r="AD103" s="47">
        <v>0</v>
      </c>
      <c r="AE103" s="37">
        <f t="shared" si="23"/>
        <v>129435.00001265072</v>
      </c>
      <c r="AF103" s="40">
        <f t="shared" si="30"/>
        <v>0.10819727611022323</v>
      </c>
      <c r="AG103" s="1"/>
      <c r="AH103" s="1"/>
      <c r="AI103" s="1"/>
      <c r="AJ103" s="1"/>
      <c r="AK103" s="1"/>
      <c r="AL103" s="1"/>
    </row>
    <row r="104" spans="1:38" x14ac:dyDescent="0.35">
      <c r="A104" s="1"/>
      <c r="B104" s="10" t="s">
        <v>96</v>
      </c>
      <c r="C104" s="20">
        <v>2.0199999999999999E-2</v>
      </c>
      <c r="D104" s="38">
        <f t="shared" si="16"/>
        <v>0.10833599159186001</v>
      </c>
      <c r="E104" s="32">
        <f t="shared" si="31"/>
        <v>13815.357762625332</v>
      </c>
      <c r="F104" s="47">
        <v>0</v>
      </c>
      <c r="G104" s="17">
        <v>-4.07E-2</v>
      </c>
      <c r="H104" s="38">
        <f t="shared" si="17"/>
        <v>3.1613316929892291E-2</v>
      </c>
      <c r="I104" s="32">
        <f t="shared" si="24"/>
        <v>4031.4329248502313</v>
      </c>
      <c r="J104" s="47">
        <v>0</v>
      </c>
      <c r="K104" s="19">
        <v>1.1900000000000001E-2</v>
      </c>
      <c r="L104" s="38">
        <f t="shared" si="18"/>
        <v>7.8252906631932753E-2</v>
      </c>
      <c r="M104" s="32">
        <f t="shared" si="25"/>
        <v>9979.0649921618187</v>
      </c>
      <c r="N104" s="47">
        <v>0</v>
      </c>
      <c r="O104" s="15">
        <v>-9.35E-2</v>
      </c>
      <c r="P104" s="38">
        <f t="shared" si="19"/>
        <v>0.32846477031258892</v>
      </c>
      <c r="Q104" s="31">
        <f t="shared" si="26"/>
        <v>41886.89509007024</v>
      </c>
      <c r="R104" s="47">
        <v>0</v>
      </c>
      <c r="S104" s="19">
        <v>4.9000000000000002E-2</v>
      </c>
      <c r="T104" s="38">
        <f t="shared" si="20"/>
        <v>0.11112443776561128</v>
      </c>
      <c r="U104" s="31">
        <f t="shared" si="27"/>
        <v>14170.949481740514</v>
      </c>
      <c r="V104" s="47">
        <v>0</v>
      </c>
      <c r="W104" s="25">
        <v>4.0500000000000001E-2</v>
      </c>
      <c r="X104" s="38">
        <f t="shared" si="21"/>
        <v>0.29349514710796532</v>
      </c>
      <c r="Y104" s="31">
        <f t="shared" si="28"/>
        <v>37427.455080362706</v>
      </c>
      <c r="Z104" s="47">
        <v>0</v>
      </c>
      <c r="AA104" s="26">
        <v>1.14E-2</v>
      </c>
      <c r="AB104" s="38">
        <f t="shared" si="22"/>
        <v>4.8713429660149389E-2</v>
      </c>
      <c r="AC104" s="31">
        <f t="shared" si="29"/>
        <v>6212.0948791870778</v>
      </c>
      <c r="AD104" s="47">
        <v>0</v>
      </c>
      <c r="AE104" s="37">
        <f t="shared" si="23"/>
        <v>127523.25021099793</v>
      </c>
      <c r="AF104" s="40">
        <f t="shared" si="30"/>
        <v>-1.4769960223015022E-2</v>
      </c>
      <c r="AG104" s="1"/>
      <c r="AH104" s="1"/>
      <c r="AI104" s="1"/>
      <c r="AJ104" s="1"/>
      <c r="AK104" s="1"/>
      <c r="AL104" s="1"/>
    </row>
    <row r="105" spans="1:38" x14ac:dyDescent="0.35">
      <c r="A105" s="1"/>
      <c r="B105" s="9" t="s">
        <v>97</v>
      </c>
      <c r="C105" s="15">
        <v>-1.9099999999999999E-2</v>
      </c>
      <c r="D105" s="38">
        <f t="shared" si="16"/>
        <v>0.11846937635818862</v>
      </c>
      <c r="E105" s="32">
        <f t="shared" si="31"/>
        <v>15010.504516359188</v>
      </c>
      <c r="F105" s="49">
        <v>1487.43</v>
      </c>
      <c r="G105" s="19">
        <v>4.3200000000000002E-2</v>
      </c>
      <c r="H105" s="38">
        <f t="shared" si="17"/>
        <v>3.149848270295029E-2</v>
      </c>
      <c r="I105" s="32">
        <f t="shared" si="24"/>
        <v>3990.9732912037612</v>
      </c>
      <c r="J105" s="48">
        <v>-205.73</v>
      </c>
      <c r="K105" s="19">
        <v>7.1000000000000004E-3</v>
      </c>
      <c r="L105" s="38">
        <f t="shared" si="18"/>
        <v>7.0953069085013101E-2</v>
      </c>
      <c r="M105" s="32">
        <f t="shared" si="25"/>
        <v>8990.0141006061676</v>
      </c>
      <c r="N105" s="48">
        <v>-1052.43</v>
      </c>
      <c r="O105" s="20">
        <v>4.3499999999999997E-2</v>
      </c>
      <c r="P105" s="38">
        <f t="shared" si="19"/>
        <v>0.31507488092960978</v>
      </c>
      <c r="Q105" s="31">
        <f t="shared" si="26"/>
        <v>39921.143071488295</v>
      </c>
      <c r="R105" s="48">
        <v>-3629.93</v>
      </c>
      <c r="S105" s="17">
        <v>-1E-4</v>
      </c>
      <c r="T105" s="38">
        <f t="shared" si="20"/>
        <v>0.18114624814208044</v>
      </c>
      <c r="U105" s="31">
        <f t="shared" si="27"/>
        <v>22951.89406279234</v>
      </c>
      <c r="V105" s="49">
        <v>8783.24</v>
      </c>
      <c r="W105" s="24">
        <v>-6.3200000000000006E-2</v>
      </c>
      <c r="X105" s="38">
        <f t="shared" si="21"/>
        <v>0.28285790659558036</v>
      </c>
      <c r="Y105" s="31">
        <f t="shared" si="28"/>
        <v>35839.134255283781</v>
      </c>
      <c r="Z105" s="49">
        <v>829.52</v>
      </c>
      <c r="AA105" s="27">
        <v>-6.0299999999999999E-2</v>
      </c>
      <c r="AB105" s="38">
        <f t="shared" si="22"/>
        <v>3.6186577499362615E-8</v>
      </c>
      <c r="AC105" s="31">
        <f t="shared" si="29"/>
        <v>4.5849720972910291E-3</v>
      </c>
      <c r="AD105" s="48">
        <v>-6212.09</v>
      </c>
      <c r="AE105" s="37">
        <f t="shared" si="23"/>
        <v>126703.66788270562</v>
      </c>
      <c r="AF105" s="40">
        <f t="shared" si="30"/>
        <v>-6.4269247132286988E-3</v>
      </c>
      <c r="AG105" s="1"/>
      <c r="AH105" s="1"/>
      <c r="AI105" s="1"/>
      <c r="AJ105" s="1"/>
      <c r="AK105" s="1"/>
      <c r="AL105" s="1"/>
    </row>
    <row r="106" spans="1:38" x14ac:dyDescent="0.35">
      <c r="A106" s="1"/>
      <c r="B106" s="10" t="s">
        <v>98</v>
      </c>
      <c r="C106" s="20">
        <v>4.5999999999999999E-3</v>
      </c>
      <c r="D106" s="38">
        <f t="shared" si="16"/>
        <v>0.12441175446845258</v>
      </c>
      <c r="E106" s="32">
        <f t="shared" si="31"/>
        <v>15079.552837134441</v>
      </c>
      <c r="F106" s="47">
        <v>0</v>
      </c>
      <c r="G106" s="19">
        <v>1.6299999999999999E-2</v>
      </c>
      <c r="H106" s="38">
        <f t="shared" si="17"/>
        <v>3.3463679969118469E-2</v>
      </c>
      <c r="I106" s="32">
        <f t="shared" si="24"/>
        <v>4056.0261558503826</v>
      </c>
      <c r="J106" s="47">
        <v>0</v>
      </c>
      <c r="K106" s="17">
        <v>-9.7999999999999997E-3</v>
      </c>
      <c r="L106" s="38">
        <f t="shared" si="18"/>
        <v>7.344398718781002E-2</v>
      </c>
      <c r="M106" s="32">
        <f t="shared" si="25"/>
        <v>8901.9119624202267</v>
      </c>
      <c r="N106" s="47">
        <v>0</v>
      </c>
      <c r="O106" s="15">
        <v>-5.7000000000000002E-2</v>
      </c>
      <c r="P106" s="38">
        <f t="shared" si="19"/>
        <v>0.31059010249504954</v>
      </c>
      <c r="Q106" s="31">
        <f t="shared" si="26"/>
        <v>37645.637916413463</v>
      </c>
      <c r="R106" s="47">
        <v>0</v>
      </c>
      <c r="S106" s="17">
        <v>-4.5699999999999998E-2</v>
      </c>
      <c r="T106" s="38">
        <f t="shared" si="20"/>
        <v>0.18070759491201879</v>
      </c>
      <c r="U106" s="31">
        <f t="shared" si="27"/>
        <v>21902.992504122729</v>
      </c>
      <c r="V106" s="47">
        <v>0</v>
      </c>
      <c r="W106" s="24">
        <v>-6.1899999999999997E-2</v>
      </c>
      <c r="X106" s="38">
        <f t="shared" si="21"/>
        <v>0.27738284444114769</v>
      </c>
      <c r="Y106" s="31">
        <f t="shared" si="28"/>
        <v>33620.691844881716</v>
      </c>
      <c r="Z106" s="47">
        <v>0</v>
      </c>
      <c r="AA106" s="27">
        <v>-3.44E-2</v>
      </c>
      <c r="AB106" s="38">
        <f t="shared" si="22"/>
        <v>3.6526402912407792E-8</v>
      </c>
      <c r="AC106" s="31">
        <f t="shared" si="29"/>
        <v>4.4272490571442176E-3</v>
      </c>
      <c r="AD106" s="47">
        <v>0</v>
      </c>
      <c r="AE106" s="37">
        <f t="shared" si="23"/>
        <v>121206.81764807201</v>
      </c>
      <c r="AF106" s="40">
        <f t="shared" si="30"/>
        <v>-4.3383513093892767E-2</v>
      </c>
      <c r="AG106" s="1"/>
      <c r="AH106" s="1"/>
      <c r="AI106" s="1"/>
      <c r="AJ106" s="1"/>
      <c r="AK106" s="1"/>
      <c r="AL106" s="1"/>
    </row>
    <row r="107" spans="1:38" x14ac:dyDescent="0.35">
      <c r="A107" s="1"/>
      <c r="B107" s="11" t="s">
        <v>99</v>
      </c>
      <c r="C107" s="20">
        <v>0.1109</v>
      </c>
      <c r="D107" s="38">
        <f t="shared" si="16"/>
        <v>0.12899545720179736</v>
      </c>
      <c r="E107" s="32">
        <f t="shared" si="31"/>
        <v>16751.875246772652</v>
      </c>
      <c r="F107" s="47">
        <v>0</v>
      </c>
      <c r="G107" s="19">
        <v>4.3499999999999997E-2</v>
      </c>
      <c r="H107" s="38">
        <f t="shared" si="17"/>
        <v>3.2591487795182499E-2</v>
      </c>
      <c r="I107" s="32">
        <f t="shared" si="24"/>
        <v>4232.463293629874</v>
      </c>
      <c r="J107" s="47">
        <v>0</v>
      </c>
      <c r="K107" s="19">
        <v>0.10050000000000001</v>
      </c>
      <c r="L107" s="38">
        <f t="shared" si="18"/>
        <v>7.5436985913803503E-2</v>
      </c>
      <c r="M107" s="32">
        <f t="shared" si="25"/>
        <v>9796.5541146434589</v>
      </c>
      <c r="N107" s="47">
        <v>0</v>
      </c>
      <c r="O107" s="20">
        <v>5.8900000000000001E-2</v>
      </c>
      <c r="P107" s="38">
        <f t="shared" si="19"/>
        <v>0.30695915815457453</v>
      </c>
      <c r="Q107" s="31">
        <f t="shared" si="26"/>
        <v>39862.965989690216</v>
      </c>
      <c r="R107" s="47">
        <v>0</v>
      </c>
      <c r="S107" s="19">
        <v>0.1241</v>
      </c>
      <c r="T107" s="38">
        <f t="shared" si="20"/>
        <v>0.18959172952349893</v>
      </c>
      <c r="U107" s="31">
        <f t="shared" si="27"/>
        <v>24621.153873884359</v>
      </c>
      <c r="V107" s="47">
        <v>0</v>
      </c>
      <c r="W107" s="25">
        <v>2.9100000000000001E-2</v>
      </c>
      <c r="X107" s="38">
        <f t="shared" si="21"/>
        <v>0.2664251446981058</v>
      </c>
      <c r="Y107" s="31">
        <f t="shared" si="28"/>
        <v>34599.053977567775</v>
      </c>
      <c r="Z107" s="47">
        <v>0</v>
      </c>
      <c r="AA107" s="26">
        <v>7.6899999999999996E-2</v>
      </c>
      <c r="AB107" s="38">
        <f t="shared" si="22"/>
        <v>3.6713037433966625E-8</v>
      </c>
      <c r="AC107" s="31">
        <f t="shared" si="29"/>
        <v>4.7677045096386076E-3</v>
      </c>
      <c r="AD107" s="47">
        <v>0</v>
      </c>
      <c r="AE107" s="37">
        <f t="shared" si="23"/>
        <v>129864.07126389284</v>
      </c>
      <c r="AF107" s="40">
        <f t="shared" si="30"/>
        <v>7.1425467509240725E-2</v>
      </c>
      <c r="AG107" s="1"/>
      <c r="AH107" s="1"/>
      <c r="AI107" s="1"/>
      <c r="AJ107" s="1"/>
      <c r="AK107" s="1"/>
      <c r="AL107" s="1"/>
    </row>
    <row r="108" spans="1:38" x14ac:dyDescent="0.35">
      <c r="A108" s="1"/>
      <c r="B108" s="10" t="s">
        <v>100</v>
      </c>
      <c r="C108" s="20">
        <v>2.5899999999999999E-2</v>
      </c>
      <c r="D108" s="38">
        <f t="shared" si="16"/>
        <v>0.17876571031215416</v>
      </c>
      <c r="E108" s="32">
        <f t="shared" si="31"/>
        <v>23980.951350664065</v>
      </c>
      <c r="F108" s="49">
        <v>6623.65</v>
      </c>
      <c r="G108" s="19">
        <v>1.61E-2</v>
      </c>
      <c r="H108" s="38">
        <f t="shared" si="17"/>
        <v>0.11803876429026508</v>
      </c>
      <c r="I108" s="32">
        <f t="shared" si="24"/>
        <v>15834.590755657315</v>
      </c>
      <c r="J108" s="49">
        <v>11351.23</v>
      </c>
      <c r="K108" s="19">
        <v>1.7000000000000001E-2</v>
      </c>
      <c r="L108" s="38">
        <f t="shared" si="18"/>
        <v>0.3445845602381899</v>
      </c>
      <c r="M108" s="32">
        <f t="shared" si="25"/>
        <v>46225.1153245924</v>
      </c>
      <c r="N108" s="49">
        <v>35655.870000000003</v>
      </c>
      <c r="O108" s="20">
        <v>3.1600000000000003E-2</v>
      </c>
      <c r="P108" s="38">
        <f t="shared" si="19"/>
        <v>6.9906211785176101E-2</v>
      </c>
      <c r="Q108" s="31">
        <f t="shared" si="26"/>
        <v>9377.735030964428</v>
      </c>
      <c r="R108" s="48">
        <v>-30772.49</v>
      </c>
      <c r="S108" s="19">
        <v>6.3200000000000006E-2</v>
      </c>
      <c r="T108" s="38">
        <f t="shared" si="20"/>
        <v>0.25731309135929009</v>
      </c>
      <c r="U108" s="31">
        <f t="shared" si="27"/>
        <v>34517.876582713849</v>
      </c>
      <c r="V108" s="49">
        <v>7844.87</v>
      </c>
      <c r="W108" s="25">
        <v>8.09E-2</v>
      </c>
      <c r="X108" s="38">
        <f t="shared" si="21"/>
        <v>3.1391625269296473E-2</v>
      </c>
      <c r="Y108" s="31">
        <f t="shared" si="28"/>
        <v>4211.1042273530074</v>
      </c>
      <c r="Z108" s="48">
        <v>-30703.13</v>
      </c>
      <c r="AA108" s="26">
        <v>3.39E-2</v>
      </c>
      <c r="AB108" s="38">
        <f t="shared" si="22"/>
        <v>3.6745628268033601E-8</v>
      </c>
      <c r="AC108" s="31">
        <f t="shared" si="29"/>
        <v>4.9293296925153563E-3</v>
      </c>
      <c r="AD108" s="47">
        <v>0</v>
      </c>
      <c r="AE108" s="37">
        <f t="shared" si="23"/>
        <v>134147.37820127475</v>
      </c>
      <c r="AF108" s="40">
        <f t="shared" si="30"/>
        <v>3.298300211671279E-2</v>
      </c>
      <c r="AG108" s="1"/>
      <c r="AH108" s="1"/>
      <c r="AI108" s="1"/>
      <c r="AJ108" s="1"/>
      <c r="AK108" s="1"/>
      <c r="AL108" s="1"/>
    </row>
    <row r="109" spans="1:38" x14ac:dyDescent="0.35">
      <c r="A109" s="1"/>
      <c r="B109" s="11" t="s">
        <v>101</v>
      </c>
      <c r="C109" s="20">
        <v>2.8E-3</v>
      </c>
      <c r="D109" s="38">
        <f t="shared" si="16"/>
        <v>0.17820786493349638</v>
      </c>
      <c r="E109" s="32">
        <f t="shared" si="31"/>
        <v>24048.098014445924</v>
      </c>
      <c r="F109" s="47">
        <v>0</v>
      </c>
      <c r="G109" s="17">
        <v>-4.4600000000000001E-2</v>
      </c>
      <c r="H109" s="38">
        <f t="shared" si="17"/>
        <v>0.112108415435032</v>
      </c>
      <c r="I109" s="32">
        <f t="shared" si="24"/>
        <v>15128.368007954998</v>
      </c>
      <c r="J109" s="47">
        <v>0</v>
      </c>
      <c r="K109" s="17">
        <v>-5.0000000000000001E-4</v>
      </c>
      <c r="L109" s="38">
        <f t="shared" si="18"/>
        <v>0.34237885523421135</v>
      </c>
      <c r="M109" s="32">
        <f t="shared" si="25"/>
        <v>46202.002766930105</v>
      </c>
      <c r="N109" s="47">
        <v>0</v>
      </c>
      <c r="O109" s="20">
        <v>2.5999999999999999E-3</v>
      </c>
      <c r="P109" s="38">
        <f t="shared" si="19"/>
        <v>6.9674168024928498E-2</v>
      </c>
      <c r="Q109" s="31">
        <f t="shared" si="26"/>
        <v>9402.1171420449355</v>
      </c>
      <c r="R109" s="47">
        <v>0</v>
      </c>
      <c r="S109" s="19">
        <v>2.1600000000000001E-2</v>
      </c>
      <c r="T109" s="38">
        <f t="shared" si="20"/>
        <v>0.2613190613729946</v>
      </c>
      <c r="U109" s="31">
        <f t="shared" si="27"/>
        <v>35263.462716900467</v>
      </c>
      <c r="V109" s="47">
        <v>0</v>
      </c>
      <c r="W109" s="25">
        <v>0.1636</v>
      </c>
      <c r="X109" s="38">
        <f t="shared" si="21"/>
        <v>3.6311637727009169E-2</v>
      </c>
      <c r="Y109" s="31">
        <f t="shared" si="28"/>
        <v>4900.0408789479598</v>
      </c>
      <c r="Z109" s="47">
        <v>0</v>
      </c>
      <c r="AA109" s="26">
        <v>6.9800000000000001E-2</v>
      </c>
      <c r="AB109" s="38">
        <f t="shared" si="22"/>
        <v>-2.7276719405841226E-9</v>
      </c>
      <c r="AC109" s="31">
        <f>((AC108+AD109)*AA109)+AC108+AD109</f>
        <v>-3.680832055470715E-4</v>
      </c>
      <c r="AD109" s="47">
        <v>-5.273397E-3</v>
      </c>
      <c r="AE109" s="37">
        <f t="shared" si="23"/>
        <v>134944.08915914118</v>
      </c>
      <c r="AF109" s="40">
        <f t="shared" si="30"/>
        <v>5.9390721499681387E-3</v>
      </c>
      <c r="AG109" s="1"/>
      <c r="AH109" s="1"/>
      <c r="AI109" s="1"/>
      <c r="AJ109" s="1"/>
      <c r="AK109" s="1"/>
      <c r="AL109" s="1"/>
    </row>
    <row r="110" spans="1:38" x14ac:dyDescent="0.35">
      <c r="A110" s="1"/>
      <c r="B110" s="10" t="s">
        <v>102</v>
      </c>
      <c r="C110" s="20">
        <v>7.0999999999999994E-2</v>
      </c>
      <c r="D110" s="38">
        <f t="shared" si="16"/>
        <v>0.1781389305832026</v>
      </c>
      <c r="E110" s="32">
        <f t="shared" si="31"/>
        <v>25755.512973471585</v>
      </c>
      <c r="F110" s="47">
        <v>0</v>
      </c>
      <c r="G110" s="19">
        <v>6.9400000000000003E-2</v>
      </c>
      <c r="H110" s="38">
        <f t="shared" si="17"/>
        <v>0.11189763222670417</v>
      </c>
      <c r="I110" s="32">
        <f t="shared" si="24"/>
        <v>16178.276747707074</v>
      </c>
      <c r="J110" s="47">
        <v>0</v>
      </c>
      <c r="K110" s="19">
        <v>7.6899999999999996E-2</v>
      </c>
      <c r="L110" s="38">
        <f t="shared" si="18"/>
        <v>0.3441318073649372</v>
      </c>
      <c r="M110" s="32">
        <f t="shared" si="25"/>
        <v>49754.93677970703</v>
      </c>
      <c r="N110" s="47">
        <v>0</v>
      </c>
      <c r="O110" s="20">
        <v>5.4899999999999997E-2</v>
      </c>
      <c r="P110" s="38">
        <f t="shared" si="19"/>
        <v>6.8600232366641298E-2</v>
      </c>
      <c r="Q110" s="31">
        <f t="shared" si="26"/>
        <v>9918.2933731432022</v>
      </c>
      <c r="R110" s="47">
        <v>0</v>
      </c>
      <c r="S110" s="19">
        <v>7.8200000000000006E-2</v>
      </c>
      <c r="T110" s="38">
        <f t="shared" si="20"/>
        <v>0.26297406520393612</v>
      </c>
      <c r="U110" s="31">
        <f t="shared" si="27"/>
        <v>38021.065501362085</v>
      </c>
      <c r="V110" s="47">
        <v>0</v>
      </c>
      <c r="W110" s="25">
        <v>1.0800000000000001E-2</v>
      </c>
      <c r="X110" s="38">
        <f t="shared" si="21"/>
        <v>3.425733487630582E-2</v>
      </c>
      <c r="Y110" s="31">
        <f t="shared" si="28"/>
        <v>4952.9613204405978</v>
      </c>
      <c r="Z110" s="47">
        <v>0</v>
      </c>
      <c r="AA110" s="26">
        <v>2.98E-2</v>
      </c>
      <c r="AB110" s="38">
        <f t="shared" si="22"/>
        <v>-2.621727361426509E-9</v>
      </c>
      <c r="AC110" s="31">
        <f t="shared" si="29"/>
        <v>-3.7905208507237422E-4</v>
      </c>
      <c r="AD110" s="47">
        <v>0</v>
      </c>
      <c r="AE110" s="37">
        <f t="shared" si="23"/>
        <v>144581.04631677951</v>
      </c>
      <c r="AF110" s="40">
        <f t="shared" si="30"/>
        <v>7.141444443908429E-2</v>
      </c>
      <c r="AG110" s="1"/>
      <c r="AH110" s="1"/>
      <c r="AI110" s="1"/>
      <c r="AJ110" s="1"/>
      <c r="AK110" s="1"/>
      <c r="AL110" s="1"/>
    </row>
    <row r="111" spans="1:38" x14ac:dyDescent="0.35">
      <c r="A111" s="1"/>
      <c r="B111" s="11" t="s">
        <v>103</v>
      </c>
      <c r="C111" s="15">
        <v>-6.1999999999999998E-3</v>
      </c>
      <c r="D111" s="38">
        <f t="shared" si="16"/>
        <v>0.25009337271602311</v>
      </c>
      <c r="E111" s="32">
        <f t="shared" si="31"/>
        <v>35921.162343036063</v>
      </c>
      <c r="F111" s="49">
        <v>10389.75</v>
      </c>
      <c r="G111" s="17">
        <v>-1.9E-2</v>
      </c>
      <c r="H111" s="38">
        <f t="shared" si="17"/>
        <v>4.937440132777994E-2</v>
      </c>
      <c r="I111" s="32">
        <f t="shared" si="24"/>
        <v>7091.6948595006397</v>
      </c>
      <c r="J111" s="48">
        <v>-8949.23</v>
      </c>
      <c r="K111" s="17">
        <v>-3.3500000000000002E-2</v>
      </c>
      <c r="L111" s="38">
        <f t="shared" si="18"/>
        <v>0.17512070746436975</v>
      </c>
      <c r="M111" s="32">
        <f t="shared" si="25"/>
        <v>25152.763122586846</v>
      </c>
      <c r="N111" s="48">
        <v>-23730.35</v>
      </c>
      <c r="O111" s="15">
        <v>-8.6E-3</v>
      </c>
      <c r="P111" s="38">
        <f t="shared" si="19"/>
        <v>4.9897886176285287E-2</v>
      </c>
      <c r="Q111" s="31">
        <f t="shared" si="26"/>
        <v>7166.8835141341715</v>
      </c>
      <c r="R111" s="48">
        <v>-2689.24</v>
      </c>
      <c r="S111" s="19">
        <v>1.1000000000000001E-3</v>
      </c>
      <c r="T111" s="38">
        <f t="shared" si="20"/>
        <v>0.35270260330140485</v>
      </c>
      <c r="U111" s="31">
        <f t="shared" si="27"/>
        <v>50659.029203413578</v>
      </c>
      <c r="V111" s="49">
        <v>12582.3</v>
      </c>
      <c r="W111" s="25">
        <v>1.67E-2</v>
      </c>
      <c r="X111" s="38">
        <f t="shared" si="21"/>
        <v>0.1228110316041191</v>
      </c>
      <c r="Y111" s="31">
        <f t="shared" si="28"/>
        <v>17639.471833491956</v>
      </c>
      <c r="Z111" s="49">
        <v>12396.77</v>
      </c>
      <c r="AA111" s="27">
        <v>-1.8599999999999998E-2</v>
      </c>
      <c r="AB111" s="38">
        <f t="shared" si="22"/>
        <v>-2.5899819998769817E-9</v>
      </c>
      <c r="AC111" s="31">
        <f t="shared" si="29"/>
        <v>-3.7200171629002806E-4</v>
      </c>
      <c r="AD111" s="47">
        <v>0</v>
      </c>
      <c r="AE111" s="37">
        <f t="shared" si="23"/>
        <v>143631.00450416154</v>
      </c>
      <c r="AF111" s="40">
        <f t="shared" si="30"/>
        <v>-6.570998321152044E-3</v>
      </c>
      <c r="AG111" s="1"/>
      <c r="AH111" s="1"/>
      <c r="AI111" s="1"/>
      <c r="AJ111" s="1"/>
      <c r="AK111" s="1"/>
      <c r="AL111" s="1"/>
    </row>
    <row r="112" spans="1:38" x14ac:dyDescent="0.35">
      <c r="A112" s="1"/>
      <c r="B112" s="10" t="s">
        <v>104</v>
      </c>
      <c r="C112" s="20">
        <v>2.47E-2</v>
      </c>
      <c r="D112" s="38">
        <f t="shared" si="16"/>
        <v>0.25205646966685019</v>
      </c>
      <c r="E112" s="32">
        <f t="shared" si="31"/>
        <v>36808.415052909055</v>
      </c>
      <c r="F112" s="47">
        <v>0</v>
      </c>
      <c r="G112" s="19">
        <v>8.9999999999999993E-3</v>
      </c>
      <c r="H112" s="38">
        <f t="shared" si="17"/>
        <v>4.8999532736737614E-2</v>
      </c>
      <c r="I112" s="32">
        <f t="shared" si="24"/>
        <v>7155.5201132361453</v>
      </c>
      <c r="J112" s="47">
        <v>0</v>
      </c>
      <c r="K112" s="19">
        <v>4.0399999999999998E-2</v>
      </c>
      <c r="L112" s="38">
        <f t="shared" si="18"/>
        <v>0.17919949281261779</v>
      </c>
      <c r="M112" s="32">
        <f t="shared" si="25"/>
        <v>26168.934752739355</v>
      </c>
      <c r="N112" s="47">
        <v>0</v>
      </c>
      <c r="O112" s="20">
        <v>5.3199999999999997E-2</v>
      </c>
      <c r="P112" s="38">
        <f t="shared" si="19"/>
        <v>5.1688261832203791E-2</v>
      </c>
      <c r="Q112" s="31">
        <f t="shared" si="26"/>
        <v>7548.1617170861091</v>
      </c>
      <c r="R112" s="47">
        <v>0</v>
      </c>
      <c r="S112" s="19">
        <v>4.7000000000000002E-3</v>
      </c>
      <c r="T112" s="38">
        <f t="shared" si="20"/>
        <v>0.34853307426557811</v>
      </c>
      <c r="U112" s="31">
        <f t="shared" si="27"/>
        <v>50897.126640669623</v>
      </c>
      <c r="V112" s="47">
        <v>0</v>
      </c>
      <c r="W112" s="24">
        <v>-1.0500000000000001E-2</v>
      </c>
      <c r="X112" s="38">
        <f t="shared" si="21"/>
        <v>0.11952317124614081</v>
      </c>
      <c r="Y112" s="31">
        <f t="shared" si="28"/>
        <v>17454.257379240291</v>
      </c>
      <c r="Z112" s="47">
        <v>0</v>
      </c>
      <c r="AA112" s="26">
        <v>5.0000000000000001E-3</v>
      </c>
      <c r="AB112" s="38">
        <f t="shared" si="22"/>
        <v>-2.5601283396530399E-9</v>
      </c>
      <c r="AC112" s="31">
        <f t="shared" si="29"/>
        <v>-3.7386172487147818E-4</v>
      </c>
      <c r="AD112" s="47">
        <v>0</v>
      </c>
      <c r="AE112" s="37">
        <f t="shared" si="23"/>
        <v>146032.41528201886</v>
      </c>
      <c r="AF112" s="40">
        <f t="shared" si="30"/>
        <v>1.6719306434898273E-2</v>
      </c>
      <c r="AG112" s="1"/>
      <c r="AH112" s="1"/>
      <c r="AI112" s="1"/>
      <c r="AJ112" s="1"/>
      <c r="AK112" s="1"/>
      <c r="AL112" s="1"/>
    </row>
    <row r="113" spans="1:38" x14ac:dyDescent="0.35">
      <c r="A113" s="1"/>
      <c r="B113" s="11" t="s">
        <v>105</v>
      </c>
      <c r="C113" s="20">
        <v>1.4200000000000001E-2</v>
      </c>
      <c r="D113" s="38">
        <f t="shared" si="16"/>
        <v>0.25718895034325401</v>
      </c>
      <c r="E113" s="32">
        <f t="shared" si="31"/>
        <v>37331.094546660366</v>
      </c>
      <c r="F113" s="47">
        <v>0</v>
      </c>
      <c r="G113" s="19">
        <v>4.1799999999999997E-2</v>
      </c>
      <c r="H113" s="38">
        <f t="shared" si="17"/>
        <v>5.1357886392614294E-2</v>
      </c>
      <c r="I113" s="32">
        <f t="shared" si="24"/>
        <v>7454.6208539694162</v>
      </c>
      <c r="J113" s="47">
        <v>0</v>
      </c>
      <c r="K113" s="19">
        <v>1.8599999999999998E-2</v>
      </c>
      <c r="L113" s="38">
        <f t="shared" si="18"/>
        <v>0.18364169751566187</v>
      </c>
      <c r="M113" s="32">
        <f t="shared" si="25"/>
        <v>26655.676939140307</v>
      </c>
      <c r="N113" s="47">
        <v>0</v>
      </c>
      <c r="O113" s="20">
        <v>3.7199999999999997E-2</v>
      </c>
      <c r="P113" s="38">
        <f t="shared" si="19"/>
        <v>5.3936813652062397E-2</v>
      </c>
      <c r="Q113" s="31">
        <f t="shared" si="26"/>
        <v>7828.9533329617125</v>
      </c>
      <c r="R113" s="47">
        <v>0</v>
      </c>
      <c r="S113" s="17">
        <v>-3.5900000000000001E-2</v>
      </c>
      <c r="T113" s="38">
        <f t="shared" si="20"/>
        <v>0.33806244683079784</v>
      </c>
      <c r="U113" s="31">
        <f t="shared" si="27"/>
        <v>49069.919794269583</v>
      </c>
      <c r="V113" s="47">
        <v>0</v>
      </c>
      <c r="W113" s="24">
        <v>-3.6900000000000002E-2</v>
      </c>
      <c r="X113" s="38">
        <f t="shared" si="21"/>
        <v>0.11581220781579432</v>
      </c>
      <c r="Y113" s="31">
        <f t="shared" si="28"/>
        <v>16810.195281946326</v>
      </c>
      <c r="Z113" s="47">
        <v>0</v>
      </c>
      <c r="AA113" s="27">
        <v>-9.9000000000000008E-3</v>
      </c>
      <c r="AB113" s="38">
        <f t="shared" si="22"/>
        <v>-2.5501847726095608E-9</v>
      </c>
      <c r="AC113" s="31">
        <f t="shared" si="29"/>
        <v>-3.7016049379525053E-4</v>
      </c>
      <c r="AD113" s="47">
        <v>0</v>
      </c>
      <c r="AE113" s="37">
        <f t="shared" si="23"/>
        <v>145150.46037878722</v>
      </c>
      <c r="AF113" s="40">
        <f t="shared" si="30"/>
        <v>-6.0394461156340062E-3</v>
      </c>
      <c r="AG113" s="1"/>
      <c r="AH113" s="1"/>
      <c r="AI113" s="1"/>
      <c r="AJ113" s="1"/>
      <c r="AK113" s="1"/>
      <c r="AL113" s="1"/>
    </row>
    <row r="114" spans="1:38" x14ac:dyDescent="0.35">
      <c r="A114" s="1"/>
      <c r="B114" s="10" t="s">
        <v>106</v>
      </c>
      <c r="C114" s="15">
        <v>-1.89E-2</v>
      </c>
      <c r="D114" s="38">
        <f t="shared" si="16"/>
        <v>0.17952863691519155</v>
      </c>
      <c r="E114" s="32">
        <f t="shared" si="31"/>
        <v>25633.282648728484</v>
      </c>
      <c r="F114" s="48">
        <v>-11204.01</v>
      </c>
      <c r="G114" s="17">
        <v>-3.3999999999999998E-3</v>
      </c>
      <c r="H114" s="38">
        <f t="shared" si="17"/>
        <v>3.0394133547730684E-2</v>
      </c>
      <c r="I114" s="32">
        <f t="shared" si="24"/>
        <v>4339.7055170659205</v>
      </c>
      <c r="J114" s="48">
        <v>-3100.11</v>
      </c>
      <c r="K114" s="17">
        <v>-2.0799999999999999E-2</v>
      </c>
      <c r="L114" s="38">
        <f t="shared" si="18"/>
        <v>6.968144426623743E-2</v>
      </c>
      <c r="M114" s="32">
        <f t="shared" si="25"/>
        <v>9949.1879788061888</v>
      </c>
      <c r="N114" s="48">
        <v>-16495.150000000001</v>
      </c>
      <c r="O114" s="15">
        <v>-2.86E-2</v>
      </c>
      <c r="P114" s="38">
        <f t="shared" si="19"/>
        <v>0.29625611999921653</v>
      </c>
      <c r="Q114" s="31">
        <f t="shared" si="26"/>
        <v>42299.75223363901</v>
      </c>
      <c r="R114" s="49">
        <v>35716.19</v>
      </c>
      <c r="S114" s="17">
        <v>-8.2000000000000007E-3</v>
      </c>
      <c r="T114" s="38">
        <f t="shared" si="20"/>
        <v>0.12099108969795828</v>
      </c>
      <c r="U114" s="31">
        <f t="shared" si="27"/>
        <v>17275.231703956575</v>
      </c>
      <c r="V114" s="48">
        <v>-31651.86</v>
      </c>
      <c r="W114" s="24">
        <v>-6.0000000000000001E-3</v>
      </c>
      <c r="X114" s="38">
        <f t="shared" si="21"/>
        <v>0.30314857816902213</v>
      </c>
      <c r="Y114" s="31">
        <f t="shared" si="28"/>
        <v>43283.864470254644</v>
      </c>
      <c r="Z114" s="49">
        <v>26734.94</v>
      </c>
      <c r="AA114" s="26">
        <v>1.1000000000000001E-3</v>
      </c>
      <c r="AB114" s="38">
        <f t="shared" si="22"/>
        <v>-2.5953565781008385E-9</v>
      </c>
      <c r="AC114" s="31">
        <f t="shared" si="29"/>
        <v>-3.7056767033842532E-4</v>
      </c>
      <c r="AD114" s="47">
        <v>0</v>
      </c>
      <c r="AE114" s="37">
        <f t="shared" si="23"/>
        <v>142781.02418188314</v>
      </c>
      <c r="AF114" s="40">
        <f t="shared" si="30"/>
        <v>-1.6324000562731644E-2</v>
      </c>
      <c r="AG114" s="1"/>
      <c r="AH114" s="1"/>
      <c r="AI114" s="1"/>
      <c r="AJ114" s="1"/>
      <c r="AK114" s="1"/>
      <c r="AL114" s="1"/>
    </row>
    <row r="115" spans="1:38" x14ac:dyDescent="0.35">
      <c r="A115" s="1"/>
      <c r="B115" s="11" t="s">
        <v>107</v>
      </c>
      <c r="C115" s="20">
        <v>3.56E-2</v>
      </c>
      <c r="D115" s="38">
        <f t="shared" si="16"/>
        <v>0.17937603760581469</v>
      </c>
      <c r="E115" s="32">
        <f t="shared" si="31"/>
        <v>26545.827511023217</v>
      </c>
      <c r="F115" s="47">
        <v>0</v>
      </c>
      <c r="G115" s="19">
        <v>4.8599999999999997E-2</v>
      </c>
      <c r="H115" s="38">
        <f t="shared" si="17"/>
        <v>3.0749515110717496E-2</v>
      </c>
      <c r="I115" s="32">
        <f t="shared" si="24"/>
        <v>4550.6152051953241</v>
      </c>
      <c r="J115" s="47">
        <v>0</v>
      </c>
      <c r="K115" s="19">
        <v>3.8399999999999997E-2</v>
      </c>
      <c r="L115" s="38">
        <f t="shared" si="18"/>
        <v>6.9810455879675062E-2</v>
      </c>
      <c r="M115" s="32">
        <f t="shared" si="25"/>
        <v>10331.236797192347</v>
      </c>
      <c r="N115" s="47">
        <v>0</v>
      </c>
      <c r="O115" s="20">
        <v>2.9700000000000001E-2</v>
      </c>
      <c r="P115" s="38">
        <f t="shared" si="19"/>
        <v>0.29431791244671757</v>
      </c>
      <c r="Q115" s="31">
        <f t="shared" si="26"/>
        <v>43556.054874978086</v>
      </c>
      <c r="R115" s="47">
        <v>0</v>
      </c>
      <c r="S115" s="19">
        <v>2.9899999999999999E-2</v>
      </c>
      <c r="T115" s="38">
        <f t="shared" si="20"/>
        <v>0.12022287165638361</v>
      </c>
      <c r="U115" s="31">
        <f t="shared" si="27"/>
        <v>17791.761131904877</v>
      </c>
      <c r="V115" s="47">
        <v>0</v>
      </c>
      <c r="W115" s="25">
        <v>4.4600000000000001E-2</v>
      </c>
      <c r="X115" s="38">
        <f t="shared" si="21"/>
        <v>0.30552320988582932</v>
      </c>
      <c r="Y115" s="31">
        <f t="shared" si="28"/>
        <v>45214.324825627999</v>
      </c>
      <c r="Z115" s="47">
        <v>0</v>
      </c>
      <c r="AA115" s="26">
        <v>3.2399999999999998E-2</v>
      </c>
      <c r="AB115" s="38">
        <f t="shared" si="22"/>
        <v>-2.5851377003643988E-9</v>
      </c>
      <c r="AC115" s="31">
        <f t="shared" si="29"/>
        <v>-3.825740628573903E-4</v>
      </c>
      <c r="AD115" s="47">
        <v>0</v>
      </c>
      <c r="AE115" s="37">
        <f t="shared" si="23"/>
        <v>147989.81996334778</v>
      </c>
      <c r="AF115" s="40">
        <f t="shared" si="30"/>
        <v>3.6481008672618609E-2</v>
      </c>
      <c r="AG115" s="1"/>
      <c r="AH115" s="1"/>
      <c r="AI115" s="1"/>
      <c r="AJ115" s="1"/>
      <c r="AK115" s="1"/>
      <c r="AL115" s="1"/>
    </row>
    <row r="116" spans="1:38" x14ac:dyDescent="0.35">
      <c r="A116" s="1"/>
      <c r="B116" s="10" t="s">
        <v>108</v>
      </c>
      <c r="C116" s="15">
        <v>-1.66E-2</v>
      </c>
      <c r="D116" s="38">
        <f t="shared" si="16"/>
        <v>0.18202503327530456</v>
      </c>
      <c r="E116" s="32">
        <f t="shared" si="31"/>
        <v>26105.166774340232</v>
      </c>
      <c r="F116" s="47">
        <v>0</v>
      </c>
      <c r="G116" s="19">
        <v>3.6499999999999998E-2</v>
      </c>
      <c r="H116" s="38">
        <f t="shared" si="17"/>
        <v>3.2888500056016789E-2</v>
      </c>
      <c r="I116" s="32">
        <f t="shared" si="24"/>
        <v>4716.7126601849532</v>
      </c>
      <c r="J116" s="47">
        <v>0</v>
      </c>
      <c r="K116" s="19">
        <v>3.2000000000000002E-3</v>
      </c>
      <c r="L116" s="38">
        <f t="shared" si="18"/>
        <v>7.226774216773324E-2</v>
      </c>
      <c r="M116" s="32">
        <f t="shared" si="25"/>
        <v>10364.296754943362</v>
      </c>
      <c r="N116" s="47">
        <v>0</v>
      </c>
      <c r="O116" s="15">
        <v>-4.6100000000000002E-2</v>
      </c>
      <c r="P116" s="38">
        <f t="shared" si="19"/>
        <v>0.28970502761210998</v>
      </c>
      <c r="Q116" s="31">
        <f t="shared" si="26"/>
        <v>41548.120745241598</v>
      </c>
      <c r="R116" s="47">
        <v>0</v>
      </c>
      <c r="S116" s="19">
        <v>6.9999999999999999E-4</v>
      </c>
      <c r="T116" s="38">
        <f t="shared" si="20"/>
        <v>0.12414450067353017</v>
      </c>
      <c r="U116" s="31">
        <f t="shared" si="27"/>
        <v>17804.215364697211</v>
      </c>
      <c r="V116" s="47">
        <v>0</v>
      </c>
      <c r="W116" s="24">
        <v>-5.1700000000000003E-2</v>
      </c>
      <c r="X116" s="38">
        <f t="shared" si="21"/>
        <v>0.29896919882021356</v>
      </c>
      <c r="Y116" s="31">
        <f t="shared" si="28"/>
        <v>42876.744232143028</v>
      </c>
      <c r="Z116" s="47">
        <v>0</v>
      </c>
      <c r="AA116" s="27">
        <v>-2.35E-2</v>
      </c>
      <c r="AB116" s="38">
        <f t="shared" si="22"/>
        <v>-2.604908169384383E-9</v>
      </c>
      <c r="AC116" s="31">
        <f t="shared" si="29"/>
        <v>-3.7358357238024165E-4</v>
      </c>
      <c r="AD116" s="47">
        <v>0</v>
      </c>
      <c r="AE116" s="37">
        <f t="shared" si="23"/>
        <v>143415.2561579668</v>
      </c>
      <c r="AF116" s="40">
        <f t="shared" si="30"/>
        <v>-3.0911341107881296E-2</v>
      </c>
      <c r="AG116" s="1"/>
      <c r="AH116" s="1"/>
      <c r="AI116" s="1"/>
      <c r="AJ116" s="1"/>
      <c r="AK116" s="1"/>
      <c r="AL116" s="1"/>
    </row>
    <row r="117" spans="1:38" x14ac:dyDescent="0.35">
      <c r="A117" s="1"/>
      <c r="B117" s="9" t="s">
        <v>109</v>
      </c>
      <c r="C117" s="20">
        <v>0.02</v>
      </c>
      <c r="D117" s="38">
        <f t="shared" si="16"/>
        <v>0.12345264445745448</v>
      </c>
      <c r="E117" s="32">
        <f t="shared" si="31"/>
        <v>17554.023309827036</v>
      </c>
      <c r="F117" s="48">
        <v>-8895.34</v>
      </c>
      <c r="G117" s="17">
        <v>-3.1899999999999998E-2</v>
      </c>
      <c r="H117" s="38">
        <f t="shared" si="17"/>
        <v>0.34174909252635438</v>
      </c>
      <c r="I117" s="32">
        <f t="shared" si="24"/>
        <v>48594.111229325048</v>
      </c>
      <c r="J117" s="49">
        <v>45478.63</v>
      </c>
      <c r="K117" s="19">
        <v>3.1699999999999999E-2</v>
      </c>
      <c r="L117" s="38">
        <f t="shared" si="18"/>
        <v>0.2601432440242874</v>
      </c>
      <c r="M117" s="32">
        <f t="shared" si="25"/>
        <v>36990.382746075069</v>
      </c>
      <c r="N117" s="49">
        <v>25489.52</v>
      </c>
      <c r="O117" s="15">
        <v>-3.56E-2</v>
      </c>
      <c r="P117" s="38">
        <f t="shared" si="19"/>
        <v>0.17508496930440964</v>
      </c>
      <c r="Q117" s="31">
        <f t="shared" si="26"/>
        <v>24895.745618710993</v>
      </c>
      <c r="R117" s="48">
        <v>-15733.37</v>
      </c>
      <c r="S117" s="19">
        <v>7.4000000000000003E-3</v>
      </c>
      <c r="T117" s="38">
        <f t="shared" si="20"/>
        <v>7.1124455570883344E-2</v>
      </c>
      <c r="U117" s="31">
        <f t="shared" si="27"/>
        <v>10113.354448395972</v>
      </c>
      <c r="V117" s="48">
        <v>-7765.15</v>
      </c>
      <c r="W117" s="24">
        <v>-5.9900000000000002E-2</v>
      </c>
      <c r="X117" s="38">
        <f t="shared" si="21"/>
        <v>2.8445596667992731E-2</v>
      </c>
      <c r="Y117" s="31">
        <f t="shared" si="28"/>
        <v>4044.7466246376644</v>
      </c>
      <c r="Z117" s="48">
        <v>-38574.28</v>
      </c>
      <c r="AA117" s="27">
        <v>-2.8899999999999999E-2</v>
      </c>
      <c r="AB117" s="38">
        <f t="shared" si="22"/>
        <v>-2.5513817895510529E-9</v>
      </c>
      <c r="AC117" s="31">
        <f t="shared" si="29"/>
        <v>-3.6278700713845269E-4</v>
      </c>
      <c r="AD117" s="47">
        <v>0</v>
      </c>
      <c r="AE117" s="37">
        <f t="shared" si="23"/>
        <v>142192.36361418475</v>
      </c>
      <c r="AF117" s="40">
        <f t="shared" si="30"/>
        <v>-8.5269348362427833E-3</v>
      </c>
      <c r="AG117" s="1"/>
      <c r="AH117" s="1"/>
      <c r="AI117" s="1"/>
      <c r="AJ117" s="1"/>
      <c r="AK117" s="1"/>
      <c r="AL117" s="1"/>
    </row>
    <row r="118" spans="1:38" x14ac:dyDescent="0.35">
      <c r="A118" s="1"/>
      <c r="B118" s="10" t="s">
        <v>110</v>
      </c>
      <c r="C118" s="20">
        <v>3.5999999999999999E-3</v>
      </c>
      <c r="D118" s="38">
        <f t="shared" si="16"/>
        <v>0.12627156464866041</v>
      </c>
      <c r="E118" s="32">
        <f t="shared" si="31"/>
        <v>17617.217793742413</v>
      </c>
      <c r="F118" s="47">
        <v>0</v>
      </c>
      <c r="G118" s="17">
        <v>-3.0099999999999998E-2</v>
      </c>
      <c r="H118" s="38">
        <f t="shared" si="17"/>
        <v>0.33781493128710238</v>
      </c>
      <c r="I118" s="32">
        <f t="shared" si="24"/>
        <v>47131.428481322364</v>
      </c>
      <c r="J118" s="47">
        <v>0</v>
      </c>
      <c r="K118" s="19">
        <v>2.5999999999999999E-3</v>
      </c>
      <c r="L118" s="38">
        <f t="shared" si="18"/>
        <v>0.26581823124644971</v>
      </c>
      <c r="M118" s="32">
        <f t="shared" si="25"/>
        <v>37086.557741214863</v>
      </c>
      <c r="N118" s="47">
        <v>0</v>
      </c>
      <c r="O118" s="15">
        <v>-5.74E-2</v>
      </c>
      <c r="P118" s="38">
        <f t="shared" si="19"/>
        <v>0.16819799393274026</v>
      </c>
      <c r="Q118" s="31">
        <f t="shared" si="26"/>
        <v>23466.729820196982</v>
      </c>
      <c r="R118" s="47">
        <v>0</v>
      </c>
      <c r="S118" s="19">
        <v>4.7000000000000002E-3</v>
      </c>
      <c r="T118" s="38">
        <f t="shared" si="20"/>
        <v>7.2828249147512486E-2</v>
      </c>
      <c r="U118" s="31">
        <f t="shared" si="27"/>
        <v>10160.887214303433</v>
      </c>
      <c r="V118" s="47">
        <v>0</v>
      </c>
      <c r="W118" s="25">
        <v>2.7000000000000001E-3</v>
      </c>
      <c r="X118" s="38">
        <f t="shared" si="21"/>
        <v>2.9069032318571823E-2</v>
      </c>
      <c r="Y118" s="31">
        <f t="shared" si="28"/>
        <v>4055.6674405241861</v>
      </c>
      <c r="Z118" s="47">
        <v>0</v>
      </c>
      <c r="AA118" s="27">
        <v>-7.4000000000000003E-3</v>
      </c>
      <c r="AB118" s="38">
        <f t="shared" si="22"/>
        <v>-2.5810370231864271E-9</v>
      </c>
      <c r="AC118" s="31">
        <f t="shared" si="29"/>
        <v>-3.6010238328562812E-4</v>
      </c>
      <c r="AD118" s="47">
        <v>0</v>
      </c>
      <c r="AE118" s="37">
        <f t="shared" si="23"/>
        <v>139518.48813120186</v>
      </c>
      <c r="AF118" s="40">
        <f t="shared" si="30"/>
        <v>-1.8804634897539363E-2</v>
      </c>
      <c r="AG118" s="1"/>
      <c r="AH118" s="1"/>
      <c r="AI118" s="1"/>
      <c r="AJ118" s="1"/>
      <c r="AK118" s="1"/>
      <c r="AL118" s="1"/>
    </row>
    <row r="119" spans="1:38" x14ac:dyDescent="0.35">
      <c r="A119" s="1"/>
      <c r="B119" s="11" t="s">
        <v>111</v>
      </c>
      <c r="C119" s="20">
        <v>6.0600000000000001E-2</v>
      </c>
      <c r="D119" s="38">
        <f t="shared" si="16"/>
        <v>0.12879371902562553</v>
      </c>
      <c r="E119" s="32">
        <f t="shared" si="31"/>
        <v>18684.821192043204</v>
      </c>
      <c r="F119" s="47">
        <v>0</v>
      </c>
      <c r="G119" s="19">
        <v>1.34E-2</v>
      </c>
      <c r="H119" s="38">
        <f t="shared" si="17"/>
        <v>0.32922836146510931</v>
      </c>
      <c r="I119" s="32">
        <f t="shared" si="24"/>
        <v>47762.989622972083</v>
      </c>
      <c r="J119" s="47">
        <v>0</v>
      </c>
      <c r="K119" s="19">
        <v>6.8400000000000002E-2</v>
      </c>
      <c r="L119" s="38">
        <f t="shared" si="18"/>
        <v>0.27312165947949002</v>
      </c>
      <c r="M119" s="32">
        <f t="shared" si="25"/>
        <v>39623.278290713963</v>
      </c>
      <c r="N119" s="47">
        <v>0</v>
      </c>
      <c r="O119" s="20">
        <v>3.3799999999999997E-2</v>
      </c>
      <c r="P119" s="38">
        <f t="shared" si="19"/>
        <v>0.16722254888887692</v>
      </c>
      <c r="Q119" s="31">
        <f t="shared" si="26"/>
        <v>24259.90528811964</v>
      </c>
      <c r="R119" s="47">
        <v>0</v>
      </c>
      <c r="S119" s="19">
        <v>4.5100000000000001E-2</v>
      </c>
      <c r="T119" s="38">
        <f t="shared" si="20"/>
        <v>7.3197326059487769E-2</v>
      </c>
      <c r="U119" s="31">
        <f t="shared" si="27"/>
        <v>10619.143227668517</v>
      </c>
      <c r="V119" s="47">
        <v>0</v>
      </c>
      <c r="W119" s="25">
        <v>1.72E-2</v>
      </c>
      <c r="X119" s="38">
        <f t="shared" si="21"/>
        <v>2.8436387622409142E-2</v>
      </c>
      <c r="Y119" s="31">
        <f t="shared" si="28"/>
        <v>4125.424920501202</v>
      </c>
      <c r="Z119" s="47">
        <v>0</v>
      </c>
      <c r="AA119" s="26">
        <v>2.3699999999999999E-2</v>
      </c>
      <c r="AB119" s="38">
        <f t="shared" si="22"/>
        <v>-2.5409986647436497E-9</v>
      </c>
      <c r="AC119" s="31">
        <f t="shared" si="29"/>
        <v>-3.6863680976949748E-4</v>
      </c>
      <c r="AD119" s="47">
        <v>0</v>
      </c>
      <c r="AE119" s="37">
        <f t="shared" si="23"/>
        <v>145075.5621733818</v>
      </c>
      <c r="AF119" s="40">
        <f t="shared" si="30"/>
        <v>3.983037744040141E-2</v>
      </c>
      <c r="AG119" s="1"/>
      <c r="AH119" s="1"/>
      <c r="AI119" s="1"/>
      <c r="AJ119" s="1"/>
      <c r="AK119" s="1"/>
      <c r="AL119" s="1"/>
    </row>
    <row r="120" spans="1:38" x14ac:dyDescent="0.35">
      <c r="A120" s="1"/>
      <c r="B120" s="10" t="s">
        <v>112</v>
      </c>
      <c r="C120" s="20">
        <v>1.06E-2</v>
      </c>
      <c r="D120" s="38">
        <f t="shared" si="16"/>
        <v>0.25067616208903226</v>
      </c>
      <c r="E120" s="32">
        <f t="shared" si="31"/>
        <v>36653.341438678865</v>
      </c>
      <c r="F120" s="49">
        <v>17584.07</v>
      </c>
      <c r="G120" s="19">
        <v>4.7000000000000002E-3</v>
      </c>
      <c r="H120" s="38">
        <f t="shared" si="17"/>
        <v>0.11962210179741213</v>
      </c>
      <c r="I120" s="32">
        <f t="shared" si="24"/>
        <v>17490.892250200057</v>
      </c>
      <c r="J120" s="48">
        <v>-30353.919999999998</v>
      </c>
      <c r="K120" s="17">
        <v>-1.0800000000000001E-2</v>
      </c>
      <c r="L120" s="38">
        <f t="shared" si="18"/>
        <v>0.34351514704674907</v>
      </c>
      <c r="M120" s="32">
        <f t="shared" si="25"/>
        <v>50228.062649174251</v>
      </c>
      <c r="N120" s="49">
        <v>11153.17</v>
      </c>
      <c r="O120" s="15">
        <v>-8.2299999999999998E-2</v>
      </c>
      <c r="P120" s="38">
        <f t="shared" si="19"/>
        <v>4.5526503143472903E-2</v>
      </c>
      <c r="Q120" s="31">
        <f t="shared" si="26"/>
        <v>6656.7895819073929</v>
      </c>
      <c r="R120" s="48">
        <v>-17006.13</v>
      </c>
      <c r="S120" s="19">
        <v>5.9499999999999997E-2</v>
      </c>
      <c r="T120" s="38">
        <f t="shared" si="20"/>
        <v>0.18922008211008123</v>
      </c>
      <c r="U120" s="31">
        <f t="shared" si="27"/>
        <v>27667.362619714793</v>
      </c>
      <c r="V120" s="49">
        <v>15494.46</v>
      </c>
      <c r="W120" s="25">
        <v>3.6900000000000002E-2</v>
      </c>
      <c r="X120" s="38">
        <f t="shared" si="21"/>
        <v>5.1440006315238623E-2</v>
      </c>
      <c r="Y120" s="31">
        <f t="shared" si="28"/>
        <v>7521.4495840676973</v>
      </c>
      <c r="Z120" s="49">
        <v>3128.36</v>
      </c>
      <c r="AA120" s="27">
        <v>-7.6E-3</v>
      </c>
      <c r="AB120" s="38">
        <f t="shared" si="22"/>
        <v>-2.5019862521957497E-9</v>
      </c>
      <c r="AC120" s="31">
        <f t="shared" si="29"/>
        <v>-3.6583517001524928E-4</v>
      </c>
      <c r="AD120" s="47">
        <v>0</v>
      </c>
      <c r="AE120" s="37">
        <f t="shared" si="23"/>
        <v>146217.89775790789</v>
      </c>
      <c r="AF120" s="40">
        <f t="shared" si="30"/>
        <v>7.8740731203292835E-3</v>
      </c>
      <c r="AG120" s="1"/>
      <c r="AH120" s="1"/>
      <c r="AI120" s="1"/>
      <c r="AJ120" s="1"/>
      <c r="AK120" s="1"/>
      <c r="AL120" s="1"/>
    </row>
    <row r="121" spans="1:38" x14ac:dyDescent="0.35">
      <c r="A121" s="1"/>
      <c r="B121" s="11" t="s">
        <v>113</v>
      </c>
      <c r="C121" s="20">
        <v>7.3999999999999996E-2</v>
      </c>
      <c r="D121" s="38">
        <f t="shared" si="16"/>
        <v>0.25707352137766654</v>
      </c>
      <c r="E121" s="32">
        <f t="shared" si="31"/>
        <v>39365.688705141103</v>
      </c>
      <c r="F121" s="47">
        <v>0</v>
      </c>
      <c r="G121" s="19">
        <v>1.2999999999999999E-3</v>
      </c>
      <c r="H121" s="38">
        <f t="shared" si="17"/>
        <v>0.11437093544485374</v>
      </c>
      <c r="I121" s="32">
        <f t="shared" si="24"/>
        <v>17513.630410125315</v>
      </c>
      <c r="J121" s="47">
        <v>0</v>
      </c>
      <c r="K121" s="19">
        <v>9.35E-2</v>
      </c>
      <c r="L121" s="38">
        <f t="shared" si="18"/>
        <v>0.35867797346539482</v>
      </c>
      <c r="M121" s="32">
        <f t="shared" si="25"/>
        <v>54924.386506872048</v>
      </c>
      <c r="N121" s="47">
        <v>0</v>
      </c>
      <c r="O121" s="15">
        <v>-9.7999999999999997E-3</v>
      </c>
      <c r="P121" s="38">
        <f t="shared" si="19"/>
        <v>4.3045449174338064E-2</v>
      </c>
      <c r="Q121" s="31">
        <f t="shared" si="26"/>
        <v>6591.5530440047005</v>
      </c>
      <c r="R121" s="47">
        <v>0</v>
      </c>
      <c r="S121" s="17">
        <v>-1.0699999999999999E-2</v>
      </c>
      <c r="T121" s="38">
        <f t="shared" si="20"/>
        <v>0.17874556044970216</v>
      </c>
      <c r="U121" s="31">
        <f t="shared" si="27"/>
        <v>27371.321839683846</v>
      </c>
      <c r="V121" s="47">
        <v>0</v>
      </c>
      <c r="W121" s="24">
        <v>-2.1000000000000001E-2</v>
      </c>
      <c r="X121" s="38">
        <f t="shared" si="21"/>
        <v>4.8086562602279385E-2</v>
      </c>
      <c r="Y121" s="31">
        <f t="shared" si="28"/>
        <v>7363.4991428022759</v>
      </c>
      <c r="Z121" s="47">
        <v>0</v>
      </c>
      <c r="AA121" s="26">
        <v>5.2400000000000002E-2</v>
      </c>
      <c r="AB121" s="38">
        <f t="shared" si="22"/>
        <v>-2.5142345303775029E-9</v>
      </c>
      <c r="AC121" s="31">
        <f t="shared" si="29"/>
        <v>-3.8500493292404833E-4</v>
      </c>
      <c r="AD121" s="47">
        <v>0</v>
      </c>
      <c r="AE121" s="37">
        <f t="shared" si="23"/>
        <v>153130.07926362433</v>
      </c>
      <c r="AF121" s="40">
        <f t="shared" si="30"/>
        <v>4.7273156102687786E-2</v>
      </c>
      <c r="AG121" s="1"/>
      <c r="AH121" s="1"/>
      <c r="AI121" s="1"/>
      <c r="AJ121" s="1"/>
      <c r="AK121" s="1"/>
      <c r="AL121" s="1"/>
    </row>
    <row r="122" spans="1:38" x14ac:dyDescent="0.35">
      <c r="A122" s="1"/>
      <c r="B122" s="10" t="s">
        <v>114</v>
      </c>
      <c r="C122" s="20">
        <v>2.0199999999999999E-2</v>
      </c>
      <c r="D122" s="38">
        <f t="shared" si="16"/>
        <v>0.25994695496999271</v>
      </c>
      <c r="E122" s="32">
        <f t="shared" si="31"/>
        <v>40160.875616984951</v>
      </c>
      <c r="F122" s="47">
        <v>0</v>
      </c>
      <c r="G122" s="17">
        <v>-3.2000000000000001E-2</v>
      </c>
      <c r="H122" s="38">
        <f t="shared" si="17"/>
        <v>0.10973195059172282</v>
      </c>
      <c r="I122" s="32">
        <f t="shared" si="24"/>
        <v>16953.194237001306</v>
      </c>
      <c r="J122" s="47">
        <v>0</v>
      </c>
      <c r="K122" s="19">
        <v>2.7300000000000001E-2</v>
      </c>
      <c r="L122" s="38">
        <f t="shared" si="18"/>
        <v>0.36521118024788751</v>
      </c>
      <c r="M122" s="32">
        <f t="shared" si="25"/>
        <v>56423.822258509652</v>
      </c>
      <c r="N122" s="47">
        <v>0</v>
      </c>
      <c r="O122" s="15">
        <v>-7.85E-2</v>
      </c>
      <c r="P122" s="38">
        <f t="shared" si="19"/>
        <v>3.9315576861400074E-2</v>
      </c>
      <c r="Q122" s="31">
        <f t="shared" si="26"/>
        <v>6074.1161300503318</v>
      </c>
      <c r="R122" s="47">
        <v>0</v>
      </c>
      <c r="S122" s="19">
        <v>5.5999999999999999E-3</v>
      </c>
      <c r="T122" s="38">
        <f t="shared" si="20"/>
        <v>0.17815687954252604</v>
      </c>
      <c r="U122" s="31">
        <f t="shared" si="27"/>
        <v>27524.601241986074</v>
      </c>
      <c r="V122" s="47">
        <v>0</v>
      </c>
      <c r="W122" s="24">
        <v>-5.0000000000000001E-4</v>
      </c>
      <c r="X122" s="38">
        <f t="shared" si="21"/>
        <v>4.7637460366935711E-2</v>
      </c>
      <c r="Y122" s="31">
        <f t="shared" si="28"/>
        <v>7359.8173932308746</v>
      </c>
      <c r="Z122" s="47">
        <v>0</v>
      </c>
      <c r="AA122" s="26">
        <v>3.5499999999999997E-2</v>
      </c>
      <c r="AB122" s="38">
        <f t="shared" si="22"/>
        <v>-2.580464915133866E-9</v>
      </c>
      <c r="AC122" s="31">
        <f t="shared" si="29"/>
        <v>-3.9867260804285205E-4</v>
      </c>
      <c r="AD122" s="47">
        <v>0</v>
      </c>
      <c r="AE122" s="37">
        <f t="shared" si="23"/>
        <v>154496.42647909059</v>
      </c>
      <c r="AF122" s="40">
        <f t="shared" si="30"/>
        <v>8.9227878809752248E-3</v>
      </c>
      <c r="AG122" s="1"/>
      <c r="AH122" s="1"/>
      <c r="AI122" s="1"/>
      <c r="AJ122" s="1"/>
      <c r="AK122" s="1"/>
      <c r="AL122" s="1"/>
    </row>
    <row r="123" spans="1:38" x14ac:dyDescent="0.35">
      <c r="A123" s="1"/>
      <c r="B123" s="11" t="s">
        <v>115</v>
      </c>
      <c r="C123" s="20">
        <v>9.4600000000000004E-2</v>
      </c>
      <c r="D123" s="38">
        <f t="shared" si="16"/>
        <v>0.25200665331601424</v>
      </c>
      <c r="E123" s="32">
        <f t="shared" si="31"/>
        <v>42277.946008351733</v>
      </c>
      <c r="F123" s="48">
        <v>-1536.77</v>
      </c>
      <c r="G123" s="19">
        <v>5.6800000000000003E-2</v>
      </c>
      <c r="H123" s="38">
        <f t="shared" si="17"/>
        <v>4.8660832919580586E-2</v>
      </c>
      <c r="I123" s="32">
        <f t="shared" si="24"/>
        <v>8163.5942536629791</v>
      </c>
      <c r="J123" s="48">
        <v>-9228.3700000000008</v>
      </c>
      <c r="K123" s="19">
        <v>0.11459999999999999</v>
      </c>
      <c r="L123" s="38">
        <f t="shared" si="18"/>
        <v>0.37978461045124595</v>
      </c>
      <c r="M123" s="32">
        <f t="shared" si="25"/>
        <v>63714.640245334856</v>
      </c>
      <c r="N123" s="49">
        <v>739.86</v>
      </c>
      <c r="O123" s="20">
        <v>0.11700000000000001</v>
      </c>
      <c r="P123" s="38">
        <f t="shared" si="19"/>
        <v>5.143271511001541E-2</v>
      </c>
      <c r="Q123" s="31">
        <f t="shared" si="26"/>
        <v>8628.6196172662203</v>
      </c>
      <c r="R123" s="49">
        <v>1650.7</v>
      </c>
      <c r="S123" s="19">
        <v>5.2400000000000002E-2</v>
      </c>
      <c r="T123" s="38">
        <f t="shared" si="20"/>
        <v>0.17444960085341796</v>
      </c>
      <c r="U123" s="31">
        <f t="shared" si="27"/>
        <v>29266.571771066145</v>
      </c>
      <c r="V123" s="49">
        <v>284.76</v>
      </c>
      <c r="W123" s="25">
        <v>1.7100000000000001E-2</v>
      </c>
      <c r="X123" s="38">
        <f t="shared" si="21"/>
        <v>9.3665589828282422E-2</v>
      </c>
      <c r="Y123" s="31">
        <f t="shared" si="28"/>
        <v>15713.826192655122</v>
      </c>
      <c r="Z123" s="49">
        <v>8089.82</v>
      </c>
      <c r="AA123" s="26">
        <v>4.2999999999999997E-2</v>
      </c>
      <c r="AB123" s="38">
        <f t="shared" si="22"/>
        <v>-2.4785565537875656E-9</v>
      </c>
      <c r="AC123" s="31">
        <f t="shared" si="29"/>
        <v>-4.1581553018869469E-4</v>
      </c>
      <c r="AD123" s="47">
        <v>0</v>
      </c>
      <c r="AE123" s="37">
        <f t="shared" si="23"/>
        <v>167765.19767252152</v>
      </c>
      <c r="AF123" s="40">
        <f t="shared" si="30"/>
        <v>8.5884000658272397E-2</v>
      </c>
      <c r="AG123" s="1"/>
      <c r="AH123" s="1"/>
      <c r="AI123" s="1"/>
      <c r="AJ123" s="1"/>
      <c r="AK123" s="1"/>
      <c r="AL123" s="1"/>
    </row>
    <row r="124" spans="1:38" x14ac:dyDescent="0.35">
      <c r="A124" s="1"/>
      <c r="B124" s="10" t="s">
        <v>116</v>
      </c>
      <c r="C124" s="20">
        <v>8.6E-3</v>
      </c>
      <c r="D124" s="38">
        <f t="shared" si="16"/>
        <v>0.25217919400344119</v>
      </c>
      <c r="E124" s="32">
        <f t="shared" si="31"/>
        <v>42641.53634402356</v>
      </c>
      <c r="F124" s="47">
        <v>0</v>
      </c>
      <c r="G124" s="19">
        <v>1.47E-2</v>
      </c>
      <c r="H124" s="38">
        <f t="shared" si="17"/>
        <v>4.8988650992937588E-2</v>
      </c>
      <c r="I124" s="32">
        <f t="shared" si="24"/>
        <v>8283.5990891918245</v>
      </c>
      <c r="J124" s="47">
        <v>0</v>
      </c>
      <c r="K124" s="19">
        <v>8.3000000000000001E-3</v>
      </c>
      <c r="L124" s="38">
        <f t="shared" si="18"/>
        <v>0.37993159527732845</v>
      </c>
      <c r="M124" s="32">
        <f t="shared" si="25"/>
        <v>64243.471759371139</v>
      </c>
      <c r="N124" s="47">
        <v>0</v>
      </c>
      <c r="O124" s="20">
        <v>9.8500000000000004E-2</v>
      </c>
      <c r="P124" s="38">
        <f t="shared" si="19"/>
        <v>5.6055443633500082E-2</v>
      </c>
      <c r="Q124" s="31">
        <f t="shared" si="26"/>
        <v>9478.5386495669427</v>
      </c>
      <c r="R124" s="47">
        <v>0</v>
      </c>
      <c r="S124" s="17">
        <v>-3.15E-2</v>
      </c>
      <c r="T124" s="38">
        <f t="shared" si="20"/>
        <v>0.16762851079445923</v>
      </c>
      <c r="U124" s="31">
        <f t="shared" si="27"/>
        <v>28344.674760277561</v>
      </c>
      <c r="V124" s="47">
        <v>0</v>
      </c>
      <c r="W124" s="25">
        <v>2.46E-2</v>
      </c>
      <c r="X124" s="38">
        <f t="shared" si="21"/>
        <v>9.5216607858753827E-2</v>
      </c>
      <c r="Y124" s="31">
        <f t="shared" si="28"/>
        <v>16100.386316994438</v>
      </c>
      <c r="Z124" s="47">
        <v>0</v>
      </c>
      <c r="AA124" s="26">
        <v>4.1200000000000001E-2</v>
      </c>
      <c r="AB124" s="38">
        <f t="shared" si="22"/>
        <v>-2.5604203708057359E-9</v>
      </c>
      <c r="AC124" s="31">
        <f t="shared" si="29"/>
        <v>-4.3294713003246894E-4</v>
      </c>
      <c r="AD124" s="47">
        <v>0</v>
      </c>
      <c r="AE124" s="37">
        <f t="shared" si="23"/>
        <v>169092.20648647833</v>
      </c>
      <c r="AF124" s="40">
        <f t="shared" si="30"/>
        <v>7.9099171482939212E-3</v>
      </c>
      <c r="AG124" s="1"/>
      <c r="AH124" s="1"/>
      <c r="AI124" s="1"/>
      <c r="AJ124" s="1"/>
      <c r="AK124" s="1"/>
      <c r="AL124" s="1"/>
    </row>
    <row r="125" spans="1:38" x14ac:dyDescent="0.35">
      <c r="A125" s="1"/>
      <c r="B125" s="11" t="s">
        <v>117</v>
      </c>
      <c r="C125" s="15">
        <v>-2.0899999999999998E-2</v>
      </c>
      <c r="D125" s="38">
        <f t="shared" si="16"/>
        <v>0.2505262744481333</v>
      </c>
      <c r="E125" s="32">
        <f t="shared" si="31"/>
        <v>41750.328234433466</v>
      </c>
      <c r="F125" s="47">
        <v>0</v>
      </c>
      <c r="G125" s="19">
        <v>1.9300000000000001E-2</v>
      </c>
      <c r="H125" s="38">
        <f t="shared" si="17"/>
        <v>5.0665750695012217E-2</v>
      </c>
      <c r="I125" s="32">
        <f t="shared" si="24"/>
        <v>8443.4725516132276</v>
      </c>
      <c r="J125" s="47">
        <v>0</v>
      </c>
      <c r="K125" s="19">
        <v>9.9000000000000008E-3</v>
      </c>
      <c r="L125" s="38">
        <f t="shared" si="18"/>
        <v>0.38931466250592978</v>
      </c>
      <c r="M125" s="32">
        <f t="shared" si="25"/>
        <v>64879.482129788914</v>
      </c>
      <c r="N125" s="47">
        <v>0</v>
      </c>
      <c r="O125" s="15">
        <v>-9.5500000000000002E-2</v>
      </c>
      <c r="P125" s="38">
        <f t="shared" si="19"/>
        <v>5.1445020238098403E-2</v>
      </c>
      <c r="Q125" s="31">
        <f t="shared" si="26"/>
        <v>8573.3382085332996</v>
      </c>
      <c r="R125" s="47">
        <v>0</v>
      </c>
      <c r="S125" s="17">
        <v>-2.5000000000000001E-2</v>
      </c>
      <c r="T125" s="38">
        <f t="shared" si="20"/>
        <v>0.16583243573694298</v>
      </c>
      <c r="U125" s="31">
        <f t="shared" si="27"/>
        <v>27636.057891270622</v>
      </c>
      <c r="V125" s="47">
        <v>0</v>
      </c>
      <c r="W125" s="24">
        <v>-4.5499999999999999E-2</v>
      </c>
      <c r="X125" s="38">
        <f t="shared" si="21"/>
        <v>9.2215858845480073E-2</v>
      </c>
      <c r="Y125" s="31">
        <f t="shared" si="28"/>
        <v>15367.81873957119</v>
      </c>
      <c r="Z125" s="47">
        <v>0</v>
      </c>
      <c r="AA125" s="27">
        <v>-4.9399999999999999E-2</v>
      </c>
      <c r="AB125" s="38">
        <f t="shared" si="22"/>
        <v>-2.4695968411074408E-9</v>
      </c>
      <c r="AC125" s="31">
        <f t="shared" si="29"/>
        <v>-4.1155954180886495E-4</v>
      </c>
      <c r="AD125" s="47">
        <v>0</v>
      </c>
      <c r="AE125" s="37">
        <f t="shared" si="23"/>
        <v>166650.49734365119</v>
      </c>
      <c r="AF125" s="40">
        <f t="shared" si="30"/>
        <v>-1.4440104565211831E-2</v>
      </c>
      <c r="AG125" s="1"/>
      <c r="AH125" s="1"/>
      <c r="AI125" s="1"/>
      <c r="AJ125" s="1"/>
      <c r="AK125" s="1"/>
      <c r="AL125" s="1"/>
    </row>
    <row r="126" spans="1:38" x14ac:dyDescent="0.35">
      <c r="A126" s="1"/>
      <c r="B126" s="10" t="s">
        <v>118</v>
      </c>
      <c r="C126" s="20">
        <v>1.0999999999999999E-2</v>
      </c>
      <c r="D126" s="38">
        <f t="shared" si="16"/>
        <v>0.25281875952724486</v>
      </c>
      <c r="E126" s="32">
        <f t="shared" si="31"/>
        <v>42120.907035012235</v>
      </c>
      <c r="F126" s="48">
        <v>-87.71</v>
      </c>
      <c r="G126" s="19">
        <v>8.2000000000000007E-3</v>
      </c>
      <c r="H126" s="38">
        <f t="shared" si="17"/>
        <v>0.18152541466733965</v>
      </c>
      <c r="I126" s="32">
        <f t="shared" si="24"/>
        <v>30243.068710536456</v>
      </c>
      <c r="J126" s="49">
        <v>21553.62</v>
      </c>
      <c r="K126" s="17">
        <v>-8.8000000000000005E-3</v>
      </c>
      <c r="L126" s="38">
        <f t="shared" si="18"/>
        <v>0.34701441733750993</v>
      </c>
      <c r="M126" s="32">
        <f t="shared" si="25"/>
        <v>57814.388615046773</v>
      </c>
      <c r="N126" s="48">
        <v>-6551.81</v>
      </c>
      <c r="O126" s="15">
        <v>-3.5299999999999998E-2</v>
      </c>
      <c r="P126" s="38">
        <f t="shared" si="19"/>
        <v>4.8248090629967801E-2</v>
      </c>
      <c r="Q126" s="31">
        <f t="shared" si="26"/>
        <v>8038.380315772074</v>
      </c>
      <c r="R126" s="48">
        <v>-240.82</v>
      </c>
      <c r="S126" s="19">
        <v>1.1599999999999999E-2</v>
      </c>
      <c r="T126" s="38">
        <f t="shared" si="20"/>
        <v>0.1214250310746252</v>
      </c>
      <c r="U126" s="31">
        <f t="shared" si="27"/>
        <v>20230.035362809362</v>
      </c>
      <c r="V126" s="48">
        <v>-7638</v>
      </c>
      <c r="W126" s="24">
        <v>-2.0899999999999998E-2</v>
      </c>
      <c r="X126" s="38">
        <f t="shared" si="21"/>
        <v>4.8968289153544925E-2</v>
      </c>
      <c r="Y126" s="31">
        <f t="shared" si="28"/>
        <v>8158.3690979141529</v>
      </c>
      <c r="Z126" s="48">
        <v>-7035.3</v>
      </c>
      <c r="AA126" s="27">
        <v>-3.2399999999999998E-2</v>
      </c>
      <c r="AB126" s="38">
        <f t="shared" si="22"/>
        <v>-2.3902323287645125E-9</v>
      </c>
      <c r="AC126" s="31">
        <f t="shared" si="29"/>
        <v>-3.9822501265425773E-4</v>
      </c>
      <c r="AD126" s="47">
        <v>0</v>
      </c>
      <c r="AE126" s="37">
        <f t="shared" si="23"/>
        <v>166605.14873886603</v>
      </c>
      <c r="AF126" s="40">
        <f t="shared" si="30"/>
        <v>-2.7211802849680389E-4</v>
      </c>
      <c r="AG126" s="1"/>
      <c r="AH126" s="1"/>
      <c r="AI126" s="1"/>
      <c r="AJ126" s="1"/>
      <c r="AK126" s="1"/>
      <c r="AL126" s="1"/>
    </row>
    <row r="127" spans="1:38" x14ac:dyDescent="0.35">
      <c r="A127" s="1"/>
      <c r="B127" s="11" t="s">
        <v>119</v>
      </c>
      <c r="C127" s="20">
        <v>9.4700000000000006E-2</v>
      </c>
      <c r="D127" s="38">
        <f t="shared" si="16"/>
        <v>0.25734961311611992</v>
      </c>
      <c r="E127" s="32">
        <f t="shared" si="31"/>
        <v>46109.756931227894</v>
      </c>
      <c r="F127" s="47">
        <v>0</v>
      </c>
      <c r="G127" s="19">
        <v>6.2199999999999998E-2</v>
      </c>
      <c r="H127" s="38">
        <f t="shared" si="17"/>
        <v>0.17929279607411078</v>
      </c>
      <c r="I127" s="32">
        <f t="shared" si="24"/>
        <v>32124.187584331823</v>
      </c>
      <c r="J127" s="47">
        <v>0</v>
      </c>
      <c r="K127" s="19">
        <v>0.107</v>
      </c>
      <c r="L127" s="38">
        <f t="shared" si="18"/>
        <v>0.35720229875108583</v>
      </c>
      <c r="M127" s="32">
        <f t="shared" si="25"/>
        <v>64000.52819685678</v>
      </c>
      <c r="N127" s="47">
        <v>0</v>
      </c>
      <c r="O127" s="20">
        <v>7.3000000000000001E-3</v>
      </c>
      <c r="P127" s="38">
        <f t="shared" si="19"/>
        <v>4.5191636731501617E-2</v>
      </c>
      <c r="Q127" s="31">
        <f t="shared" si="26"/>
        <v>8097.0604920772103</v>
      </c>
      <c r="R127" s="47">
        <v>0</v>
      </c>
      <c r="S127" s="19">
        <v>8.8999999999999999E-3</v>
      </c>
      <c r="T127" s="38">
        <f t="shared" si="20"/>
        <v>0.11391356689575691</v>
      </c>
      <c r="U127" s="31">
        <f t="shared" si="27"/>
        <v>20410.082677538365</v>
      </c>
      <c r="V127" s="47">
        <v>0</v>
      </c>
      <c r="W127" s="25">
        <v>3.3300000000000003E-2</v>
      </c>
      <c r="X127" s="38">
        <f t="shared" si="21"/>
        <v>4.7050090797593515E-2</v>
      </c>
      <c r="Y127" s="31">
        <f t="shared" si="28"/>
        <v>8430.0427888746945</v>
      </c>
      <c r="Z127" s="47">
        <v>0</v>
      </c>
      <c r="AA127" s="26">
        <v>6.4600000000000005E-2</v>
      </c>
      <c r="AB127" s="38">
        <f t="shared" si="22"/>
        <v>-2.3661685816814971E-9</v>
      </c>
      <c r="AC127" s="31">
        <f t="shared" si="29"/>
        <v>-4.2395034847172281E-4</v>
      </c>
      <c r="AD127" s="47">
        <v>0</v>
      </c>
      <c r="AE127" s="37">
        <f t="shared" si="23"/>
        <v>179171.65824695642</v>
      </c>
      <c r="AF127" s="40">
        <f t="shared" si="30"/>
        <v>7.5426897687219219E-2</v>
      </c>
      <c r="AG127" s="1"/>
      <c r="AH127" s="1"/>
      <c r="AI127" s="1"/>
      <c r="AJ127" s="1"/>
      <c r="AK127" s="1"/>
      <c r="AL127" s="1"/>
    </row>
    <row r="128" spans="1:38" x14ac:dyDescent="0.35">
      <c r="A128" s="1"/>
      <c r="B128" s="10" t="s">
        <v>120</v>
      </c>
      <c r="C128" s="20">
        <v>3.9800000000000002E-2</v>
      </c>
      <c r="D128" s="38">
        <f t="shared" si="16"/>
        <v>0.26209279523046791</v>
      </c>
      <c r="E128" s="32">
        <f t="shared" si="31"/>
        <v>47944.925257090763</v>
      </c>
      <c r="F128" s="47">
        <v>0</v>
      </c>
      <c r="G128" s="19">
        <v>2.5000000000000001E-3</v>
      </c>
      <c r="H128" s="38">
        <f t="shared" si="17"/>
        <v>0.17604713884778295</v>
      </c>
      <c r="I128" s="32">
        <f t="shared" si="24"/>
        <v>32204.498053292653</v>
      </c>
      <c r="J128" s="47">
        <v>0</v>
      </c>
      <c r="K128" s="19">
        <v>3.2399999999999998E-2</v>
      </c>
      <c r="L128" s="38">
        <f t="shared" si="18"/>
        <v>0.36119688046264797</v>
      </c>
      <c r="M128" s="32">
        <f t="shared" si="25"/>
        <v>66074.145310434935</v>
      </c>
      <c r="N128" s="47">
        <v>0</v>
      </c>
      <c r="O128" s="15">
        <v>-2.1600000000000001E-2</v>
      </c>
      <c r="P128" s="38">
        <f t="shared" si="19"/>
        <v>4.3306816979826697E-2</v>
      </c>
      <c r="Q128" s="31">
        <f t="shared" si="26"/>
        <v>7922.1639854483428</v>
      </c>
      <c r="R128" s="47">
        <v>0</v>
      </c>
      <c r="S128" s="19">
        <v>1.1999999999999999E-3</v>
      </c>
      <c r="T128" s="38">
        <f t="shared" si="20"/>
        <v>0.11170639632591164</v>
      </c>
      <c r="U128" s="31">
        <f t="shared" si="27"/>
        <v>20434.574776751411</v>
      </c>
      <c r="V128" s="47">
        <v>0</v>
      </c>
      <c r="W128" s="24">
        <v>-9.4000000000000004E-3</v>
      </c>
      <c r="X128" s="38">
        <f t="shared" si="21"/>
        <v>4.564997450752116E-2</v>
      </c>
      <c r="Y128" s="31">
        <f t="shared" si="28"/>
        <v>8350.8003866592717</v>
      </c>
      <c r="Z128" s="47">
        <v>0</v>
      </c>
      <c r="AA128" s="26">
        <v>1.5800000000000002E-2</v>
      </c>
      <c r="AB128" s="38">
        <f t="shared" si="22"/>
        <v>-2.3541581868820652E-9</v>
      </c>
      <c r="AC128" s="31">
        <f t="shared" si="29"/>
        <v>-4.3064876397757603E-4</v>
      </c>
      <c r="AD128" s="47">
        <v>0</v>
      </c>
      <c r="AE128" s="37">
        <f t="shared" si="23"/>
        <v>182931.10733902859</v>
      </c>
      <c r="AF128" s="40">
        <f t="shared" si="30"/>
        <v>2.098238710773348E-2</v>
      </c>
      <c r="AG128" s="1"/>
      <c r="AH128" s="1"/>
      <c r="AI128" s="1"/>
      <c r="AJ128" s="1"/>
      <c r="AK128" s="1"/>
      <c r="AL128" s="1"/>
    </row>
    <row r="129" spans="1:38" x14ac:dyDescent="0.35">
      <c r="A129" s="1"/>
      <c r="B129" s="9" t="s">
        <v>121</v>
      </c>
      <c r="C129" s="15">
        <v>-1.6799999999999999E-2</v>
      </c>
      <c r="D129" s="38">
        <f t="shared" si="16"/>
        <v>0.24769360843410995</v>
      </c>
      <c r="E129" s="32">
        <f t="shared" si="31"/>
        <v>44964.46463277164</v>
      </c>
      <c r="F129" s="48">
        <v>-2212.15</v>
      </c>
      <c r="G129" s="17">
        <v>-6.8500000000000005E-2</v>
      </c>
      <c r="H129" s="38">
        <f t="shared" si="17"/>
        <v>0.16896170528842566</v>
      </c>
      <c r="I129" s="32">
        <f t="shared" si="24"/>
        <v>30672.057586642106</v>
      </c>
      <c r="J129" s="49">
        <v>723.1</v>
      </c>
      <c r="K129" s="17">
        <v>-8.8000000000000005E-3</v>
      </c>
      <c r="L129" s="38">
        <f t="shared" si="18"/>
        <v>0.36956933260093172</v>
      </c>
      <c r="M129" s="32">
        <f t="shared" si="25"/>
        <v>67088.881663703098</v>
      </c>
      <c r="N129" s="49">
        <v>1610.36</v>
      </c>
      <c r="O129" s="20">
        <v>5.2200000000000003E-2</v>
      </c>
      <c r="P129" s="38">
        <f t="shared" si="19"/>
        <v>0.10603062250212157</v>
      </c>
      <c r="Q129" s="31">
        <f t="shared" si="26"/>
        <v>19248.014535488746</v>
      </c>
      <c r="R129" s="49">
        <v>10370.950000000001</v>
      </c>
      <c r="S129" s="19">
        <v>6.3E-2</v>
      </c>
      <c r="T129" s="38">
        <f t="shared" si="20"/>
        <v>7.4983289232247799E-2</v>
      </c>
      <c r="U129" s="31">
        <f t="shared" si="27"/>
        <v>13611.911417686752</v>
      </c>
      <c r="V129" s="48">
        <v>-7629.39</v>
      </c>
      <c r="W129" s="25">
        <v>8.3699999999999997E-2</v>
      </c>
      <c r="X129" s="38">
        <f t="shared" si="21"/>
        <v>3.2761444360551131E-2</v>
      </c>
      <c r="Y129" s="31">
        <f t="shared" si="28"/>
        <v>5947.2701600226528</v>
      </c>
      <c r="Z129" s="48">
        <v>-2862.87</v>
      </c>
      <c r="AA129" s="26">
        <v>1.9429999999999999E-2</v>
      </c>
      <c r="AB129" s="38">
        <f t="shared" si="22"/>
        <v>-2.4183880500377548E-9</v>
      </c>
      <c r="AC129" s="31">
        <f t="shared" si="29"/>
        <v>-4.3901626946166031E-4</v>
      </c>
      <c r="AD129" s="47">
        <v>0</v>
      </c>
      <c r="AE129" s="37">
        <f t="shared" si="23"/>
        <v>181532.59955729876</v>
      </c>
      <c r="AF129" s="40">
        <f t="shared" si="30"/>
        <v>-7.6449970815404278E-3</v>
      </c>
      <c r="AG129" s="1"/>
      <c r="AH129" s="1"/>
      <c r="AI129" s="1"/>
      <c r="AJ129" s="1"/>
      <c r="AK129" s="1"/>
      <c r="AL129" s="1"/>
    </row>
    <row r="130" spans="1:38" x14ac:dyDescent="0.35">
      <c r="A130" s="1"/>
      <c r="B130" s="10" t="s">
        <v>122</v>
      </c>
      <c r="C130" s="20">
        <v>5.7999999999999996E-3</v>
      </c>
      <c r="D130" s="38">
        <f t="shared" si="16"/>
        <v>0.24728549697940908</v>
      </c>
      <c r="E130" s="32">
        <f t="shared" si="31"/>
        <v>45225.258527641716</v>
      </c>
      <c r="F130" s="47">
        <v>0</v>
      </c>
      <c r="G130" s="17">
        <v>-3.2000000000000002E-3</v>
      </c>
      <c r="H130" s="38">
        <f t="shared" si="17"/>
        <v>0.16717392080934271</v>
      </c>
      <c r="I130" s="32">
        <f t="shared" si="24"/>
        <v>30573.907002364853</v>
      </c>
      <c r="J130" s="47">
        <v>0</v>
      </c>
      <c r="K130" s="19">
        <v>1.03E-2</v>
      </c>
      <c r="L130" s="38">
        <f t="shared" si="18"/>
        <v>0.37061116058475319</v>
      </c>
      <c r="M130" s="32">
        <f t="shared" si="25"/>
        <v>67779.89714483924</v>
      </c>
      <c r="N130" s="47">
        <v>0</v>
      </c>
      <c r="O130" s="20">
        <v>2.7E-2</v>
      </c>
      <c r="P130" s="38">
        <f t="shared" si="19"/>
        <v>0.10808712609072078</v>
      </c>
      <c r="Q130" s="31">
        <f t="shared" si="26"/>
        <v>19767.710927946944</v>
      </c>
      <c r="R130" s="47">
        <v>0</v>
      </c>
      <c r="S130" s="19">
        <v>1.3100000000000001E-2</v>
      </c>
      <c r="T130" s="38">
        <f t="shared" si="20"/>
        <v>7.5403068135983742E-2</v>
      </c>
      <c r="U130" s="31">
        <f t="shared" si="27"/>
        <v>13790.227457258448</v>
      </c>
      <c r="V130" s="47">
        <v>0</v>
      </c>
      <c r="W130" s="24">
        <v>-3.32E-2</v>
      </c>
      <c r="X130" s="38">
        <f t="shared" si="21"/>
        <v>3.1439229715054084E-2</v>
      </c>
      <c r="Y130" s="31">
        <f t="shared" si="28"/>
        <v>5749.8207907099004</v>
      </c>
      <c r="Z130" s="47">
        <v>0</v>
      </c>
      <c r="AA130" s="27">
        <v>-3.5499999999999997E-2</v>
      </c>
      <c r="AB130" s="38">
        <f t="shared" si="22"/>
        <v>-2.3152635525683396E-9</v>
      </c>
      <c r="AC130" s="31">
        <f t="shared" si="29"/>
        <v>-4.2343119189577135E-4</v>
      </c>
      <c r="AD130" s="47">
        <v>0</v>
      </c>
      <c r="AE130" s="37">
        <f t="shared" si="23"/>
        <v>182886.82142732991</v>
      </c>
      <c r="AF130" s="40">
        <f t="shared" si="30"/>
        <v>7.4599376273665197E-3</v>
      </c>
      <c r="AG130" s="1"/>
      <c r="AH130" s="1"/>
      <c r="AI130" s="1"/>
      <c r="AJ130" s="1"/>
      <c r="AK130" s="1"/>
      <c r="AL130" s="1"/>
    </row>
    <row r="131" spans="1:38" x14ac:dyDescent="0.35">
      <c r="A131" s="1"/>
      <c r="B131" s="11" t="s">
        <v>123</v>
      </c>
      <c r="C131" s="15">
        <v>-1.8599999999999998E-2</v>
      </c>
      <c r="D131" s="38">
        <f t="shared" si="16"/>
        <v>0.24874655267843759</v>
      </c>
      <c r="E131" s="32">
        <f t="shared" si="31"/>
        <v>44384.068719027578</v>
      </c>
      <c r="F131" s="47">
        <v>0</v>
      </c>
      <c r="G131" s="19">
        <v>1.24E-2</v>
      </c>
      <c r="H131" s="38">
        <f t="shared" si="17"/>
        <v>0.1734734579360705</v>
      </c>
      <c r="I131" s="32">
        <f t="shared" si="24"/>
        <v>30953.023449194177</v>
      </c>
      <c r="J131" s="47">
        <v>0</v>
      </c>
      <c r="K131" s="17">
        <v>-3.5099999999999999E-2</v>
      </c>
      <c r="L131" s="38">
        <f t="shared" si="18"/>
        <v>0.36653307531671397</v>
      </c>
      <c r="M131" s="32">
        <f t="shared" si="25"/>
        <v>65400.822755055386</v>
      </c>
      <c r="N131" s="47">
        <v>0</v>
      </c>
      <c r="O131" s="15">
        <v>-5.7000000000000002E-2</v>
      </c>
      <c r="P131" s="38">
        <f t="shared" si="19"/>
        <v>0.10447154878943335</v>
      </c>
      <c r="Q131" s="31">
        <f t="shared" si="26"/>
        <v>18640.951405053969</v>
      </c>
      <c r="R131" s="47">
        <v>0</v>
      </c>
      <c r="S131" s="17">
        <v>-2.6800000000000001E-2</v>
      </c>
      <c r="T131" s="38">
        <f t="shared" si="20"/>
        <v>7.5214831801216644E-2</v>
      </c>
      <c r="U131" s="31">
        <f t="shared" si="27"/>
        <v>13420.649361403923</v>
      </c>
      <c r="V131" s="47">
        <v>0</v>
      </c>
      <c r="W131" s="24">
        <v>-2.06E-2</v>
      </c>
      <c r="X131" s="38">
        <f t="shared" si="21"/>
        <v>3.1560535790696731E-2</v>
      </c>
      <c r="Y131" s="31">
        <f t="shared" si="28"/>
        <v>5631.3744824212763</v>
      </c>
      <c r="Z131" s="47">
        <v>0</v>
      </c>
      <c r="AA131" s="27">
        <v>-2.5499999999999998E-2</v>
      </c>
      <c r="AB131" s="38">
        <f t="shared" si="22"/>
        <v>-2.3125687321211574E-9</v>
      </c>
      <c r="AC131" s="31">
        <f t="shared" si="29"/>
        <v>-4.1263369650242917E-4</v>
      </c>
      <c r="AD131" s="47">
        <v>0</v>
      </c>
      <c r="AE131" s="37">
        <f t="shared" si="23"/>
        <v>178430.8897595226</v>
      </c>
      <c r="AF131" s="40">
        <f t="shared" si="30"/>
        <v>-2.4364421848612428E-2</v>
      </c>
      <c r="AG131" s="1"/>
      <c r="AH131" s="1"/>
      <c r="AI131" s="1"/>
      <c r="AJ131" s="1"/>
      <c r="AK131" s="1"/>
      <c r="AL131" s="1"/>
    </row>
    <row r="132" spans="1:38" x14ac:dyDescent="0.35">
      <c r="A132" s="1"/>
      <c r="B132" s="10" t="s">
        <v>124</v>
      </c>
      <c r="C132" s="15">
        <v>-8.8999999999999999E-3</v>
      </c>
      <c r="D132" s="38">
        <f t="shared" si="16"/>
        <v>0.35157713333193502</v>
      </c>
      <c r="E132" s="32">
        <f t="shared" si="31"/>
        <v>61894.996521428227</v>
      </c>
      <c r="F132" s="49">
        <v>18066.740000000002</v>
      </c>
      <c r="G132" s="17">
        <v>-7.3000000000000001E-3</v>
      </c>
      <c r="H132" s="38">
        <f t="shared" si="17"/>
        <v>5.0306383195117231E-2</v>
      </c>
      <c r="I132" s="32">
        <f t="shared" si="24"/>
        <v>8856.4161820150621</v>
      </c>
      <c r="J132" s="48">
        <v>-22031.48</v>
      </c>
      <c r="K132" s="17">
        <v>-5.1900000000000002E-2</v>
      </c>
      <c r="L132" s="38">
        <f t="shared" si="18"/>
        <v>0.2402311262099136</v>
      </c>
      <c r="M132" s="32">
        <f t="shared" si="25"/>
        <v>42292.581944068013</v>
      </c>
      <c r="N132" s="48">
        <v>-20793.099999999999</v>
      </c>
      <c r="O132" s="15">
        <v>-7.9000000000000008E-3</v>
      </c>
      <c r="P132" s="38">
        <f t="shared" si="19"/>
        <v>5.0275965883481301E-2</v>
      </c>
      <c r="Q132" s="31">
        <f t="shared" si="26"/>
        <v>8851.0612279540437</v>
      </c>
      <c r="R132" s="48">
        <v>-9719.41</v>
      </c>
      <c r="S132" s="19">
        <v>1.7399999999999999E-2</v>
      </c>
      <c r="T132" s="38">
        <f t="shared" si="20"/>
        <v>0.18560913492178066</v>
      </c>
      <c r="U132" s="31">
        <f t="shared" si="27"/>
        <v>32676.404894292351</v>
      </c>
      <c r="V132" s="49">
        <v>18696.91</v>
      </c>
      <c r="W132" s="25">
        <v>3.0999999999999999E-3</v>
      </c>
      <c r="X132" s="38">
        <f t="shared" si="21"/>
        <v>0.12200025876646425</v>
      </c>
      <c r="Y132" s="31">
        <f t="shared" si="28"/>
        <v>21478.090797316781</v>
      </c>
      <c r="Z132" s="49">
        <v>15780.34</v>
      </c>
      <c r="AA132" s="27">
        <v>-1.4999999999999999E-2</v>
      </c>
      <c r="AB132" s="38">
        <f t="shared" si="22"/>
        <v>-2.308692003900918E-9</v>
      </c>
      <c r="AC132" s="31">
        <f t="shared" si="29"/>
        <v>-4.0644419105489272E-4</v>
      </c>
      <c r="AD132" s="47">
        <v>0</v>
      </c>
      <c r="AE132" s="37">
        <f t="shared" si="23"/>
        <v>176049.55116063028</v>
      </c>
      <c r="AF132" s="40">
        <f t="shared" si="30"/>
        <v>-1.3345999687059407E-2</v>
      </c>
      <c r="AG132" s="1"/>
      <c r="AH132" s="1"/>
      <c r="AI132" s="1"/>
      <c r="AJ132" s="1"/>
      <c r="AK132" s="1"/>
      <c r="AL132" s="1"/>
    </row>
    <row r="133" spans="1:38" x14ac:dyDescent="0.35">
      <c r="A133" s="1"/>
      <c r="B133" s="11" t="s">
        <v>125</v>
      </c>
      <c r="C133" s="20">
        <v>1.9400000000000001E-2</v>
      </c>
      <c r="D133" s="38">
        <f t="shared" si="16"/>
        <v>0.35298472835957068</v>
      </c>
      <c r="E133" s="32">
        <f t="shared" si="31"/>
        <v>63095.759453943938</v>
      </c>
      <c r="F133" s="47">
        <v>0</v>
      </c>
      <c r="G133" s="19">
        <v>2.7900000000000001E-2</v>
      </c>
      <c r="H133" s="38">
        <f t="shared" si="17"/>
        <v>5.0928938815839049E-2</v>
      </c>
      <c r="I133" s="32">
        <f t="shared" si="24"/>
        <v>9103.5101934932827</v>
      </c>
      <c r="J133" s="47">
        <v>0</v>
      </c>
      <c r="K133" s="19">
        <v>6.3E-3</v>
      </c>
      <c r="L133" s="38">
        <f t="shared" si="18"/>
        <v>0.23809343263515251</v>
      </c>
      <c r="M133" s="32">
        <f t="shared" si="25"/>
        <v>42559.025210315645</v>
      </c>
      <c r="N133" s="47">
        <v>0</v>
      </c>
      <c r="O133" s="15">
        <v>-3.3000000000000002E-2</v>
      </c>
      <c r="P133" s="38">
        <f t="shared" si="19"/>
        <v>4.7882582248994734E-2</v>
      </c>
      <c r="Q133" s="31">
        <f t="shared" si="26"/>
        <v>8558.9762074315604</v>
      </c>
      <c r="R133" s="47">
        <v>0</v>
      </c>
      <c r="S133" s="19">
        <v>2.24E-2</v>
      </c>
      <c r="T133" s="38">
        <f t="shared" si="20"/>
        <v>0.18690066809747383</v>
      </c>
      <c r="U133" s="31">
        <f t="shared" si="27"/>
        <v>33408.356363924497</v>
      </c>
      <c r="V133" s="47">
        <v>0</v>
      </c>
      <c r="W133" s="25">
        <v>2.5399999999999999E-2</v>
      </c>
      <c r="X133" s="38">
        <f t="shared" si="21"/>
        <v>0.12320965211315421</v>
      </c>
      <c r="Y133" s="31">
        <f t="shared" si="28"/>
        <v>22023.634303568626</v>
      </c>
      <c r="Z133" s="47">
        <v>0</v>
      </c>
      <c r="AA133" s="27">
        <v>-1.6000000000000001E-3</v>
      </c>
      <c r="AB133" s="38">
        <f t="shared" si="22"/>
        <v>-2.2701849357974045E-9</v>
      </c>
      <c r="AC133" s="31">
        <f t="shared" si="29"/>
        <v>-4.0579388034920488E-4</v>
      </c>
      <c r="AD133" s="47">
        <v>0</v>
      </c>
      <c r="AE133" s="37">
        <f t="shared" si="23"/>
        <v>178749.26132688366</v>
      </c>
      <c r="AF133" s="40">
        <f t="shared" si="30"/>
        <v>1.533494489736098E-2</v>
      </c>
      <c r="AG133" s="1"/>
      <c r="AH133" s="1"/>
      <c r="AI133" s="1"/>
      <c r="AJ133" s="1"/>
      <c r="AK133" s="1"/>
      <c r="AL133" s="1"/>
    </row>
    <row r="134" spans="1:38" x14ac:dyDescent="0.35">
      <c r="A134" s="1"/>
      <c r="B134" s="10" t="s">
        <v>126</v>
      </c>
      <c r="C134" s="20">
        <v>9.1000000000000004E-3</v>
      </c>
      <c r="D134" s="38">
        <f t="shared" si="16"/>
        <v>0.3517110169576893</v>
      </c>
      <c r="E134" s="32">
        <f t="shared" si="31"/>
        <v>63669.930864974827</v>
      </c>
      <c r="F134" s="47">
        <v>0</v>
      </c>
      <c r="G134" s="19">
        <v>6.0000000000000001E-3</v>
      </c>
      <c r="H134" s="38">
        <f t="shared" si="17"/>
        <v>5.0589275239473222E-2</v>
      </c>
      <c r="I134" s="32">
        <f t="shared" si="24"/>
        <v>9158.1312546542431</v>
      </c>
      <c r="J134" s="47">
        <v>0</v>
      </c>
      <c r="K134" s="19">
        <v>4.24E-2</v>
      </c>
      <c r="L134" s="38">
        <f t="shared" si="18"/>
        <v>0.2450629566305878</v>
      </c>
      <c r="M134" s="32">
        <f t="shared" si="25"/>
        <v>44363.527879233028</v>
      </c>
      <c r="N134" s="47">
        <v>0</v>
      </c>
      <c r="O134" s="20">
        <v>5.0599999999999999E-2</v>
      </c>
      <c r="P134" s="38">
        <f t="shared" si="19"/>
        <v>4.9671904242783275E-2</v>
      </c>
      <c r="Q134" s="31">
        <f t="shared" si="26"/>
        <v>8992.0604035275974</v>
      </c>
      <c r="R134" s="47">
        <v>0</v>
      </c>
      <c r="S134" s="17">
        <v>-7.7999999999999996E-3</v>
      </c>
      <c r="T134" s="38">
        <f t="shared" si="20"/>
        <v>0.18310741278846504</v>
      </c>
      <c r="U134" s="31">
        <f t="shared" si="27"/>
        <v>33147.771184285884</v>
      </c>
      <c r="V134" s="47">
        <v>0</v>
      </c>
      <c r="W134" s="24">
        <v>-1.4800000000000001E-2</v>
      </c>
      <c r="X134" s="38">
        <f t="shared" si="21"/>
        <v>0.11985743636018015</v>
      </c>
      <c r="Y134" s="31">
        <f t="shared" si="28"/>
        <v>21697.684515875811</v>
      </c>
      <c r="Z134" s="47">
        <v>0</v>
      </c>
      <c r="AA134" s="27">
        <v>-0.01</v>
      </c>
      <c r="AB134" s="38">
        <f t="shared" si="22"/>
        <v>-2.2191787336653855E-9</v>
      </c>
      <c r="AC134" s="31">
        <f t="shared" si="29"/>
        <v>-4.0173594154571283E-4</v>
      </c>
      <c r="AD134" s="47">
        <v>0</v>
      </c>
      <c r="AE134" s="37">
        <f t="shared" si="23"/>
        <v>181029.10570081545</v>
      </c>
      <c r="AF134" s="40">
        <f t="shared" si="30"/>
        <v>1.2754426826763643E-2</v>
      </c>
      <c r="AG134" s="1"/>
      <c r="AH134" s="1"/>
      <c r="AI134" s="1"/>
      <c r="AJ134" s="1"/>
      <c r="AK134" s="1"/>
      <c r="AL134" s="1"/>
    </row>
    <row r="135" spans="1:38" x14ac:dyDescent="0.35">
      <c r="A135" s="1"/>
      <c r="B135" s="11" t="s">
        <v>127</v>
      </c>
      <c r="C135" s="20">
        <v>4.4999999999999997E-3</v>
      </c>
      <c r="D135" s="38">
        <f t="shared" si="16"/>
        <v>0.11907689187825554</v>
      </c>
      <c r="E135" s="32">
        <f t="shared" si="31"/>
        <v>21821.246573867211</v>
      </c>
      <c r="F135" s="48">
        <v>-41946.44</v>
      </c>
      <c r="G135" s="19">
        <v>3.3799999999999997E-2</v>
      </c>
      <c r="H135" s="38">
        <f t="shared" si="17"/>
        <v>7.1487653070393523E-2</v>
      </c>
      <c r="I135" s="32">
        <f t="shared" si="24"/>
        <v>13100.356249061557</v>
      </c>
      <c r="J135" s="49">
        <v>3513.91</v>
      </c>
      <c r="K135" s="17">
        <v>-4.5499999999999999E-2</v>
      </c>
      <c r="L135" s="38">
        <f t="shared" si="18"/>
        <v>2.8287404695724262E-2</v>
      </c>
      <c r="M135" s="32">
        <f t="shared" si="25"/>
        <v>5183.7633907279233</v>
      </c>
      <c r="N135" s="48">
        <v>-38932.660000000003</v>
      </c>
      <c r="O135" s="15">
        <v>-1.4800000000000001E-2</v>
      </c>
      <c r="P135" s="38">
        <f t="shared" si="19"/>
        <v>0.17518352711985566</v>
      </c>
      <c r="Q135" s="31">
        <f t="shared" si="26"/>
        <v>32102.97884555539</v>
      </c>
      <c r="R135" s="49">
        <v>23593.18</v>
      </c>
      <c r="S135" s="19">
        <v>2.07E-2</v>
      </c>
      <c r="T135" s="38">
        <f t="shared" si="20"/>
        <v>0.30249326167483348</v>
      </c>
      <c r="U135" s="31">
        <f t="shared" si="27"/>
        <v>55432.921919800603</v>
      </c>
      <c r="V135" s="49">
        <v>21160.959999999999</v>
      </c>
      <c r="W135" s="25">
        <v>2.4E-2</v>
      </c>
      <c r="X135" s="38">
        <f t="shared" si="21"/>
        <v>0.3034712637963673</v>
      </c>
      <c r="Y135" s="31">
        <f t="shared" si="28"/>
        <v>55612.144144256832</v>
      </c>
      <c r="Z135" s="49">
        <v>32611.05</v>
      </c>
      <c r="AA135" s="26">
        <v>1.9699999999999999E-2</v>
      </c>
      <c r="AB135" s="38">
        <f t="shared" si="22"/>
        <v>-2.2354298236464868E-9</v>
      </c>
      <c r="AC135" s="31">
        <f t="shared" si="29"/>
        <v>-4.0965013959416339E-4</v>
      </c>
      <c r="AD135" s="47">
        <v>0</v>
      </c>
      <c r="AE135" s="37">
        <f t="shared" si="23"/>
        <v>183253.41071361938</v>
      </c>
      <c r="AF135" s="40">
        <f t="shared" si="30"/>
        <v>1.2287002160194183E-2</v>
      </c>
      <c r="AG135" s="1"/>
      <c r="AH135" s="1"/>
      <c r="AI135" s="1"/>
      <c r="AJ135" s="1"/>
      <c r="AK135" s="1"/>
      <c r="AL135" s="1"/>
    </row>
    <row r="136" spans="1:38" x14ac:dyDescent="0.35">
      <c r="A136" s="1"/>
      <c r="B136" s="10" t="s">
        <v>128</v>
      </c>
      <c r="C136" s="20">
        <v>3.44E-2</v>
      </c>
      <c r="D136" s="38">
        <f t="shared" si="16"/>
        <v>0.11981095568091926</v>
      </c>
      <c r="E136" s="32">
        <f t="shared" si="31"/>
        <v>22571.897456008242</v>
      </c>
      <c r="F136" s="47">
        <v>0</v>
      </c>
      <c r="G136" s="19">
        <v>2.5000000000000001E-2</v>
      </c>
      <c r="H136" s="38">
        <f t="shared" si="17"/>
        <v>7.1274706087296455E-2</v>
      </c>
      <c r="I136" s="32">
        <f t="shared" si="24"/>
        <v>13427.865155288097</v>
      </c>
      <c r="J136" s="47">
        <v>0</v>
      </c>
      <c r="K136" s="19">
        <v>4.4999999999999998E-2</v>
      </c>
      <c r="L136" s="38">
        <f t="shared" si="18"/>
        <v>2.8753447564423815E-2</v>
      </c>
      <c r="M136" s="32">
        <f t="shared" si="25"/>
        <v>5417.0327433106795</v>
      </c>
      <c r="N136" s="47">
        <v>0</v>
      </c>
      <c r="O136" s="20">
        <v>1E-3</v>
      </c>
      <c r="P136" s="38">
        <f t="shared" si="19"/>
        <v>0.17057205189638044</v>
      </c>
      <c r="Q136" s="31">
        <f t="shared" si="26"/>
        <v>32135.081824400946</v>
      </c>
      <c r="R136" s="47">
        <v>0</v>
      </c>
      <c r="S136" s="19">
        <v>2.7199999999999998E-2</v>
      </c>
      <c r="T136" s="38">
        <f t="shared" si="20"/>
        <v>0.30223951643636238</v>
      </c>
      <c r="U136" s="31">
        <f t="shared" si="27"/>
        <v>56940.697396019183</v>
      </c>
      <c r="V136" s="47">
        <v>0</v>
      </c>
      <c r="W136" s="25">
        <v>4.1200000000000001E-2</v>
      </c>
      <c r="X136" s="38">
        <f t="shared" si="21"/>
        <v>0.30734932450272251</v>
      </c>
      <c r="Y136" s="31">
        <f t="shared" si="28"/>
        <v>57903.364483000216</v>
      </c>
      <c r="Z136" s="47">
        <v>0</v>
      </c>
      <c r="AA136" s="27">
        <v>-2.8999999999999998E-3</v>
      </c>
      <c r="AB136" s="38">
        <f t="shared" si="22"/>
        <v>-2.1681048812263397E-9</v>
      </c>
      <c r="AC136" s="31">
        <f t="shared" si="29"/>
        <v>-4.0846215418934034E-4</v>
      </c>
      <c r="AD136" s="47">
        <v>0</v>
      </c>
      <c r="AE136" s="37">
        <f t="shared" si="23"/>
        <v>188395.93864956521</v>
      </c>
      <c r="AF136" s="40">
        <f t="shared" si="30"/>
        <v>2.8062385938247836E-2</v>
      </c>
      <c r="AG136" s="1"/>
      <c r="AH136" s="1"/>
      <c r="AI136" s="1"/>
      <c r="AJ136" s="1"/>
      <c r="AK136" s="1"/>
      <c r="AL136" s="1"/>
    </row>
    <row r="137" spans="1:38" x14ac:dyDescent="0.35">
      <c r="A137" s="1"/>
      <c r="B137" s="11" t="s">
        <v>129</v>
      </c>
      <c r="C137" s="20">
        <v>7.51E-2</v>
      </c>
      <c r="D137" s="38">
        <f t="shared" si="16"/>
        <v>0.12385445625536438</v>
      </c>
      <c r="E137" s="32">
        <f t="shared" si="31"/>
        <v>24267.046954954461</v>
      </c>
      <c r="F137" s="47">
        <v>0</v>
      </c>
      <c r="G137" s="19">
        <v>7.1999999999999998E-3</v>
      </c>
      <c r="H137" s="38">
        <f t="shared" si="17"/>
        <v>6.9026745089246083E-2</v>
      </c>
      <c r="I137" s="32">
        <f t="shared" si="24"/>
        <v>13524.545784406171</v>
      </c>
      <c r="J137" s="47">
        <v>0</v>
      </c>
      <c r="K137" s="19">
        <v>2.4400000000000002E-2</v>
      </c>
      <c r="L137" s="38">
        <f t="shared" si="18"/>
        <v>2.832211859780781E-2</v>
      </c>
      <c r="M137" s="32">
        <f t="shared" si="25"/>
        <v>5549.2083422474598</v>
      </c>
      <c r="N137" s="47">
        <v>0</v>
      </c>
      <c r="O137" s="20">
        <v>2.5399999999999999E-2</v>
      </c>
      <c r="P137" s="38">
        <f t="shared" si="19"/>
        <v>0.16817732087653531</v>
      </c>
      <c r="Q137" s="31">
        <f t="shared" si="26"/>
        <v>32951.312902740727</v>
      </c>
      <c r="R137" s="47">
        <v>0</v>
      </c>
      <c r="S137" s="19">
        <v>1.66E-2</v>
      </c>
      <c r="T137" s="38">
        <f t="shared" si="20"/>
        <v>0.29543884302852486</v>
      </c>
      <c r="U137" s="31">
        <f t="shared" si="27"/>
        <v>57885.912972793099</v>
      </c>
      <c r="V137" s="47">
        <v>0</v>
      </c>
      <c r="W137" s="25">
        <v>6.6500000000000004E-2</v>
      </c>
      <c r="X137" s="38">
        <f t="shared" si="21"/>
        <v>0.3151805184290295</v>
      </c>
      <c r="Y137" s="31">
        <f t="shared" si="28"/>
        <v>61753.93822111973</v>
      </c>
      <c r="Z137" s="47">
        <v>0</v>
      </c>
      <c r="AA137" s="26">
        <v>9.1999999999999998E-2</v>
      </c>
      <c r="AB137" s="38">
        <f t="shared" si="22"/>
        <v>-2.2765079347025418E-9</v>
      </c>
      <c r="AC137" s="31">
        <f t="shared" si="29"/>
        <v>-4.4604067237475963E-4</v>
      </c>
      <c r="AD137" s="47">
        <v>0</v>
      </c>
      <c r="AE137" s="37">
        <f t="shared" si="23"/>
        <v>195931.96473222098</v>
      </c>
      <c r="AF137" s="40">
        <f t="shared" si="30"/>
        <v>4.0001000747014626E-2</v>
      </c>
      <c r="AG137" s="1"/>
      <c r="AH137" s="1"/>
      <c r="AI137" s="1"/>
      <c r="AJ137" s="1"/>
      <c r="AK137" s="1"/>
      <c r="AL137" s="1"/>
    </row>
    <row r="138" spans="1:38" x14ac:dyDescent="0.35">
      <c r="A138" s="1"/>
      <c r="B138" s="10" t="s">
        <v>130</v>
      </c>
      <c r="C138" s="20">
        <v>6.0000000000000001E-3</v>
      </c>
      <c r="D138" s="38">
        <f t="shared" si="16"/>
        <v>0.29682344597722943</v>
      </c>
      <c r="E138" s="32">
        <f t="shared" si="31"/>
        <v>59132.264476684184</v>
      </c>
      <c r="F138" s="49">
        <v>34512.54</v>
      </c>
      <c r="G138" s="17">
        <v>-2.8E-3</v>
      </c>
      <c r="H138" s="38">
        <f t="shared" si="17"/>
        <v>0.11769079640083213</v>
      </c>
      <c r="I138" s="32">
        <f t="shared" si="24"/>
        <v>23446.002644209835</v>
      </c>
      <c r="J138" s="49">
        <v>9987.2900000000009</v>
      </c>
      <c r="K138" s="19">
        <v>4.8000000000000001E-2</v>
      </c>
      <c r="L138" s="38">
        <f t="shared" si="18"/>
        <v>3.0921565873726471E-2</v>
      </c>
      <c r="M138" s="32">
        <f t="shared" si="25"/>
        <v>6160.1003426753377</v>
      </c>
      <c r="N138" s="49">
        <v>328.75</v>
      </c>
      <c r="O138" s="15">
        <v>-4.5999999999999999E-2</v>
      </c>
      <c r="P138" s="38">
        <f t="shared" si="19"/>
        <v>6.5678854594525313E-2</v>
      </c>
      <c r="Q138" s="31">
        <f t="shared" si="26"/>
        <v>13084.341729214655</v>
      </c>
      <c r="R138" s="48">
        <v>-19236.07</v>
      </c>
      <c r="S138" s="19">
        <v>8.09E-2</v>
      </c>
      <c r="T138" s="38">
        <f t="shared" si="20"/>
        <v>0.19135375946295238</v>
      </c>
      <c r="U138" s="31">
        <f t="shared" si="27"/>
        <v>38120.914188292067</v>
      </c>
      <c r="V138" s="48">
        <v>-22618.16</v>
      </c>
      <c r="W138" s="25">
        <v>8.3999999999999995E-3</v>
      </c>
      <c r="X138" s="38">
        <f t="shared" si="21"/>
        <v>0.29753157989164114</v>
      </c>
      <c r="Y138" s="31">
        <f t="shared" si="28"/>
        <v>59273.336762177139</v>
      </c>
      <c r="Z138" s="48">
        <v>-2974.35</v>
      </c>
      <c r="AA138" s="27">
        <v>-1.7000000000000001E-2</v>
      </c>
      <c r="AB138" s="38">
        <f t="shared" si="22"/>
        <v>-2.2009068986601687E-9</v>
      </c>
      <c r="AC138" s="31">
        <f t="shared" si="29"/>
        <v>-4.3845798094438871E-4</v>
      </c>
      <c r="AD138" s="47">
        <v>0</v>
      </c>
      <c r="AE138" s="37">
        <f t="shared" si="23"/>
        <v>199216.95970479524</v>
      </c>
      <c r="AF138" s="40">
        <f t="shared" si="30"/>
        <v>1.6765998223229328E-2</v>
      </c>
      <c r="AG138" s="1"/>
      <c r="AH138" s="1"/>
      <c r="AI138" s="1"/>
      <c r="AJ138" s="1"/>
      <c r="AK138" s="1"/>
      <c r="AL138" s="1"/>
    </row>
    <row r="139" spans="1:38" x14ac:dyDescent="0.35">
      <c r="A139" s="1"/>
      <c r="B139" s="11" t="s">
        <v>131</v>
      </c>
      <c r="C139" s="20">
        <v>7.6799999999999993E-2</v>
      </c>
      <c r="D139" s="38">
        <f t="shared" si="16"/>
        <v>0.29898356086353201</v>
      </c>
      <c r="E139" s="32">
        <f t="shared" si="31"/>
        <v>63673.622388493532</v>
      </c>
      <c r="F139" s="47">
        <v>0</v>
      </c>
      <c r="G139" s="19">
        <v>3.4799999999999998E-2</v>
      </c>
      <c r="H139" s="38">
        <f t="shared" si="17"/>
        <v>0.11392341161308173</v>
      </c>
      <c r="I139" s="32">
        <f t="shared" si="24"/>
        <v>24261.923536228336</v>
      </c>
      <c r="J139" s="47">
        <v>0</v>
      </c>
      <c r="K139" s="19">
        <v>5.2200000000000003E-2</v>
      </c>
      <c r="L139" s="38">
        <f t="shared" si="18"/>
        <v>3.0435037163599916E-2</v>
      </c>
      <c r="M139" s="32">
        <f t="shared" si="25"/>
        <v>6481.65758056299</v>
      </c>
      <c r="N139" s="47">
        <v>0</v>
      </c>
      <c r="O139" s="20">
        <v>4.6199999999999998E-2</v>
      </c>
      <c r="P139" s="38">
        <f t="shared" si="19"/>
        <v>6.4276814646446481E-2</v>
      </c>
      <c r="Q139" s="31">
        <f t="shared" si="26"/>
        <v>13688.838317104372</v>
      </c>
      <c r="R139" s="47">
        <v>0</v>
      </c>
      <c r="S139" s="19">
        <v>7.2099999999999997E-2</v>
      </c>
      <c r="T139" s="38">
        <f t="shared" si="20"/>
        <v>0.19190502882894844</v>
      </c>
      <c r="U139" s="31">
        <f t="shared" si="27"/>
        <v>40869.432101267928</v>
      </c>
      <c r="V139" s="47">
        <v>0</v>
      </c>
      <c r="W139" s="25">
        <v>7.9600000000000004E-2</v>
      </c>
      <c r="X139" s="38">
        <f t="shared" si="21"/>
        <v>0.30047614904840392</v>
      </c>
      <c r="Y139" s="31">
        <f t="shared" si="28"/>
        <v>63991.494368446438</v>
      </c>
      <c r="Z139" s="47">
        <v>0</v>
      </c>
      <c r="AA139" s="26">
        <v>5.11E-2</v>
      </c>
      <c r="AB139" s="38">
        <f t="shared" si="22"/>
        <v>-2.1640125154800758E-9</v>
      </c>
      <c r="AC139" s="31">
        <f t="shared" si="29"/>
        <v>-4.6086318377064697E-4</v>
      </c>
      <c r="AD139" s="47">
        <v>0</v>
      </c>
      <c r="AE139" s="37">
        <f t="shared" si="23"/>
        <v>212966.96783124041</v>
      </c>
      <c r="AF139" s="40">
        <f t="shared" si="30"/>
        <v>6.902026889086299E-2</v>
      </c>
      <c r="AG139" s="1"/>
      <c r="AH139" s="1"/>
      <c r="AI139" s="1"/>
      <c r="AJ139" s="1"/>
      <c r="AK139" s="1"/>
      <c r="AL139" s="1"/>
    </row>
    <row r="140" spans="1:38" x14ac:dyDescent="0.35">
      <c r="A140" s="1"/>
      <c r="B140" s="10" t="s">
        <v>132</v>
      </c>
      <c r="C140" s="20">
        <v>4.6699999999999998E-2</v>
      </c>
      <c r="D140" s="38">
        <f t="shared" si="16"/>
        <v>0.29658791954750219</v>
      </c>
      <c r="E140" s="32">
        <f t="shared" si="31"/>
        <v>66647.180554036182</v>
      </c>
      <c r="F140" s="47">
        <v>0</v>
      </c>
      <c r="G140" s="17">
        <v>-4.7999999999999996E-3</v>
      </c>
      <c r="H140" s="38">
        <f t="shared" si="17"/>
        <v>0.10745021106452289</v>
      </c>
      <c r="I140" s="32">
        <f t="shared" si="24"/>
        <v>24145.466303254441</v>
      </c>
      <c r="J140" s="47">
        <v>0</v>
      </c>
      <c r="K140" s="19">
        <v>7.7499999999999999E-2</v>
      </c>
      <c r="L140" s="38">
        <f t="shared" si="18"/>
        <v>3.107957266068493E-2</v>
      </c>
      <c r="M140" s="32">
        <f t="shared" si="25"/>
        <v>6983.9860430566214</v>
      </c>
      <c r="N140" s="47">
        <v>0</v>
      </c>
      <c r="O140" s="20">
        <v>6.6299999999999998E-2</v>
      </c>
      <c r="P140" s="38">
        <f t="shared" si="19"/>
        <v>6.4955761576738907E-2</v>
      </c>
      <c r="Q140" s="31">
        <f t="shared" si="26"/>
        <v>14596.408297528391</v>
      </c>
      <c r="R140" s="47">
        <v>0</v>
      </c>
      <c r="S140" s="19">
        <v>5.6800000000000003E-2</v>
      </c>
      <c r="T140" s="38">
        <f t="shared" si="20"/>
        <v>0.19220429294123156</v>
      </c>
      <c r="U140" s="31">
        <f t="shared" si="27"/>
        <v>43190.815844619945</v>
      </c>
      <c r="V140" s="47">
        <v>0</v>
      </c>
      <c r="W140" s="25">
        <v>8.0600000000000005E-2</v>
      </c>
      <c r="X140" s="38">
        <f t="shared" si="21"/>
        <v>0.30772224436460649</v>
      </c>
      <c r="Y140" s="31">
        <f t="shared" si="28"/>
        <v>69149.208814543221</v>
      </c>
      <c r="Z140" s="47">
        <v>0</v>
      </c>
      <c r="AA140" s="26">
        <v>5.0900000000000001E-2</v>
      </c>
      <c r="AB140" s="38">
        <f t="shared" si="22"/>
        <v>-2.1552868722664586E-9</v>
      </c>
      <c r="AC140" s="31">
        <f t="shared" si="29"/>
        <v>-4.8432111982457291E-4</v>
      </c>
      <c r="AD140" s="47">
        <v>0</v>
      </c>
      <c r="AE140" s="37">
        <f t="shared" si="23"/>
        <v>224713.06537271765</v>
      </c>
      <c r="AF140" s="40">
        <f t="shared" si="30"/>
        <v>5.5154551248459915E-2</v>
      </c>
      <c r="AG140" s="1"/>
      <c r="AH140" s="1"/>
      <c r="AI140" s="1"/>
      <c r="AJ140" s="1"/>
      <c r="AK140" s="1"/>
      <c r="AL140" s="1"/>
    </row>
    <row r="141" spans="1:38" x14ac:dyDescent="0.35">
      <c r="A141" s="1"/>
      <c r="B141" s="9" t="s">
        <v>133</v>
      </c>
      <c r="C141" s="15">
        <v>-4.8000000000000001E-2</v>
      </c>
      <c r="D141" s="38">
        <f t="shared" si="16"/>
        <v>0.16725490545874666</v>
      </c>
      <c r="E141" s="32">
        <f t="shared" si="31"/>
        <v>38506.82972744244</v>
      </c>
      <c r="F141" s="48">
        <v>-26198.83</v>
      </c>
      <c r="G141" s="17">
        <v>-2.4299999999999999E-2</v>
      </c>
      <c r="H141" s="38">
        <f t="shared" si="17"/>
        <v>6.6662798334703427E-2</v>
      </c>
      <c r="I141" s="32">
        <f t="shared" si="24"/>
        <v>15347.669580085358</v>
      </c>
      <c r="J141" s="48">
        <v>-8415.56</v>
      </c>
      <c r="K141" s="17">
        <v>-4.9700000000000001E-2</v>
      </c>
      <c r="L141" s="38">
        <f t="shared" si="18"/>
        <v>0.11130415322452961</v>
      </c>
      <c r="M141" s="32">
        <f t="shared" si="25"/>
        <v>25625.377410716708</v>
      </c>
      <c r="N141" s="49">
        <v>19981.580000000002</v>
      </c>
      <c r="O141" s="20">
        <v>6.4699999999999994E-2</v>
      </c>
      <c r="P141" s="38">
        <f t="shared" si="19"/>
        <v>5.1959682654734662E-2</v>
      </c>
      <c r="Q141" s="31">
        <f t="shared" si="26"/>
        <v>11962.594742378478</v>
      </c>
      <c r="R141" s="48">
        <v>-3360.76</v>
      </c>
      <c r="S141" s="19">
        <v>4.9799999999999997E-2</v>
      </c>
      <c r="T141" s="38">
        <f t="shared" si="20"/>
        <v>0.28690228456244393</v>
      </c>
      <c r="U141" s="31">
        <f t="shared" si="27"/>
        <v>66053.054705682021</v>
      </c>
      <c r="V141" s="49">
        <v>19728.84</v>
      </c>
      <c r="W141" s="25">
        <v>7.8899999999999998E-2</v>
      </c>
      <c r="X141" s="38">
        <f t="shared" si="21"/>
        <v>0.31591617783105158</v>
      </c>
      <c r="Y141" s="31">
        <f t="shared" si="28"/>
        <v>72732.877009010685</v>
      </c>
      <c r="Z141" s="48">
        <v>-1735.29</v>
      </c>
      <c r="AA141" s="27">
        <v>-1.78E-2</v>
      </c>
      <c r="AB141" s="38">
        <f t="shared" si="22"/>
        <v>-2.0662098955373155E-9</v>
      </c>
      <c r="AC141" s="31">
        <f t="shared" si="29"/>
        <v>-4.7570020389169554E-4</v>
      </c>
      <c r="AD141" s="47">
        <v>0</v>
      </c>
      <c r="AE141" s="37">
        <f t="shared" si="23"/>
        <v>230228.40269961549</v>
      </c>
      <c r="AF141" s="40">
        <f t="shared" si="30"/>
        <v>2.4543910331826346E-2</v>
      </c>
      <c r="AG141" s="1"/>
      <c r="AH141" s="1"/>
      <c r="AI141" s="1"/>
      <c r="AJ141" s="1"/>
      <c r="AK141" s="1"/>
      <c r="AL141" s="1"/>
    </row>
    <row r="142" spans="1:38" x14ac:dyDescent="0.35">
      <c r="A142" s="1"/>
      <c r="B142" s="10" t="s">
        <v>134</v>
      </c>
      <c r="C142" s="20">
        <v>0.17510000000000001</v>
      </c>
      <c r="D142" s="38">
        <f t="shared" si="16"/>
        <v>0.17904985635599793</v>
      </c>
      <c r="E142" s="32">
        <f t="shared" si="31"/>
        <v>45249.375612717609</v>
      </c>
      <c r="F142" s="47">
        <v>0</v>
      </c>
      <c r="G142" s="19">
        <v>0.16309999999999999</v>
      </c>
      <c r="H142" s="38">
        <f t="shared" si="17"/>
        <v>7.0635151750336661E-2</v>
      </c>
      <c r="I142" s="32">
        <f t="shared" si="24"/>
        <v>17850.874488597281</v>
      </c>
      <c r="J142" s="47">
        <v>0</v>
      </c>
      <c r="K142" s="19">
        <v>0.1802</v>
      </c>
      <c r="L142" s="38">
        <f t="shared" si="18"/>
        <v>0.11967054442550805</v>
      </c>
      <c r="M142" s="32">
        <f t="shared" si="25"/>
        <v>30243.07042012786</v>
      </c>
      <c r="N142" s="47">
        <v>0</v>
      </c>
      <c r="O142" s="20">
        <v>5.3100000000000001E-2</v>
      </c>
      <c r="P142" s="38">
        <f t="shared" si="19"/>
        <v>4.9848992962571337E-2</v>
      </c>
      <c r="Q142" s="31">
        <f t="shared" si="26"/>
        <v>12597.808523198775</v>
      </c>
      <c r="R142" s="47">
        <v>0</v>
      </c>
      <c r="S142" s="19">
        <v>7.3099999999999998E-2</v>
      </c>
      <c r="T142" s="38">
        <f t="shared" si="20"/>
        <v>0.28047521387702079</v>
      </c>
      <c r="U142" s="31">
        <f t="shared" si="27"/>
        <v>70881.533004667377</v>
      </c>
      <c r="V142" s="47">
        <v>0</v>
      </c>
      <c r="W142" s="25">
        <v>4.3499999999999997E-2</v>
      </c>
      <c r="X142" s="38">
        <f t="shared" si="21"/>
        <v>0.30032024272547575</v>
      </c>
      <c r="Y142" s="31">
        <f t="shared" si="28"/>
        <v>75896.757158902648</v>
      </c>
      <c r="Z142" s="47">
        <v>0</v>
      </c>
      <c r="AA142" s="26">
        <v>0.114</v>
      </c>
      <c r="AB142" s="38">
        <f t="shared" si="22"/>
        <v>-2.0969105971629497E-9</v>
      </c>
      <c r="AC142" s="31">
        <f t="shared" si="29"/>
        <v>-5.2993002713534884E-4</v>
      </c>
      <c r="AD142" s="47">
        <v>0</v>
      </c>
      <c r="AE142" s="37">
        <f t="shared" si="23"/>
        <v>252719.41867828154</v>
      </c>
      <c r="AF142" s="40">
        <f t="shared" si="30"/>
        <v>9.7690014415860782E-2</v>
      </c>
      <c r="AG142" s="1"/>
      <c r="AH142" s="1"/>
      <c r="AI142" s="1"/>
      <c r="AJ142" s="1"/>
      <c r="AK142" s="1"/>
      <c r="AL142" s="1"/>
    </row>
    <row r="143" spans="1:38" x14ac:dyDescent="0.35">
      <c r="A143" s="1"/>
      <c r="B143" s="11" t="s">
        <v>135</v>
      </c>
      <c r="C143" s="20">
        <v>9.1300000000000006E-2</v>
      </c>
      <c r="D143" s="38">
        <f t="shared" si="16"/>
        <v>0.17554889895432724</v>
      </c>
      <c r="E143" s="32">
        <f t="shared" si="31"/>
        <v>49380.64360615873</v>
      </c>
      <c r="F143" s="47">
        <v>0</v>
      </c>
      <c r="G143" s="19">
        <v>9.4E-2</v>
      </c>
      <c r="H143" s="38">
        <f t="shared" si="17"/>
        <v>6.9425366692284537E-2</v>
      </c>
      <c r="I143" s="32">
        <f t="shared" si="24"/>
        <v>19528.856690525427</v>
      </c>
      <c r="J143" s="47">
        <v>0</v>
      </c>
      <c r="K143" s="19">
        <v>0.1268</v>
      </c>
      <c r="L143" s="38">
        <f t="shared" si="18"/>
        <v>0.12114739578942671</v>
      </c>
      <c r="M143" s="32">
        <f t="shared" si="25"/>
        <v>34077.891749400071</v>
      </c>
      <c r="N143" s="47">
        <v>0</v>
      </c>
      <c r="O143" s="20">
        <v>8.3400000000000002E-2</v>
      </c>
      <c r="P143" s="38">
        <f t="shared" si="19"/>
        <v>4.8520492252911981E-2</v>
      </c>
      <c r="Q143" s="31">
        <f t="shared" si="26"/>
        <v>13648.465754033554</v>
      </c>
      <c r="R143" s="47">
        <v>0</v>
      </c>
      <c r="S143" s="19">
        <v>0.1231</v>
      </c>
      <c r="T143" s="38">
        <f t="shared" si="20"/>
        <v>0.28300420785066333</v>
      </c>
      <c r="U143" s="31">
        <f t="shared" si="27"/>
        <v>79607.04971754193</v>
      </c>
      <c r="V143" s="47">
        <v>0</v>
      </c>
      <c r="W143" s="25">
        <v>0.1206</v>
      </c>
      <c r="X143" s="38">
        <f t="shared" si="21"/>
        <v>0.30235364055265551</v>
      </c>
      <c r="Y143" s="31">
        <f t="shared" si="28"/>
        <v>85049.906072266313</v>
      </c>
      <c r="Z143" s="47">
        <v>0</v>
      </c>
      <c r="AA143" s="26">
        <v>0.1106</v>
      </c>
      <c r="AB143" s="38">
        <f t="shared" si="22"/>
        <v>-2.0922691975554282E-9</v>
      </c>
      <c r="AC143" s="31">
        <f t="shared" si="29"/>
        <v>-5.8854028813651836E-4</v>
      </c>
      <c r="AD143" s="47">
        <v>0</v>
      </c>
      <c r="AE143" s="37">
        <f t="shared" si="23"/>
        <v>281292.81300138572</v>
      </c>
      <c r="AF143" s="40">
        <f t="shared" si="30"/>
        <v>0.11306370706510238</v>
      </c>
      <c r="AG143" s="1"/>
      <c r="AH143" s="1"/>
      <c r="AI143" s="1"/>
      <c r="AJ143" s="1"/>
      <c r="AK143" s="1"/>
      <c r="AL143" s="1"/>
    </row>
    <row r="144" spans="1:38" x14ac:dyDescent="0.35">
      <c r="A144" s="1"/>
      <c r="B144" s="10" t="s">
        <v>136</v>
      </c>
      <c r="C144" s="15">
        <v>-7.7299999999999994E-2</v>
      </c>
      <c r="D144" s="38">
        <f t="shared" si="16"/>
        <v>0.12458175037311157</v>
      </c>
      <c r="E144" s="32">
        <f t="shared" si="31"/>
        <v>31145.87100540266</v>
      </c>
      <c r="F144" s="48">
        <v>-15625.5</v>
      </c>
      <c r="G144" s="17">
        <v>-2.24E-2</v>
      </c>
      <c r="H144" s="38">
        <f t="shared" si="17"/>
        <v>3.2998533171290971E-2</v>
      </c>
      <c r="I144" s="32">
        <f t="shared" si="24"/>
        <v>8249.7480926576554</v>
      </c>
      <c r="J144" s="48">
        <v>-11090.08</v>
      </c>
      <c r="K144" s="17">
        <v>-0.10829999999999999</v>
      </c>
      <c r="L144" s="38">
        <f t="shared" si="18"/>
        <v>0.30099036544506697</v>
      </c>
      <c r="M144" s="32">
        <f t="shared" si="25"/>
        <v>75248.638487940043</v>
      </c>
      <c r="N144" s="49">
        <v>50309.95</v>
      </c>
      <c r="O144" s="15">
        <v>-8.4599999999999995E-2</v>
      </c>
      <c r="P144" s="38">
        <f t="shared" si="19"/>
        <v>7.2097715959174746E-2</v>
      </c>
      <c r="Q144" s="31">
        <f t="shared" si="26"/>
        <v>18024.679813242314</v>
      </c>
      <c r="R144" s="49">
        <v>6042.03</v>
      </c>
      <c r="S144" s="17">
        <v>-0.1386</v>
      </c>
      <c r="T144" s="38">
        <f t="shared" si="20"/>
        <v>0.29076269434978386</v>
      </c>
      <c r="U144" s="31">
        <f t="shared" si="27"/>
        <v>72691.685132690618</v>
      </c>
      <c r="V144" s="49">
        <v>4780.79</v>
      </c>
      <c r="W144" s="24">
        <v>-0.1183</v>
      </c>
      <c r="X144" s="38">
        <f t="shared" si="21"/>
        <v>0.17856894285489328</v>
      </c>
      <c r="Y144" s="31">
        <f t="shared" si="28"/>
        <v>44642.856943917213</v>
      </c>
      <c r="Z144" s="48">
        <v>-34417.199999999997</v>
      </c>
      <c r="AA144" s="27">
        <v>-8.5300000000000001E-2</v>
      </c>
      <c r="AB144" s="38">
        <f t="shared" si="22"/>
        <v>-2.1533212411537225E-9</v>
      </c>
      <c r="AC144" s="31">
        <f t="shared" si="29"/>
        <v>-5.383378015584733E-4</v>
      </c>
      <c r="AD144" s="47">
        <v>0</v>
      </c>
      <c r="AE144" s="37">
        <f t="shared" si="23"/>
        <v>250003.47893751267</v>
      </c>
      <c r="AF144" s="40">
        <f t="shared" si="30"/>
        <v>-0.11123403307043933</v>
      </c>
      <c r="AG144" s="1"/>
      <c r="AH144" s="1"/>
      <c r="AI144" s="1"/>
      <c r="AJ144" s="1"/>
      <c r="AK144" s="1"/>
      <c r="AL144" s="1"/>
    </row>
    <row r="145" spans="1:38" x14ac:dyDescent="0.35">
      <c r="A145" s="1"/>
      <c r="B145" s="11" t="s">
        <v>137</v>
      </c>
      <c r="C145" s="20">
        <v>8.2199999999999995E-2</v>
      </c>
      <c r="D145" s="38">
        <f t="shared" si="16"/>
        <v>0.12569228880305069</v>
      </c>
      <c r="E145" s="32">
        <f t="shared" si="31"/>
        <v>33706.061602046757</v>
      </c>
      <c r="F145" s="47">
        <v>0</v>
      </c>
      <c r="G145" s="19">
        <v>2.7E-2</v>
      </c>
      <c r="H145" s="38">
        <f t="shared" si="17"/>
        <v>3.1594519550307669E-2</v>
      </c>
      <c r="I145" s="32">
        <f t="shared" si="24"/>
        <v>8472.4912911594129</v>
      </c>
      <c r="J145" s="47">
        <v>0</v>
      </c>
      <c r="K145" s="19">
        <v>9.4899999999999998E-2</v>
      </c>
      <c r="L145" s="38">
        <f t="shared" si="18"/>
        <v>0.30723714914695133</v>
      </c>
      <c r="M145" s="32">
        <f t="shared" si="25"/>
        <v>82389.734280445555</v>
      </c>
      <c r="N145" s="47">
        <v>0</v>
      </c>
      <c r="O145" s="20">
        <v>7.6399999999999996E-2</v>
      </c>
      <c r="P145" s="38">
        <f t="shared" si="19"/>
        <v>7.2350555890385179E-2</v>
      </c>
      <c r="Q145" s="31">
        <f t="shared" si="26"/>
        <v>19401.765350974027</v>
      </c>
      <c r="R145" s="47">
        <v>0</v>
      </c>
      <c r="S145" s="19">
        <v>6.7699999999999996E-2</v>
      </c>
      <c r="T145" s="38">
        <f t="shared" si="20"/>
        <v>0.28942404165453595</v>
      </c>
      <c r="U145" s="31">
        <f t="shared" si="27"/>
        <v>77612.912216173776</v>
      </c>
      <c r="V145" s="47">
        <v>0</v>
      </c>
      <c r="W145" s="25">
        <v>4.3400000000000001E-2</v>
      </c>
      <c r="X145" s="38">
        <f t="shared" si="21"/>
        <v>0.17370144710419919</v>
      </c>
      <c r="Y145" s="31">
        <f t="shared" si="28"/>
        <v>46580.35693528322</v>
      </c>
      <c r="Z145" s="47">
        <v>0</v>
      </c>
      <c r="AA145" s="26">
        <v>7.0699999999999999E-2</v>
      </c>
      <c r="AB145" s="38">
        <f t="shared" si="22"/>
        <v>-2.1494299882808828E-9</v>
      </c>
      <c r="AC145" s="31">
        <f t="shared" si="29"/>
        <v>-5.7639828412865734E-4</v>
      </c>
      <c r="AD145" s="47">
        <v>0</v>
      </c>
      <c r="AE145" s="37">
        <f t="shared" si="23"/>
        <v>268163.32109968446</v>
      </c>
      <c r="AF145" s="40">
        <f t="shared" si="30"/>
        <v>7.2638357831455558E-2</v>
      </c>
      <c r="AG145" s="1"/>
      <c r="AH145" s="1"/>
      <c r="AI145" s="1"/>
      <c r="AJ145" s="1"/>
      <c r="AK145" s="1"/>
      <c r="AL145" s="1"/>
    </row>
    <row r="146" spans="1:38" x14ac:dyDescent="0.35">
      <c r="A146" s="1"/>
      <c r="B146" s="10" t="s">
        <v>138</v>
      </c>
      <c r="C146" s="15">
        <v>-3.49E-2</v>
      </c>
      <c r="D146" s="38">
        <f t="shared" si="16"/>
        <v>0.12635639804645984</v>
      </c>
      <c r="E146" s="32">
        <f t="shared" si="31"/>
        <v>32529.720052135326</v>
      </c>
      <c r="F146" s="47">
        <v>0</v>
      </c>
      <c r="G146" s="17">
        <v>-5.0200000000000002E-2</v>
      </c>
      <c r="H146" s="38">
        <f t="shared" si="17"/>
        <v>3.1257929536537964E-2</v>
      </c>
      <c r="I146" s="32">
        <f t="shared" si="24"/>
        <v>8047.17222834321</v>
      </c>
      <c r="J146" s="47">
        <v>0</v>
      </c>
      <c r="K146" s="17">
        <v>-6.4999999999999997E-3</v>
      </c>
      <c r="L146" s="38">
        <f t="shared" si="18"/>
        <v>0.31794930874651589</v>
      </c>
      <c r="M146" s="32">
        <f t="shared" si="25"/>
        <v>81854.201007622658</v>
      </c>
      <c r="N146" s="47">
        <v>0</v>
      </c>
      <c r="O146" s="15">
        <v>-2.8500000000000001E-2</v>
      </c>
      <c r="P146" s="38">
        <f t="shared" si="19"/>
        <v>7.3215151310496315E-2</v>
      </c>
      <c r="Q146" s="31">
        <f t="shared" si="26"/>
        <v>18848.815038471268</v>
      </c>
      <c r="R146" s="47">
        <v>0</v>
      </c>
      <c r="S146" s="17">
        <v>-6.9599999999999995E-2</v>
      </c>
      <c r="T146" s="38">
        <f t="shared" si="20"/>
        <v>0.28049207334255699</v>
      </c>
      <c r="U146" s="31">
        <f t="shared" si="27"/>
        <v>72211.053525928088</v>
      </c>
      <c r="V146" s="47">
        <v>0</v>
      </c>
      <c r="W146" s="24">
        <v>-5.6399999999999999E-2</v>
      </c>
      <c r="X146" s="38">
        <f t="shared" si="21"/>
        <v>0.17072914122456553</v>
      </c>
      <c r="Y146" s="31">
        <f t="shared" si="28"/>
        <v>43953.22480413325</v>
      </c>
      <c r="Z146" s="47">
        <v>0</v>
      </c>
      <c r="AA146" s="27">
        <v>-1.4200000000000001E-2</v>
      </c>
      <c r="AB146" s="38">
        <f t="shared" si="22"/>
        <v>-2.207132493949096E-9</v>
      </c>
      <c r="AC146" s="31">
        <f t="shared" si="29"/>
        <v>-5.6821342849403044E-4</v>
      </c>
      <c r="AD146" s="47">
        <v>0</v>
      </c>
      <c r="AE146" s="37">
        <f t="shared" si="23"/>
        <v>257444.18608842036</v>
      </c>
      <c r="AF146" s="40">
        <f t="shared" si="30"/>
        <v>-3.9972412958293679E-2</v>
      </c>
      <c r="AG146" s="1"/>
      <c r="AH146" s="1"/>
      <c r="AI146" s="1"/>
      <c r="AJ146" s="1"/>
      <c r="AK146" s="1"/>
      <c r="AL146" s="1"/>
    </row>
    <row r="147" spans="1:38" x14ac:dyDescent="0.35">
      <c r="A147" s="1"/>
      <c r="B147" s="11" t="s">
        <v>139</v>
      </c>
      <c r="C147" s="20">
        <v>0.10249999999999999</v>
      </c>
      <c r="D147" s="38">
        <f t="shared" si="16"/>
        <v>0.18777344478594854</v>
      </c>
      <c r="E147" s="32">
        <f t="shared" si="31"/>
        <v>51200.044932479199</v>
      </c>
      <c r="F147" s="49">
        <v>13910.23</v>
      </c>
      <c r="G147" s="19">
        <v>1.29E-2</v>
      </c>
      <c r="H147" s="38">
        <f t="shared" si="17"/>
        <v>0.23908566540887705</v>
      </c>
      <c r="I147" s="32">
        <f t="shared" si="24"/>
        <v>65191.309802088836</v>
      </c>
      <c r="J147" s="49">
        <v>56313.88</v>
      </c>
      <c r="K147" s="19">
        <v>6.4699999999999994E-2</v>
      </c>
      <c r="L147" s="38">
        <f t="shared" si="18"/>
        <v>0.35183759778039336</v>
      </c>
      <c r="M147" s="32">
        <f t="shared" si="25"/>
        <v>95935.294981815852</v>
      </c>
      <c r="N147" s="49">
        <v>8251.27</v>
      </c>
      <c r="O147" s="20">
        <v>9.4999999999999998E-3</v>
      </c>
      <c r="P147" s="38">
        <f t="shared" si="19"/>
        <v>0.11437586377066064</v>
      </c>
      <c r="Q147" s="31">
        <f t="shared" si="26"/>
        <v>31186.781341336744</v>
      </c>
      <c r="R147" s="49">
        <v>12044.48</v>
      </c>
      <c r="S147" s="19">
        <v>0.14349999999999999</v>
      </c>
      <c r="T147" s="38">
        <f t="shared" si="20"/>
        <v>3.2389540764493019E-2</v>
      </c>
      <c r="U147" s="31">
        <f t="shared" si="27"/>
        <v>8831.6318868987728</v>
      </c>
      <c r="V147" s="48">
        <v>-64487.72</v>
      </c>
      <c r="W147" s="25">
        <v>0.1278</v>
      </c>
      <c r="X147" s="38">
        <f t="shared" si="21"/>
        <v>7.453788974273208E-2</v>
      </c>
      <c r="Y147" s="31">
        <f t="shared" si="28"/>
        <v>20324.19072010148</v>
      </c>
      <c r="Z147" s="48">
        <v>-25932.13</v>
      </c>
      <c r="AA147" s="26">
        <v>8.1199999999999994E-2</v>
      </c>
      <c r="AB147" s="38">
        <f t="shared" si="22"/>
        <v>-2.2531046387333598E-9</v>
      </c>
      <c r="AC147" s="31">
        <f t="shared" si="29"/>
        <v>-6.1435235888774567E-4</v>
      </c>
      <c r="AD147" s="47">
        <v>0</v>
      </c>
      <c r="AE147" s="37">
        <f t="shared" si="23"/>
        <v>272669.25305036851</v>
      </c>
      <c r="AF147" s="40">
        <f t="shared" si="30"/>
        <v>5.9139292260882659E-2</v>
      </c>
      <c r="AG147" s="1"/>
      <c r="AH147" s="1"/>
      <c r="AI147" s="1"/>
      <c r="AJ147" s="1"/>
      <c r="AK147" s="1"/>
      <c r="AL147" s="1"/>
    </row>
    <row r="148" spans="1:38" x14ac:dyDescent="0.35">
      <c r="A148" s="1"/>
      <c r="B148" s="10" t="s">
        <v>140</v>
      </c>
      <c r="C148" s="15">
        <v>-4.5999999999999999E-3</v>
      </c>
      <c r="D148" s="38">
        <f t="shared" si="16"/>
        <v>0.18601264806316381</v>
      </c>
      <c r="E148" s="32">
        <f t="shared" si="31"/>
        <v>50964.524725789794</v>
      </c>
      <c r="F148" s="47">
        <v>0</v>
      </c>
      <c r="G148" s="17">
        <v>-3.2000000000000001E-2</v>
      </c>
      <c r="H148" s="38">
        <f t="shared" si="17"/>
        <v>0.23032419450207989</v>
      </c>
      <c r="I148" s="32">
        <f t="shared" si="24"/>
        <v>63105.187888421991</v>
      </c>
      <c r="J148" s="47">
        <v>0</v>
      </c>
      <c r="K148" s="17">
        <v>-5.1999999999999998E-3</v>
      </c>
      <c r="L148" s="38">
        <f t="shared" si="18"/>
        <v>0.34832824265191481</v>
      </c>
      <c r="M148" s="32">
        <f t="shared" si="25"/>
        <v>95436.431447910407</v>
      </c>
      <c r="N148" s="47">
        <v>0</v>
      </c>
      <c r="O148" s="20">
        <v>0.1</v>
      </c>
      <c r="P148" s="38">
        <f t="shared" si="19"/>
        <v>0.12520963149150444</v>
      </c>
      <c r="Q148" s="31">
        <f t="shared" si="26"/>
        <v>34305.459475470416</v>
      </c>
      <c r="R148" s="47">
        <v>0</v>
      </c>
      <c r="S148" s="17">
        <v>-5.0000000000000001E-3</v>
      </c>
      <c r="T148" s="38">
        <f t="shared" si="20"/>
        <v>3.2072922618739876E-2</v>
      </c>
      <c r="U148" s="31">
        <f t="shared" si="27"/>
        <v>8787.4737274642794</v>
      </c>
      <c r="V148" s="47">
        <v>0</v>
      </c>
      <c r="W148" s="25">
        <v>5.2200000000000003E-2</v>
      </c>
      <c r="X148" s="38">
        <f t="shared" si="21"/>
        <v>7.8052363053462095E-2</v>
      </c>
      <c r="Y148" s="31">
        <f t="shared" si="28"/>
        <v>21385.113475690778</v>
      </c>
      <c r="Z148" s="47">
        <v>0</v>
      </c>
      <c r="AA148" s="26">
        <v>6.1800000000000001E-2</v>
      </c>
      <c r="AB148" s="38">
        <f t="shared" si="22"/>
        <v>-2.3808648756575059E-9</v>
      </c>
      <c r="AC148" s="31">
        <f t="shared" si="29"/>
        <v>-6.5231933466700835E-4</v>
      </c>
      <c r="AD148" s="47">
        <v>0</v>
      </c>
      <c r="AE148" s="37">
        <f t="shared" si="23"/>
        <v>273984.19008842832</v>
      </c>
      <c r="AF148" s="40">
        <f t="shared" si="30"/>
        <v>4.8224617310148599E-3</v>
      </c>
      <c r="AG148" s="1"/>
      <c r="AH148" s="1"/>
      <c r="AI148" s="1"/>
      <c r="AJ148" s="1"/>
      <c r="AK148" s="1"/>
      <c r="AL148" s="1"/>
    </row>
    <row r="149" spans="1:38" x14ac:dyDescent="0.35">
      <c r="A149" s="1"/>
      <c r="B149" s="11" t="s">
        <v>141</v>
      </c>
      <c r="C149" s="20">
        <v>0.1043</v>
      </c>
      <c r="D149" s="38">
        <f t="shared" si="16"/>
        <v>0.18677930235659249</v>
      </c>
      <c r="E149" s="32">
        <f t="shared" si="31"/>
        <v>56280.124654689673</v>
      </c>
      <c r="F149" s="47">
        <v>0</v>
      </c>
      <c r="G149" s="19">
        <v>9.8799999999999999E-2</v>
      </c>
      <c r="H149" s="38">
        <f t="shared" si="17"/>
        <v>0.23012161493369065</v>
      </c>
      <c r="I149" s="32">
        <f t="shared" si="24"/>
        <v>69339.980451798081</v>
      </c>
      <c r="J149" s="47">
        <v>0</v>
      </c>
      <c r="K149" s="19">
        <v>7.5200000000000003E-2</v>
      </c>
      <c r="L149" s="38">
        <f t="shared" si="18"/>
        <v>0.34054706824564085</v>
      </c>
      <c r="M149" s="32">
        <f t="shared" si="25"/>
        <v>102613.25109279327</v>
      </c>
      <c r="N149" s="47">
        <v>0</v>
      </c>
      <c r="O149" s="20">
        <v>0.1145</v>
      </c>
      <c r="P149" s="38">
        <f t="shared" si="19"/>
        <v>0.12688696555622445</v>
      </c>
      <c r="Q149" s="31">
        <f t="shared" si="26"/>
        <v>38233.434585411778</v>
      </c>
      <c r="R149" s="47">
        <v>0</v>
      </c>
      <c r="S149" s="19">
        <v>0.1575</v>
      </c>
      <c r="T149" s="38">
        <f t="shared" si="20"/>
        <v>3.3756603106074506E-2</v>
      </c>
      <c r="U149" s="31">
        <f t="shared" si="27"/>
        <v>10171.500839539904</v>
      </c>
      <c r="V149" s="47">
        <v>0</v>
      </c>
      <c r="W149" s="25">
        <v>0.15409999999999999</v>
      </c>
      <c r="X149" s="38">
        <f t="shared" si="21"/>
        <v>8.1908448256318531E-2</v>
      </c>
      <c r="Y149" s="31">
        <f t="shared" si="28"/>
        <v>24680.559462294725</v>
      </c>
      <c r="Z149" s="47">
        <v>0</v>
      </c>
      <c r="AA149" s="26">
        <v>0.1338</v>
      </c>
      <c r="AB149" s="38">
        <f t="shared" si="22"/>
        <v>-2.4545416285569434E-9</v>
      </c>
      <c r="AC149" s="31">
        <f t="shared" si="29"/>
        <v>-7.395996616454541E-4</v>
      </c>
      <c r="AD149" s="47">
        <v>0</v>
      </c>
      <c r="AE149" s="37">
        <f t="shared" si="23"/>
        <v>301318.85034692782</v>
      </c>
      <c r="AF149" s="40">
        <f t="shared" si="30"/>
        <v>9.9767290403425246E-2</v>
      </c>
      <c r="AG149" s="1"/>
      <c r="AH149" s="1"/>
      <c r="AI149" s="1"/>
      <c r="AJ149" s="1"/>
      <c r="AK149" s="1"/>
      <c r="AL149" s="1"/>
    </row>
    <row r="150" spans="1:38" x14ac:dyDescent="0.35">
      <c r="A150" s="1"/>
      <c r="B150" s="10" t="s">
        <v>142</v>
      </c>
      <c r="C150" s="20">
        <v>2.5499999999999998E-2</v>
      </c>
      <c r="D150" s="38">
        <f t="shared" si="16"/>
        <v>0.18868386702566797</v>
      </c>
      <c r="E150" s="32">
        <f t="shared" si="31"/>
        <v>55620.448218384256</v>
      </c>
      <c r="F150" s="48">
        <v>-2042.73</v>
      </c>
      <c r="G150" s="19">
        <v>7.3000000000000001E-3</v>
      </c>
      <c r="H150" s="38">
        <f t="shared" si="17"/>
        <v>3.0889217872659153E-2</v>
      </c>
      <c r="I150" s="32">
        <f t="shared" si="24"/>
        <v>9105.5593160962017</v>
      </c>
      <c r="J150" s="48">
        <v>-60300.41</v>
      </c>
      <c r="K150" s="19">
        <v>2.0000000000000001E-4</v>
      </c>
      <c r="L150" s="38">
        <f t="shared" si="18"/>
        <v>7.1566785093998303E-2</v>
      </c>
      <c r="M150" s="32">
        <f t="shared" si="25"/>
        <v>21096.539557011842</v>
      </c>
      <c r="N150" s="48">
        <v>-81520.929999999993</v>
      </c>
      <c r="O150" s="15">
        <v>-3.0099999999999998E-2</v>
      </c>
      <c r="P150" s="38">
        <f t="shared" si="19"/>
        <v>0.29742320242247278</v>
      </c>
      <c r="Q150" s="31">
        <f t="shared" si="26"/>
        <v>87674.755081390889</v>
      </c>
      <c r="R150" s="49">
        <v>52162.23</v>
      </c>
      <c r="S150" s="19">
        <v>1.5E-3</v>
      </c>
      <c r="T150" s="38">
        <f t="shared" si="20"/>
        <v>0.12284536388523626</v>
      </c>
      <c r="U150" s="31">
        <f t="shared" si="27"/>
        <v>36212.49823079921</v>
      </c>
      <c r="V150" s="49">
        <v>25986.76</v>
      </c>
      <c r="W150" s="24">
        <v>-5.8900000000000001E-2</v>
      </c>
      <c r="X150" s="38">
        <f t="shared" si="21"/>
        <v>0.2885915660752158</v>
      </c>
      <c r="Y150" s="31">
        <f t="shared" si="28"/>
        <v>85071.355119965563</v>
      </c>
      <c r="Z150" s="49">
        <v>65715.100000000006</v>
      </c>
      <c r="AA150" s="27">
        <v>-5.33E-2</v>
      </c>
      <c r="AB150" s="38">
        <f t="shared" si="22"/>
        <v>-2.3752502092579726E-9</v>
      </c>
      <c r="AC150" s="31">
        <f t="shared" si="29"/>
        <v>-7.0017899967975139E-4</v>
      </c>
      <c r="AD150" s="47">
        <v>0</v>
      </c>
      <c r="AE150" s="37">
        <f t="shared" si="23"/>
        <v>294781.15482346894</v>
      </c>
      <c r="AF150" s="40">
        <f t="shared" si="30"/>
        <v>-2.169693504383019E-2</v>
      </c>
      <c r="AG150" s="1"/>
      <c r="AH150" s="1"/>
      <c r="AI150" s="1"/>
      <c r="AJ150" s="1"/>
      <c r="AK150" s="1"/>
      <c r="AL150" s="1"/>
    </row>
    <row r="151" spans="1:38" x14ac:dyDescent="0.35">
      <c r="A151" s="1"/>
      <c r="B151" s="11" t="s">
        <v>143</v>
      </c>
      <c r="C151" s="20">
        <v>1E-4</v>
      </c>
      <c r="D151" s="38">
        <f t="shared" si="16"/>
        <v>0.19308099036203891</v>
      </c>
      <c r="E151" s="32">
        <f t="shared" si="31"/>
        <v>55626.010263206095</v>
      </c>
      <c r="F151" s="47">
        <v>0</v>
      </c>
      <c r="G151" s="17">
        <v>-2.5600000000000001E-2</v>
      </c>
      <c r="H151" s="38">
        <f t="shared" si="17"/>
        <v>3.0796794088522712E-2</v>
      </c>
      <c r="I151" s="32">
        <f t="shared" si="24"/>
        <v>8872.4569976041385</v>
      </c>
      <c r="J151" s="47">
        <v>0</v>
      </c>
      <c r="K151" s="19">
        <v>3.2199999999999999E-2</v>
      </c>
      <c r="L151" s="38">
        <f t="shared" si="18"/>
        <v>7.5585185835971749E-2</v>
      </c>
      <c r="M151" s="32">
        <f t="shared" si="25"/>
        <v>21775.848130747621</v>
      </c>
      <c r="N151" s="47">
        <v>0</v>
      </c>
      <c r="O151" s="15">
        <v>-6.7799999999999999E-2</v>
      </c>
      <c r="P151" s="38">
        <f t="shared" si="19"/>
        <v>0.28369080922979045</v>
      </c>
      <c r="Q151" s="31">
        <f t="shared" si="26"/>
        <v>81730.406686872593</v>
      </c>
      <c r="R151" s="47">
        <v>0</v>
      </c>
      <c r="S151" s="17">
        <v>-6.6E-3</v>
      </c>
      <c r="T151" s="38">
        <f t="shared" si="20"/>
        <v>0.12486601415194704</v>
      </c>
      <c r="U151" s="31">
        <f t="shared" si="27"/>
        <v>35973.495742475934</v>
      </c>
      <c r="V151" s="47">
        <v>0</v>
      </c>
      <c r="W151" s="24">
        <v>-1.12E-2</v>
      </c>
      <c r="X151" s="38">
        <f t="shared" si="21"/>
        <v>0.29198020876160358</v>
      </c>
      <c r="Y151" s="31">
        <f t="shared" si="28"/>
        <v>84118.555942621955</v>
      </c>
      <c r="Z151" s="47">
        <v>0</v>
      </c>
      <c r="AA151" s="27">
        <v>-2.0000000000000001E-4</v>
      </c>
      <c r="AB151" s="38">
        <f t="shared" si="22"/>
        <v>-2.4298743662968562E-9</v>
      </c>
      <c r="AC151" s="31">
        <f t="shared" si="29"/>
        <v>-7.0003896387981542E-4</v>
      </c>
      <c r="AD151" s="47">
        <v>0</v>
      </c>
      <c r="AE151" s="37">
        <f t="shared" si="23"/>
        <v>288096.77306348935</v>
      </c>
      <c r="AF151" s="40">
        <f t="shared" si="30"/>
        <v>-2.2675743176264307E-2</v>
      </c>
      <c r="AG151" s="1"/>
      <c r="AH151" s="1"/>
      <c r="AI151" s="1"/>
      <c r="AJ151" s="1"/>
      <c r="AK151" s="1"/>
      <c r="AL151" s="1"/>
    </row>
    <row r="152" spans="1:38" x14ac:dyDescent="0.35">
      <c r="A152" s="1"/>
      <c r="B152" s="10" t="s">
        <v>144</v>
      </c>
      <c r="C152" s="20">
        <v>1.18E-2</v>
      </c>
      <c r="D152" s="38">
        <f t="shared" si="16"/>
        <v>0.19191712482715373</v>
      </c>
      <c r="E152" s="32">
        <f t="shared" si="31"/>
        <v>56282.397184311929</v>
      </c>
      <c r="F152" s="47">
        <v>0</v>
      </c>
      <c r="G152" s="17">
        <v>-2.47E-2</v>
      </c>
      <c r="H152" s="38">
        <f t="shared" si="17"/>
        <v>2.9506878566261111E-2</v>
      </c>
      <c r="I152" s="32">
        <f t="shared" si="24"/>
        <v>8653.3073097633169</v>
      </c>
      <c r="J152" s="47">
        <v>0</v>
      </c>
      <c r="K152" s="17">
        <v>-2.6200000000000001E-2</v>
      </c>
      <c r="L152" s="38">
        <f t="shared" si="18"/>
        <v>7.230794037972052E-2</v>
      </c>
      <c r="M152" s="32">
        <f t="shared" si="25"/>
        <v>21205.320909722035</v>
      </c>
      <c r="N152" s="47">
        <v>0</v>
      </c>
      <c r="O152" s="20">
        <v>2.6599999999999999E-2</v>
      </c>
      <c r="P152" s="38">
        <f t="shared" si="19"/>
        <v>0.28610540467178525</v>
      </c>
      <c r="Q152" s="31">
        <f t="shared" si="26"/>
        <v>83904.435504743407</v>
      </c>
      <c r="R152" s="47">
        <v>0</v>
      </c>
      <c r="S152" s="19">
        <v>3.4299999999999997E-2</v>
      </c>
      <c r="T152" s="38">
        <f t="shared" si="20"/>
        <v>0.12687332140692728</v>
      </c>
      <c r="U152" s="31">
        <f t="shared" si="27"/>
        <v>37207.386646442857</v>
      </c>
      <c r="V152" s="47">
        <v>0</v>
      </c>
      <c r="W152" s="25">
        <v>2.2499999999999999E-2</v>
      </c>
      <c r="X152" s="38">
        <f t="shared" si="21"/>
        <v>0.29328933260586915</v>
      </c>
      <c r="Y152" s="31">
        <f t="shared" si="28"/>
        <v>86011.223451330952</v>
      </c>
      <c r="Z152" s="47">
        <v>0</v>
      </c>
      <c r="AA152" s="26">
        <v>2.9600000000000001E-2</v>
      </c>
      <c r="AB152" s="38">
        <f t="shared" si="22"/>
        <v>-2.4577170892733162E-9</v>
      </c>
      <c r="AC152" s="31">
        <f t="shared" si="29"/>
        <v>-7.2076011721065793E-4</v>
      </c>
      <c r="AD152" s="47">
        <v>0</v>
      </c>
      <c r="AE152" s="37">
        <f t="shared" si="23"/>
        <v>293264.07028555439</v>
      </c>
      <c r="AF152" s="40">
        <f t="shared" si="30"/>
        <v>1.7935977439519135E-2</v>
      </c>
      <c r="AG152" s="1"/>
      <c r="AH152" s="1"/>
      <c r="AI152" s="1"/>
      <c r="AJ152" s="1"/>
      <c r="AK152" s="1"/>
      <c r="AL152" s="1"/>
    </row>
    <row r="153" spans="1:38" x14ac:dyDescent="0.35">
      <c r="A153" s="1"/>
      <c r="B153" s="9" t="s">
        <v>145</v>
      </c>
      <c r="C153" s="15">
        <v>-2.3800000000000002E-2</v>
      </c>
      <c r="D153" s="38">
        <f t="shared" si="16"/>
        <v>0.17152712921299823</v>
      </c>
      <c r="E153" s="32">
        <f t="shared" si="31"/>
        <v>51531.1840373253</v>
      </c>
      <c r="F153" s="48">
        <v>-3494.87</v>
      </c>
      <c r="G153" s="17">
        <v>-2.3400000000000001E-2</v>
      </c>
      <c r="H153" s="38">
        <f t="shared" si="17"/>
        <v>2.8599556164833093E-2</v>
      </c>
      <c r="I153" s="32">
        <f t="shared" si="24"/>
        <v>8592.0460447148562</v>
      </c>
      <c r="J153" s="49">
        <v>144.61000000000001</v>
      </c>
      <c r="K153" s="17">
        <v>-5.9900000000000002E-2</v>
      </c>
      <c r="L153" s="38">
        <f t="shared" si="18"/>
        <v>6.4238229621069731E-2</v>
      </c>
      <c r="M153" s="32">
        <f t="shared" si="25"/>
        <v>19298.824903229684</v>
      </c>
      <c r="N153" s="48">
        <v>-676.84</v>
      </c>
      <c r="O153" s="20">
        <v>8.3500000000000005E-2</v>
      </c>
      <c r="P153" s="38">
        <f t="shared" si="19"/>
        <v>0.12692047277150442</v>
      </c>
      <c r="Q153" s="31">
        <f t="shared" si="26"/>
        <v>38130.191244389483</v>
      </c>
      <c r="R153" s="48">
        <v>-48712.75</v>
      </c>
      <c r="S153" s="17">
        <v>-7.0000000000000001E-3</v>
      </c>
      <c r="T153" s="38">
        <f t="shared" si="20"/>
        <v>0.29079841623057257</v>
      </c>
      <c r="U153" s="31">
        <f t="shared" si="27"/>
        <v>87363.362129917761</v>
      </c>
      <c r="V153" s="49">
        <v>50771.83</v>
      </c>
      <c r="W153" s="25">
        <v>8.5599999999999996E-2</v>
      </c>
      <c r="X153" s="38">
        <f t="shared" si="21"/>
        <v>0.31791619846676533</v>
      </c>
      <c r="Y153" s="31">
        <f t="shared" si="28"/>
        <v>95510.24497876488</v>
      </c>
      <c r="Z153" s="49">
        <v>1968</v>
      </c>
      <c r="AA153" s="26">
        <v>2.86E-2</v>
      </c>
      <c r="AB153" s="38">
        <f t="shared" si="22"/>
        <v>-2.4677432057002834E-9</v>
      </c>
      <c r="AC153" s="31">
        <f t="shared" si="29"/>
        <v>-7.4137385656288272E-4</v>
      </c>
      <c r="AD153" s="47">
        <v>0</v>
      </c>
      <c r="AE153" s="37">
        <f t="shared" si="23"/>
        <v>300425.85259696806</v>
      </c>
      <c r="AF153" s="40">
        <f t="shared" si="30"/>
        <v>2.4420933339839968E-2</v>
      </c>
      <c r="AG153" s="1"/>
      <c r="AH153" s="1"/>
      <c r="AI153" s="1"/>
      <c r="AJ153" s="1"/>
      <c r="AK153" s="1"/>
      <c r="AL153" s="1"/>
    </row>
    <row r="154" spans="1:38" x14ac:dyDescent="0.35">
      <c r="A154" s="1"/>
      <c r="B154" s="10" t="s">
        <v>146</v>
      </c>
      <c r="C154" s="15">
        <v>-2.1499999999999998E-2</v>
      </c>
      <c r="D154" s="38">
        <f t="shared" si="16"/>
        <v>0.16735255005189342</v>
      </c>
      <c r="E154" s="32">
        <f t="shared" si="31"/>
        <v>50423.263580522806</v>
      </c>
      <c r="F154" s="47">
        <v>0</v>
      </c>
      <c r="G154" s="17">
        <v>-2.5499999999999998E-2</v>
      </c>
      <c r="H154" s="38">
        <f t="shared" si="17"/>
        <v>2.77894417267756E-2</v>
      </c>
      <c r="I154" s="32">
        <f t="shared" si="24"/>
        <v>8372.948870574628</v>
      </c>
      <c r="J154" s="47">
        <v>0</v>
      </c>
      <c r="K154" s="17">
        <v>-1.9599999999999999E-2</v>
      </c>
      <c r="L154" s="38">
        <f t="shared" si="18"/>
        <v>6.2796516280960987E-2</v>
      </c>
      <c r="M154" s="32">
        <f t="shared" si="25"/>
        <v>18920.567935126383</v>
      </c>
      <c r="N154" s="47">
        <v>0</v>
      </c>
      <c r="O154" s="20">
        <v>8.8200000000000001E-2</v>
      </c>
      <c r="P154" s="38">
        <f t="shared" si="19"/>
        <v>0.13771431556746572</v>
      </c>
      <c r="Q154" s="31">
        <f t="shared" si="26"/>
        <v>41493.274112144638</v>
      </c>
      <c r="R154" s="47">
        <v>0</v>
      </c>
      <c r="S154" s="17">
        <v>-2.1000000000000001E-2</v>
      </c>
      <c r="T154" s="38">
        <f t="shared" si="20"/>
        <v>0.28386602347915341</v>
      </c>
      <c r="U154" s="31">
        <f t="shared" si="27"/>
        <v>85528.731525189491</v>
      </c>
      <c r="V154" s="47">
        <v>0</v>
      </c>
      <c r="W154" s="25">
        <v>1.0999999999999999E-2</v>
      </c>
      <c r="X154" s="38">
        <f t="shared" si="21"/>
        <v>0.32048115531152321</v>
      </c>
      <c r="Y154" s="31">
        <f t="shared" si="28"/>
        <v>96560.857673531296</v>
      </c>
      <c r="Z154" s="47">
        <v>0</v>
      </c>
      <c r="AA154" s="27">
        <v>-1.7399999999999999E-2</v>
      </c>
      <c r="AB154" s="38">
        <f t="shared" si="22"/>
        <v>-2.4177723686667946E-9</v>
      </c>
      <c r="AC154" s="31">
        <f t="shared" si="29"/>
        <v>-7.2847395145868852E-4</v>
      </c>
      <c r="AD154" s="47">
        <v>0</v>
      </c>
      <c r="AE154" s="37">
        <f t="shared" si="23"/>
        <v>301299.64296861528</v>
      </c>
      <c r="AF154" s="40">
        <f t="shared" si="30"/>
        <v>2.9085059228222132E-3</v>
      </c>
      <c r="AG154" s="1"/>
      <c r="AH154" s="1"/>
      <c r="AI154" s="1"/>
      <c r="AJ154" s="1"/>
      <c r="AK154" s="1"/>
      <c r="AL154" s="1"/>
    </row>
    <row r="155" spans="1:38" x14ac:dyDescent="0.35">
      <c r="A155" s="1"/>
      <c r="B155" s="11" t="s">
        <v>147</v>
      </c>
      <c r="C155" s="15">
        <v>-3.6799999999999999E-2</v>
      </c>
      <c r="D155" s="38">
        <f t="shared" si="16"/>
        <v>0.17086599568684915</v>
      </c>
      <c r="E155" s="32">
        <f t="shared" si="31"/>
        <v>48567.687480759567</v>
      </c>
      <c r="F155" s="47">
        <v>0</v>
      </c>
      <c r="G155" s="19">
        <v>2.07E-2</v>
      </c>
      <c r="H155" s="38">
        <f t="shared" si="17"/>
        <v>3.0066631187007784E-2</v>
      </c>
      <c r="I155" s="32">
        <f t="shared" si="24"/>
        <v>8546.2689121955227</v>
      </c>
      <c r="J155" s="47">
        <v>0</v>
      </c>
      <c r="K155" s="17">
        <v>-2.7E-2</v>
      </c>
      <c r="L155" s="38">
        <f t="shared" si="18"/>
        <v>6.4767215344644455E-2</v>
      </c>
      <c r="M155" s="32">
        <f t="shared" si="25"/>
        <v>18409.712600877971</v>
      </c>
      <c r="N155" s="47">
        <v>0</v>
      </c>
      <c r="O155" s="15">
        <v>-0.10100000000000001</v>
      </c>
      <c r="P155" s="38">
        <f t="shared" si="19"/>
        <v>0.13123377243070458</v>
      </c>
      <c r="Q155" s="31">
        <f t="shared" si="26"/>
        <v>37302.453426818029</v>
      </c>
      <c r="R155" s="47">
        <v>0</v>
      </c>
      <c r="S155" s="17">
        <v>-1.2999999999999999E-2</v>
      </c>
      <c r="T155" s="38">
        <f t="shared" si="20"/>
        <v>0.2969869731447346</v>
      </c>
      <c r="U155" s="31">
        <f t="shared" si="27"/>
        <v>84416.858015362028</v>
      </c>
      <c r="V155" s="47">
        <v>0</v>
      </c>
      <c r="W155" s="24">
        <v>-9.9000000000000005E-2</v>
      </c>
      <c r="X155" s="38">
        <f t="shared" si="21"/>
        <v>0.30607941452158932</v>
      </c>
      <c r="Y155" s="31">
        <f t="shared" si="28"/>
        <v>87001.332763851693</v>
      </c>
      <c r="Z155" s="47">
        <v>0</v>
      </c>
      <c r="AA155" s="27">
        <v>-9.6500000000000002E-2</v>
      </c>
      <c r="AB155" s="38">
        <f t="shared" si="22"/>
        <v>-2.3155299371078667E-9</v>
      </c>
      <c r="AC155" s="31">
        <f t="shared" si="29"/>
        <v>-6.5817621514292508E-4</v>
      </c>
      <c r="AD155" s="47">
        <v>0</v>
      </c>
      <c r="AE155" s="37">
        <f t="shared" si="23"/>
        <v>284244.31254168862</v>
      </c>
      <c r="AF155" s="40">
        <f t="shared" si="30"/>
        <v>-5.6605876657820131E-2</v>
      </c>
      <c r="AG155" s="1"/>
      <c r="AH155" s="1"/>
      <c r="AI155" s="1"/>
      <c r="AJ155" s="1"/>
      <c r="AK155" s="1"/>
      <c r="AL155" s="1"/>
    </row>
    <row r="156" spans="1:38" x14ac:dyDescent="0.35">
      <c r="A156" s="1"/>
      <c r="B156" s="10" t="s">
        <v>148</v>
      </c>
      <c r="C156" s="15">
        <v>-3.2899999999999999E-2</v>
      </c>
      <c r="D156" s="38">
        <f t="shared" si="16"/>
        <v>9.9298602321129428E-2</v>
      </c>
      <c r="E156" s="32">
        <f t="shared" si="31"/>
        <v>27489.263816642579</v>
      </c>
      <c r="F156" s="48">
        <v>-20143.259999999998</v>
      </c>
      <c r="G156" s="17">
        <v>-3.1600000000000003E-2</v>
      </c>
      <c r="H156" s="38">
        <f t="shared" si="17"/>
        <v>6.9602456254996739E-2</v>
      </c>
      <c r="I156" s="32">
        <f t="shared" si="24"/>
        <v>19268.350586570145</v>
      </c>
      <c r="J156" s="49">
        <v>11350.83</v>
      </c>
      <c r="K156" s="17">
        <v>-1.9400000000000001E-2</v>
      </c>
      <c r="L156" s="38">
        <f t="shared" si="18"/>
        <v>3.0205436619996806E-2</v>
      </c>
      <c r="M156" s="32">
        <f t="shared" si="25"/>
        <v>8361.9023484209374</v>
      </c>
      <c r="N156" s="48">
        <v>-9882.3799999999992</v>
      </c>
      <c r="O156" s="20">
        <v>1.1900000000000001E-2</v>
      </c>
      <c r="P156" s="38">
        <f t="shared" si="19"/>
        <v>0.36364487216283126</v>
      </c>
      <c r="Q156" s="31">
        <f t="shared" si="26"/>
        <v>100669.39103659717</v>
      </c>
      <c r="R156" s="49">
        <v>62183.06</v>
      </c>
      <c r="S156" s="17">
        <v>-5.8200000000000002E-2</v>
      </c>
      <c r="T156" s="38">
        <f t="shared" si="20"/>
        <v>0.29010266708113186</v>
      </c>
      <c r="U156" s="31">
        <f t="shared" si="27"/>
        <v>80310.382652867949</v>
      </c>
      <c r="V156" s="49">
        <v>856.43</v>
      </c>
      <c r="W156" s="24">
        <v>-4.4600000000000001E-2</v>
      </c>
      <c r="X156" s="38">
        <f t="shared" si="21"/>
        <v>0.14714596785397233</v>
      </c>
      <c r="Y156" s="31">
        <f t="shared" si="28"/>
        <v>40735.05805058391</v>
      </c>
      <c r="Z156" s="48">
        <v>-44364.68</v>
      </c>
      <c r="AA156" s="27">
        <v>-3.5099999999999999E-2</v>
      </c>
      <c r="AB156" s="38">
        <f t="shared" si="22"/>
        <v>-2.2940586488218469E-9</v>
      </c>
      <c r="AC156" s="31">
        <f t="shared" si="29"/>
        <v>-6.3507422999140842E-4</v>
      </c>
      <c r="AD156" s="47">
        <v>0</v>
      </c>
      <c r="AE156" s="37">
        <f t="shared" si="23"/>
        <v>276834.34785660851</v>
      </c>
      <c r="AF156" s="40">
        <f t="shared" si="30"/>
        <v>-2.6068998949603683E-2</v>
      </c>
      <c r="AG156" s="1"/>
      <c r="AH156" s="1"/>
      <c r="AI156" s="1"/>
      <c r="AJ156" s="1"/>
      <c r="AK156" s="1"/>
      <c r="AL156" s="1"/>
    </row>
    <row r="157" spans="1:38" x14ac:dyDescent="0.35">
      <c r="A157" s="1"/>
      <c r="B157" s="11" t="s">
        <v>149</v>
      </c>
      <c r="C157" s="20">
        <v>3.9899999999999998E-2</v>
      </c>
      <c r="D157" s="38">
        <f t="shared" si="16"/>
        <v>0.10233592015603953</v>
      </c>
      <c r="E157" s="32">
        <f t="shared" si="31"/>
        <v>28586.085442926618</v>
      </c>
      <c r="F157" s="47">
        <v>0</v>
      </c>
      <c r="G157" s="17">
        <v>-1.3599999999999999E-2</v>
      </c>
      <c r="H157" s="38">
        <f t="shared" si="17"/>
        <v>6.8041051209466838E-2</v>
      </c>
      <c r="I157" s="32">
        <f t="shared" si="24"/>
        <v>19006.301018592792</v>
      </c>
      <c r="J157" s="47">
        <v>0</v>
      </c>
      <c r="K157" s="19">
        <v>4.7199999999999999E-2</v>
      </c>
      <c r="L157" s="38">
        <f t="shared" si="18"/>
        <v>3.1347877172785282E-2</v>
      </c>
      <c r="M157" s="32">
        <f t="shared" si="25"/>
        <v>8756.5841392664061</v>
      </c>
      <c r="N157" s="47">
        <v>0</v>
      </c>
      <c r="O157" s="15">
        <v>-3.7400000000000003E-2</v>
      </c>
      <c r="P157" s="38">
        <f t="shared" si="19"/>
        <v>0.34690991317894992</v>
      </c>
      <c r="Q157" s="31">
        <f t="shared" si="26"/>
        <v>96904.355811828427</v>
      </c>
      <c r="R157" s="47">
        <v>0</v>
      </c>
      <c r="S157" s="19">
        <v>4.7300000000000002E-2</v>
      </c>
      <c r="T157" s="38">
        <f t="shared" si="20"/>
        <v>0.3011037817592967</v>
      </c>
      <c r="U157" s="31">
        <f t="shared" si="27"/>
        <v>84109.063752348608</v>
      </c>
      <c r="V157" s="47">
        <v>0</v>
      </c>
      <c r="W157" s="25">
        <v>3.04E-2</v>
      </c>
      <c r="X157" s="38">
        <f t="shared" si="21"/>
        <v>0.15026145885199607</v>
      </c>
      <c r="Y157" s="31">
        <f t="shared" si="28"/>
        <v>41973.403815321661</v>
      </c>
      <c r="Z157" s="47">
        <v>0</v>
      </c>
      <c r="AA157" s="26">
        <v>2.4199999999999999E-2</v>
      </c>
      <c r="AB157" s="38">
        <f t="shared" si="22"/>
        <v>-2.3285344803240204E-9</v>
      </c>
      <c r="AC157" s="31">
        <f t="shared" si="29"/>
        <v>-6.504430263572005E-4</v>
      </c>
      <c r="AD157" s="47">
        <v>0</v>
      </c>
      <c r="AE157" s="37">
        <f t="shared" si="23"/>
        <v>279335.79332984152</v>
      </c>
      <c r="AF157" s="40">
        <f t="shared" si="30"/>
        <v>9.0358927373010989E-3</v>
      </c>
      <c r="AG157" s="1"/>
      <c r="AH157" s="1"/>
      <c r="AI157" s="1"/>
      <c r="AJ157" s="1"/>
      <c r="AK157" s="1"/>
      <c r="AL157" s="1"/>
    </row>
    <row r="158" spans="1:38" x14ac:dyDescent="0.35">
      <c r="A158" s="1"/>
      <c r="B158" s="10" t="s">
        <v>150</v>
      </c>
      <c r="C158" s="15">
        <v>-9.3200000000000005E-2</v>
      </c>
      <c r="D158" s="38">
        <f t="shared" si="16"/>
        <v>9.6525331490826441E-2</v>
      </c>
      <c r="E158" s="32">
        <f t="shared" si="31"/>
        <v>25921.862279645859</v>
      </c>
      <c r="F158" s="47">
        <v>0</v>
      </c>
      <c r="G158" s="17">
        <v>-6.0100000000000001E-2</v>
      </c>
      <c r="H158" s="38">
        <f t="shared" si="17"/>
        <v>6.6520323976236695E-2</v>
      </c>
      <c r="I158" s="32">
        <f t="shared" si="24"/>
        <v>17864.022327375365</v>
      </c>
      <c r="J158" s="47">
        <v>0</v>
      </c>
      <c r="K158" s="17">
        <v>-9.4200000000000006E-2</v>
      </c>
      <c r="L158" s="38">
        <f t="shared" si="18"/>
        <v>2.9535351531337909E-2</v>
      </c>
      <c r="M158" s="32">
        <f t="shared" si="25"/>
        <v>7931.7139133475102</v>
      </c>
      <c r="N158" s="47">
        <v>0</v>
      </c>
      <c r="O158" s="15">
        <v>-1.4500000000000001E-2</v>
      </c>
      <c r="P158" s="38">
        <f t="shared" si="19"/>
        <v>0.3556108721941279</v>
      </c>
      <c r="Q158" s="31">
        <f t="shared" si="26"/>
        <v>95499.242652556917</v>
      </c>
      <c r="R158" s="47">
        <v>0</v>
      </c>
      <c r="S158" s="17">
        <v>-3.9899999999999998E-2</v>
      </c>
      <c r="T158" s="38">
        <f t="shared" si="20"/>
        <v>0.30070065302838506</v>
      </c>
      <c r="U158" s="31">
        <f t="shared" si="27"/>
        <v>80753.112108629895</v>
      </c>
      <c r="V158" s="47">
        <v>0</v>
      </c>
      <c r="W158" s="24">
        <v>-3.32E-2</v>
      </c>
      <c r="X158" s="38">
        <f t="shared" si="21"/>
        <v>0.15110746997298521</v>
      </c>
      <c r="Y158" s="31">
        <f t="shared" si="28"/>
        <v>40579.886808652984</v>
      </c>
      <c r="Z158" s="47">
        <v>0</v>
      </c>
      <c r="AA158" s="27">
        <v>-9.4200000000000006E-2</v>
      </c>
      <c r="AB158" s="38">
        <f t="shared" si="22"/>
        <v>-2.1938992567227973E-9</v>
      </c>
      <c r="AC158" s="31">
        <f t="shared" si="29"/>
        <v>-5.8917129327435216E-4</v>
      </c>
      <c r="AD158" s="47">
        <v>0</v>
      </c>
      <c r="AE158" s="37">
        <f t="shared" si="23"/>
        <v>268549.83950103726</v>
      </c>
      <c r="AF158" s="40">
        <f t="shared" si="30"/>
        <v>-3.8612859813737299E-2</v>
      </c>
      <c r="AG158" s="1"/>
      <c r="AH158" s="1"/>
      <c r="AI158" s="1"/>
      <c r="AJ158" s="1"/>
      <c r="AK158" s="1"/>
      <c r="AL158" s="1"/>
    </row>
    <row r="159" spans="1:38" x14ac:dyDescent="0.35">
      <c r="A159" s="1"/>
      <c r="B159" s="11" t="s">
        <v>151</v>
      </c>
      <c r="C159" s="20">
        <v>4.9700000000000001E-2</v>
      </c>
      <c r="D159" s="38">
        <f t="shared" si="16"/>
        <v>7.2312813341826751E-2</v>
      </c>
      <c r="E159" s="32">
        <f t="shared" si="31"/>
        <v>19732.777345944258</v>
      </c>
      <c r="F159" s="48">
        <v>-7123.37</v>
      </c>
      <c r="G159" s="19">
        <v>6.8000000000000005E-2</v>
      </c>
      <c r="H159" s="38">
        <f t="shared" si="17"/>
        <v>0.10510494909216532</v>
      </c>
      <c r="I159" s="32">
        <f t="shared" si="24"/>
        <v>28681.121125636888</v>
      </c>
      <c r="J159" s="49">
        <v>8990.9599999999991</v>
      </c>
      <c r="K159" s="19">
        <v>6.7299999999999999E-2</v>
      </c>
      <c r="L159" s="38">
        <f t="shared" si="18"/>
        <v>3.151085406670482E-2</v>
      </c>
      <c r="M159" s="32">
        <f t="shared" si="25"/>
        <v>8598.7066267157988</v>
      </c>
      <c r="N159" s="49">
        <v>124.79</v>
      </c>
      <c r="O159" s="20">
        <v>3.5900000000000001E-2</v>
      </c>
      <c r="P159" s="38">
        <f t="shared" si="19"/>
        <v>0.10194589708142174</v>
      </c>
      <c r="Q159" s="31">
        <f t="shared" si="26"/>
        <v>27819.076529783721</v>
      </c>
      <c r="R159" s="48">
        <v>-68644.259999999995</v>
      </c>
      <c r="S159" s="19">
        <v>5.6800000000000003E-2</v>
      </c>
      <c r="T159" s="38">
        <f t="shared" si="20"/>
        <v>8.8511710341867625E-2</v>
      </c>
      <c r="U159" s="31">
        <f t="shared" si="27"/>
        <v>24153.145092400075</v>
      </c>
      <c r="V159" s="48">
        <v>-57898.13</v>
      </c>
      <c r="W159" s="25">
        <v>3.3000000000000002E-2</v>
      </c>
      <c r="X159" s="38">
        <f t="shared" si="21"/>
        <v>0.10166047762198077</v>
      </c>
      <c r="Y159" s="31">
        <f t="shared" si="28"/>
        <v>27741.191043338531</v>
      </c>
      <c r="Z159" s="48">
        <v>-13724.91</v>
      </c>
      <c r="AA159" s="26">
        <v>1.4E-2</v>
      </c>
      <c r="AB159" s="38">
        <f t="shared" si="22"/>
        <v>0.49895329845403291</v>
      </c>
      <c r="AC159" s="31">
        <f t="shared" si="29"/>
        <v>136154.76828258033</v>
      </c>
      <c r="AD159" s="49">
        <v>134274.92000000001</v>
      </c>
      <c r="AE159" s="37">
        <f t="shared" si="23"/>
        <v>272880.78604639962</v>
      </c>
      <c r="AF159" s="40">
        <f t="shared" si="30"/>
        <v>1.6127161175777394E-2</v>
      </c>
      <c r="AG159" s="1"/>
      <c r="AH159" s="1"/>
      <c r="AI159" s="1"/>
      <c r="AJ159" s="1"/>
      <c r="AK159" s="1"/>
      <c r="AL159" s="1"/>
    </row>
    <row r="160" spans="1:38" x14ac:dyDescent="0.35">
      <c r="A160" s="1"/>
      <c r="B160" s="10" t="s">
        <v>152</v>
      </c>
      <c r="C160" s="15">
        <v>-1.3899999999999999E-2</v>
      </c>
      <c r="D160" s="38">
        <f t="shared" ref="D160:D223" si="32">E160/AE160</f>
        <v>7.2679576634698526E-2</v>
      </c>
      <c r="E160" s="32">
        <f t="shared" si="31"/>
        <v>19458.491740835634</v>
      </c>
      <c r="F160" s="47">
        <v>0</v>
      </c>
      <c r="G160" s="17">
        <v>-3.8E-3</v>
      </c>
      <c r="H160" s="38">
        <f t="shared" ref="H160:H223" si="33">I160/AE160</f>
        <v>0.10672001447299753</v>
      </c>
      <c r="I160" s="32">
        <f t="shared" si="24"/>
        <v>28572.132865359468</v>
      </c>
      <c r="J160" s="47">
        <v>0</v>
      </c>
      <c r="K160" s="19">
        <v>5.0000000000000001E-3</v>
      </c>
      <c r="L160" s="38">
        <f t="shared" ref="L160:L223" si="34">M160/AE160</f>
        <v>3.2277687160294111E-2</v>
      </c>
      <c r="M160" s="32">
        <f t="shared" si="25"/>
        <v>8641.7001598493771</v>
      </c>
      <c r="N160" s="47">
        <v>0</v>
      </c>
      <c r="O160" s="15">
        <v>-4.3200000000000002E-2</v>
      </c>
      <c r="P160" s="38">
        <f t="shared" ref="P160:P223" si="35">Q160/AE160</f>
        <v>9.9418473450152089E-2</v>
      </c>
      <c r="Q160" s="31">
        <f t="shared" si="26"/>
        <v>26617.292423697065</v>
      </c>
      <c r="R160" s="47">
        <v>0</v>
      </c>
      <c r="S160" s="17">
        <v>-4.9799999999999997E-2</v>
      </c>
      <c r="T160" s="38">
        <f t="shared" ref="T160:T223" si="36">U160/AE160</f>
        <v>8.5721928092603025E-2</v>
      </c>
      <c r="U160" s="31">
        <f t="shared" si="27"/>
        <v>22950.318466798552</v>
      </c>
      <c r="V160" s="47">
        <v>0</v>
      </c>
      <c r="W160" s="24">
        <v>-2.4400000000000002E-2</v>
      </c>
      <c r="X160" s="38">
        <f t="shared" ref="X160:X223" si="37">Y160/AE160</f>
        <v>0.1010881175619104</v>
      </c>
      <c r="Y160" s="31">
        <f t="shared" si="28"/>
        <v>27064.305981881073</v>
      </c>
      <c r="Z160" s="47">
        <v>0</v>
      </c>
      <c r="AA160" s="27">
        <v>-1.2699999999999999E-2</v>
      </c>
      <c r="AB160" s="38">
        <f t="shared" si="22"/>
        <v>0.50209420262734439</v>
      </c>
      <c r="AC160" s="31">
        <f t="shared" si="29"/>
        <v>134425.60272539157</v>
      </c>
      <c r="AD160" s="47">
        <v>0</v>
      </c>
      <c r="AE160" s="37">
        <f t="shared" si="23"/>
        <v>267729.84436381271</v>
      </c>
      <c r="AF160" s="40">
        <f t="shared" si="30"/>
        <v>-1.8876161114953161E-2</v>
      </c>
      <c r="AG160" s="1"/>
      <c r="AH160" s="1"/>
      <c r="AI160" s="1"/>
      <c r="AJ160" s="1"/>
      <c r="AK160" s="1"/>
      <c r="AL160" s="1"/>
    </row>
    <row r="161" spans="1:38" x14ac:dyDescent="0.35">
      <c r="A161" s="1"/>
      <c r="B161" s="11" t="s">
        <v>153</v>
      </c>
      <c r="C161" s="20">
        <v>5.1000000000000004E-3</v>
      </c>
      <c r="D161" s="38">
        <f t="shared" si="32"/>
        <v>7.2615229414731544E-2</v>
      </c>
      <c r="E161" s="32">
        <f t="shared" si="31"/>
        <v>19557.730048713896</v>
      </c>
      <c r="F161" s="47">
        <v>0</v>
      </c>
      <c r="G161" s="19">
        <v>3.1699999999999999E-2</v>
      </c>
      <c r="H161" s="38">
        <f t="shared" si="33"/>
        <v>0.10944737704284471</v>
      </c>
      <c r="I161" s="32">
        <f t="shared" si="24"/>
        <v>29477.869477191365</v>
      </c>
      <c r="J161" s="47">
        <v>0</v>
      </c>
      <c r="K161" s="19">
        <v>1.43E-2</v>
      </c>
      <c r="L161" s="38">
        <f t="shared" si="34"/>
        <v>3.2544296312623629E-2</v>
      </c>
      <c r="M161" s="32">
        <f t="shared" si="25"/>
        <v>8765.2764721352232</v>
      </c>
      <c r="N161" s="47">
        <v>0</v>
      </c>
      <c r="O161" s="20">
        <v>1.1599999999999999E-2</v>
      </c>
      <c r="P161" s="38">
        <f t="shared" si="35"/>
        <v>9.997282466351376E-2</v>
      </c>
      <c r="Q161" s="31">
        <f t="shared" si="26"/>
        <v>26926.053015811951</v>
      </c>
      <c r="R161" s="47">
        <v>0</v>
      </c>
      <c r="S161" s="17">
        <v>-1.89E-2</v>
      </c>
      <c r="T161" s="38">
        <f t="shared" si="36"/>
        <v>8.3600958834573968E-2</v>
      </c>
      <c r="U161" s="31">
        <f t="shared" si="27"/>
        <v>22516.55744777606</v>
      </c>
      <c r="V161" s="47">
        <v>0</v>
      </c>
      <c r="W161" s="24">
        <v>-1.06E-2</v>
      </c>
      <c r="X161" s="38">
        <f t="shared" si="37"/>
        <v>9.942098631235112E-2</v>
      </c>
      <c r="Y161" s="31">
        <f t="shared" si="28"/>
        <v>26777.424338473134</v>
      </c>
      <c r="Z161" s="47">
        <v>0</v>
      </c>
      <c r="AA161" s="26">
        <v>6.6E-3</v>
      </c>
      <c r="AB161" s="38">
        <f t="shared" ref="AB161:AB224" si="38">AC161/AE161</f>
        <v>0.50239832741936141</v>
      </c>
      <c r="AC161" s="31">
        <f t="shared" si="29"/>
        <v>135312.81170337915</v>
      </c>
      <c r="AD161" s="47">
        <v>0</v>
      </c>
      <c r="AE161" s="37">
        <f t="shared" ref="AE161:AE224" si="39">Q161+M161+I161+E161+U161+Y161+AC161</f>
        <v>269333.72250348073</v>
      </c>
      <c r="AF161" s="40">
        <f t="shared" si="30"/>
        <v>5.990658768278978E-3</v>
      </c>
      <c r="AG161" s="1"/>
      <c r="AH161" s="1"/>
      <c r="AI161" s="1"/>
      <c r="AJ161" s="1"/>
      <c r="AK161" s="1"/>
      <c r="AL161" s="1"/>
    </row>
    <row r="162" spans="1:38" x14ac:dyDescent="0.35">
      <c r="A162" s="1"/>
      <c r="B162" s="10" t="s">
        <v>154</v>
      </c>
      <c r="C162" s="15">
        <v>-3.6700000000000003E-2</v>
      </c>
      <c r="D162" s="38">
        <f t="shared" si="32"/>
        <v>6.993241304883438E-2</v>
      </c>
      <c r="E162" s="32">
        <f t="shared" si="31"/>
        <v>18161.441734926098</v>
      </c>
      <c r="F162" s="48">
        <v>-704.37</v>
      </c>
      <c r="G162" s="17">
        <v>-2.58E-2</v>
      </c>
      <c r="H162" s="38">
        <f t="shared" si="33"/>
        <v>0.40413554000810914</v>
      </c>
      <c r="I162" s="32">
        <f t="shared" ref="I162:I225" si="40">((I161+J162)*G162)+I161+J162</f>
        <v>104953.96544867982</v>
      </c>
      <c r="J162" s="49">
        <v>78255.62</v>
      </c>
      <c r="K162" s="17">
        <v>-6.2799999999999995E-2</v>
      </c>
      <c r="L162" s="38">
        <f t="shared" si="34"/>
        <v>9.7196608798397324E-2</v>
      </c>
      <c r="M162" s="32">
        <f t="shared" ref="M162:M225" si="41">((M161+N162)*K162)+M161+N162</f>
        <v>25241.951057685132</v>
      </c>
      <c r="N162" s="49">
        <v>18168.09</v>
      </c>
      <c r="O162" s="15">
        <v>-4.6600000000000003E-2</v>
      </c>
      <c r="P162" s="38">
        <f t="shared" si="35"/>
        <v>9.8876727851729129E-2</v>
      </c>
      <c r="Q162" s="31">
        <f t="shared" ref="Q162:Q225" si="42">((Q161+R162)*O162)+Q161+R162</f>
        <v>25678.277833275115</v>
      </c>
      <c r="R162" s="49">
        <v>7.32</v>
      </c>
      <c r="S162" s="17">
        <v>-7.3999999999999996E-2</v>
      </c>
      <c r="T162" s="38">
        <f t="shared" si="36"/>
        <v>2.8810509592798753E-2</v>
      </c>
      <c r="U162" s="31">
        <f t="shared" ref="U162:U225" si="43">((U161+V162)*S162)+U161+V162</f>
        <v>7482.0868966406306</v>
      </c>
      <c r="V162" s="48">
        <v>-14436.55</v>
      </c>
      <c r="W162" s="24">
        <v>-6.2399999999999997E-2</v>
      </c>
      <c r="X162" s="38">
        <f t="shared" si="37"/>
        <v>9.7238121026312796E-2</v>
      </c>
      <c r="Y162" s="31">
        <f t="shared" ref="Y162:Y225" si="44">((Y161+Z162)*W162)+Y161+Z162</f>
        <v>25252.731779752412</v>
      </c>
      <c r="Z162" s="49">
        <v>155.94999999999999</v>
      </c>
      <c r="AA162" s="27">
        <v>-1.7399999999999999E-2</v>
      </c>
      <c r="AB162" s="38">
        <f t="shared" si="38"/>
        <v>0.20381007967381837</v>
      </c>
      <c r="AC162" s="31">
        <f t="shared" ref="AC162:AC225" si="45">((AC161+AD162)*AA162)+AC161+AD162</f>
        <v>52929.460397740331</v>
      </c>
      <c r="AD162" s="48">
        <v>-81446.070000000007</v>
      </c>
      <c r="AE162" s="37">
        <f t="shared" si="39"/>
        <v>259699.91514869957</v>
      </c>
      <c r="AF162" s="40">
        <f t="shared" ref="AF162:AF225" si="46">AE162/AE161-1</f>
        <v>-3.5769035029234675E-2</v>
      </c>
      <c r="AG162" s="1"/>
      <c r="AH162" s="1"/>
      <c r="AI162" s="1"/>
      <c r="AJ162" s="1"/>
      <c r="AK162" s="1"/>
      <c r="AL162" s="1"/>
    </row>
    <row r="163" spans="1:38" x14ac:dyDescent="0.35">
      <c r="A163" s="1"/>
      <c r="B163" s="11" t="s">
        <v>155</v>
      </c>
      <c r="C163" s="20">
        <v>9.7900000000000001E-2</v>
      </c>
      <c r="D163" s="38">
        <f t="shared" si="32"/>
        <v>7.3912906584576193E-2</v>
      </c>
      <c r="E163" s="32">
        <f t="shared" ref="E163:E226" si="47">((E162+F163)*C163)+E162+F163</f>
        <v>19939.446880775362</v>
      </c>
      <c r="F163" s="47">
        <v>0</v>
      </c>
      <c r="G163" s="19">
        <v>1.47E-2</v>
      </c>
      <c r="H163" s="38">
        <f t="shared" si="33"/>
        <v>0.39476958637922804</v>
      </c>
      <c r="I163" s="32">
        <f t="shared" si="40"/>
        <v>106496.78874077542</v>
      </c>
      <c r="J163" s="47">
        <v>0</v>
      </c>
      <c r="K163" s="19">
        <v>0.17899999999999999</v>
      </c>
      <c r="L163" s="38">
        <f t="shared" si="34"/>
        <v>0.11031737000620816</v>
      </c>
      <c r="M163" s="32">
        <f t="shared" si="41"/>
        <v>29760.260297010769</v>
      </c>
      <c r="N163" s="47">
        <v>0</v>
      </c>
      <c r="O163" s="15">
        <v>-2.4799999999999999E-2</v>
      </c>
      <c r="P163" s="38">
        <f t="shared" si="35"/>
        <v>9.282538524124001E-2</v>
      </c>
      <c r="Q163" s="31">
        <f t="shared" si="42"/>
        <v>25041.456543009892</v>
      </c>
      <c r="R163" s="47">
        <v>0</v>
      </c>
      <c r="S163" s="19">
        <v>4.3799999999999999E-2</v>
      </c>
      <c r="T163" s="38">
        <f t="shared" si="36"/>
        <v>2.8949909769113092E-2</v>
      </c>
      <c r="U163" s="31">
        <f t="shared" si="43"/>
        <v>7809.8023027134905</v>
      </c>
      <c r="V163" s="47">
        <v>0</v>
      </c>
      <c r="W163" s="24">
        <v>-2.75E-2</v>
      </c>
      <c r="X163" s="38">
        <f t="shared" si="37"/>
        <v>9.103431949527345E-2</v>
      </c>
      <c r="Y163" s="31">
        <f t="shared" si="44"/>
        <v>24558.28165580922</v>
      </c>
      <c r="Z163" s="47">
        <v>0</v>
      </c>
      <c r="AA163" s="26">
        <v>6.1100000000000002E-2</v>
      </c>
      <c r="AB163" s="38">
        <f t="shared" si="38"/>
        <v>0.20819052252436104</v>
      </c>
      <c r="AC163" s="31">
        <f t="shared" si="45"/>
        <v>56163.450428042263</v>
      </c>
      <c r="AD163" s="47">
        <v>0</v>
      </c>
      <c r="AE163" s="37">
        <f t="shared" si="39"/>
        <v>269769.48684813641</v>
      </c>
      <c r="AF163" s="40">
        <f t="shared" si="46"/>
        <v>3.8773873659801561E-2</v>
      </c>
      <c r="AG163" s="1"/>
      <c r="AH163" s="1"/>
      <c r="AI163" s="1"/>
      <c r="AJ163" s="1"/>
      <c r="AK163" s="1"/>
      <c r="AL163" s="1"/>
    </row>
    <row r="164" spans="1:38" x14ac:dyDescent="0.35">
      <c r="A164" s="1"/>
      <c r="B164" s="10" t="s">
        <v>156</v>
      </c>
      <c r="C164" s="15">
        <v>-2.5000000000000001E-2</v>
      </c>
      <c r="D164" s="38">
        <f t="shared" si="32"/>
        <v>7.5511448140545265E-2</v>
      </c>
      <c r="E164" s="32">
        <f t="shared" si="47"/>
        <v>19440.960708755978</v>
      </c>
      <c r="F164" s="47">
        <v>0</v>
      </c>
      <c r="G164" s="17">
        <v>-5.57E-2</v>
      </c>
      <c r="H164" s="38">
        <f t="shared" si="33"/>
        <v>0.39060840019537019</v>
      </c>
      <c r="I164" s="32">
        <f t="shared" si="40"/>
        <v>100564.91760791422</v>
      </c>
      <c r="J164" s="47">
        <v>0</v>
      </c>
      <c r="K164" s="17">
        <v>-1.89E-2</v>
      </c>
      <c r="L164" s="38">
        <f t="shared" si="34"/>
        <v>0.11340836198592759</v>
      </c>
      <c r="M164" s="32">
        <f t="shared" si="41"/>
        <v>29197.791377397265</v>
      </c>
      <c r="N164" s="47">
        <v>0</v>
      </c>
      <c r="O164" s="15">
        <v>-6.0600000000000001E-2</v>
      </c>
      <c r="P164" s="38">
        <f t="shared" si="35"/>
        <v>9.1370335288843696E-2</v>
      </c>
      <c r="Q164" s="31">
        <f t="shared" si="42"/>
        <v>23523.944276503491</v>
      </c>
      <c r="R164" s="47">
        <v>0</v>
      </c>
      <c r="S164" s="17">
        <v>-1.7000000000000001E-2</v>
      </c>
      <c r="T164" s="38">
        <f t="shared" si="36"/>
        <v>2.9818695128656453E-2</v>
      </c>
      <c r="U164" s="31">
        <f t="shared" si="43"/>
        <v>7677.0356635673616</v>
      </c>
      <c r="V164" s="47">
        <v>0</v>
      </c>
      <c r="W164" s="24">
        <v>-5.1299999999999998E-2</v>
      </c>
      <c r="X164" s="38">
        <f t="shared" si="37"/>
        <v>9.0494451720295993E-2</v>
      </c>
      <c r="Y164" s="31">
        <f t="shared" si="44"/>
        <v>23298.441806866205</v>
      </c>
      <c r="Z164" s="47">
        <v>0</v>
      </c>
      <c r="AA164" s="27">
        <v>-4.2900000000000001E-2</v>
      </c>
      <c r="AB164" s="38">
        <f t="shared" si="38"/>
        <v>0.2087883075403609</v>
      </c>
      <c r="AC164" s="31">
        <f t="shared" si="45"/>
        <v>53754.038404679246</v>
      </c>
      <c r="AD164" s="47">
        <v>0</v>
      </c>
      <c r="AE164" s="37">
        <f t="shared" si="39"/>
        <v>257457.12984568375</v>
      </c>
      <c r="AF164" s="40">
        <f t="shared" si="46"/>
        <v>-4.5640287737151564E-2</v>
      </c>
      <c r="AG164" s="1"/>
      <c r="AH164" s="1"/>
      <c r="AI164" s="1"/>
      <c r="AJ164" s="1"/>
      <c r="AK164" s="1"/>
      <c r="AL164" s="1"/>
    </row>
    <row r="165" spans="1:38" x14ac:dyDescent="0.35">
      <c r="A165" s="1"/>
      <c r="B165" s="9" t="s">
        <v>157</v>
      </c>
      <c r="C165" s="15">
        <v>-2.24E-2</v>
      </c>
      <c r="D165" s="38">
        <f t="shared" si="32"/>
        <v>0.30029582939870242</v>
      </c>
      <c r="E165" s="32">
        <f t="shared" si="47"/>
        <v>75507.028756879852</v>
      </c>
      <c r="F165" s="49">
        <v>57796.18</v>
      </c>
      <c r="G165" s="19">
        <v>2.4400000000000002E-2</v>
      </c>
      <c r="H165" s="38">
        <f t="shared" si="33"/>
        <v>0.1048905402355815</v>
      </c>
      <c r="I165" s="32">
        <f t="shared" si="40"/>
        <v>26373.902873547326</v>
      </c>
      <c r="J165" s="48">
        <v>-74819.210000000006</v>
      </c>
      <c r="K165" s="17">
        <v>-3.6799999999999999E-2</v>
      </c>
      <c r="L165" s="38">
        <f t="shared" si="34"/>
        <v>0.394496637655528</v>
      </c>
      <c r="M165" s="32">
        <f t="shared" si="41"/>
        <v>99193.082446709042</v>
      </c>
      <c r="N165" s="49">
        <v>73785.06</v>
      </c>
      <c r="O165" s="20">
        <v>1.04E-2</v>
      </c>
      <c r="P165" s="38">
        <f t="shared" si="35"/>
        <v>7.2419970855314458E-2</v>
      </c>
      <c r="Q165" s="31">
        <f t="shared" si="42"/>
        <v>18209.433120979127</v>
      </c>
      <c r="R165" s="48">
        <v>-5501.94</v>
      </c>
      <c r="S165" s="17">
        <v>-4.1399999999999999E-2</v>
      </c>
      <c r="T165" s="38">
        <f t="shared" si="36"/>
        <v>9.8153127954233588E-2</v>
      </c>
      <c r="U165" s="31">
        <f t="shared" si="43"/>
        <v>24679.833449095669</v>
      </c>
      <c r="V165" s="49">
        <v>18068.669999999998</v>
      </c>
      <c r="W165" s="24">
        <v>-3.1699999999999999E-2</v>
      </c>
      <c r="X165" s="38">
        <f t="shared" si="37"/>
        <v>2.9743899997246102E-2</v>
      </c>
      <c r="Y165" s="31">
        <f t="shared" si="44"/>
        <v>7478.8701425885483</v>
      </c>
      <c r="Z165" s="48">
        <v>-15574.73</v>
      </c>
      <c r="AA165" s="27">
        <v>-3.9100000000000003E-2</v>
      </c>
      <c r="AB165" s="38">
        <f t="shared" si="38"/>
        <v>-6.0966059990533688E-9</v>
      </c>
      <c r="AC165" s="31">
        <f t="shared" si="45"/>
        <v>-1.5329437155742198E-3</v>
      </c>
      <c r="AD165" s="48">
        <v>-53754.04</v>
      </c>
      <c r="AE165" s="37">
        <f t="shared" si="39"/>
        <v>251442.14925685583</v>
      </c>
      <c r="AF165" s="40">
        <f t="shared" si="46"/>
        <v>-2.3363037537291076E-2</v>
      </c>
      <c r="AG165" s="1"/>
      <c r="AH165" s="1"/>
      <c r="AI165" s="1"/>
      <c r="AJ165" s="1"/>
      <c r="AK165" s="1"/>
      <c r="AL165" s="1"/>
    </row>
    <row r="166" spans="1:38" x14ac:dyDescent="0.35">
      <c r="A166" s="1"/>
      <c r="B166" s="10" t="s">
        <v>158</v>
      </c>
      <c r="C166" s="20">
        <v>3.1600000000000003E-2</v>
      </c>
      <c r="D166" s="38">
        <f t="shared" si="32"/>
        <v>0.30336239106990032</v>
      </c>
      <c r="E166" s="32">
        <f t="shared" si="47"/>
        <v>77893.050865597252</v>
      </c>
      <c r="F166" s="47">
        <v>0</v>
      </c>
      <c r="G166" s="19">
        <v>1.1900000000000001E-2</v>
      </c>
      <c r="H166" s="38">
        <f t="shared" si="33"/>
        <v>0.10393815963584768</v>
      </c>
      <c r="I166" s="32">
        <f t="shared" si="40"/>
        <v>26687.752317742539</v>
      </c>
      <c r="J166" s="47">
        <v>0</v>
      </c>
      <c r="K166" s="19">
        <v>1.38E-2</v>
      </c>
      <c r="L166" s="38">
        <f t="shared" si="34"/>
        <v>0.39164870741156527</v>
      </c>
      <c r="M166" s="32">
        <f t="shared" si="41"/>
        <v>100561.94698447363</v>
      </c>
      <c r="N166" s="47">
        <v>0</v>
      </c>
      <c r="O166" s="20">
        <v>2.5600000000000001E-2</v>
      </c>
      <c r="P166" s="38">
        <f t="shared" si="35"/>
        <v>7.2733998376523612E-2</v>
      </c>
      <c r="Q166" s="31">
        <f t="shared" si="42"/>
        <v>18675.594608876192</v>
      </c>
      <c r="R166" s="47">
        <v>0</v>
      </c>
      <c r="S166" s="19">
        <v>2.9499999999999998E-2</v>
      </c>
      <c r="T166" s="38">
        <f t="shared" si="36"/>
        <v>9.8953600258523414E-2</v>
      </c>
      <c r="U166" s="31">
        <f t="shared" si="43"/>
        <v>25407.888535843991</v>
      </c>
      <c r="V166" s="47">
        <v>0</v>
      </c>
      <c r="W166" s="25">
        <v>8.0999999999999996E-3</v>
      </c>
      <c r="X166" s="38">
        <f t="shared" si="37"/>
        <v>2.936314918679957E-2</v>
      </c>
      <c r="Y166" s="31">
        <f t="shared" si="44"/>
        <v>7539.4489907435154</v>
      </c>
      <c r="Z166" s="47">
        <v>0</v>
      </c>
      <c r="AA166" s="27">
        <v>-5.1999999999999998E-3</v>
      </c>
      <c r="AB166" s="38">
        <f t="shared" si="38"/>
        <v>-5.9391597959305071E-9</v>
      </c>
      <c r="AC166" s="31">
        <f t="shared" si="45"/>
        <v>-1.5249724082532338E-3</v>
      </c>
      <c r="AD166" s="47">
        <v>0</v>
      </c>
      <c r="AE166" s="37">
        <f t="shared" si="39"/>
        <v>256765.6807783047</v>
      </c>
      <c r="AF166" s="40">
        <f t="shared" si="46"/>
        <v>2.1171993387674615E-2</v>
      </c>
      <c r="AG166" s="1"/>
      <c r="AH166" s="1"/>
      <c r="AI166" s="1"/>
      <c r="AJ166" s="1"/>
      <c r="AK166" s="1"/>
      <c r="AL166" s="1"/>
    </row>
    <row r="167" spans="1:38" x14ac:dyDescent="0.35">
      <c r="A167" s="1"/>
      <c r="B167" s="11" t="s">
        <v>159</v>
      </c>
      <c r="C167" s="20">
        <v>1.34E-2</v>
      </c>
      <c r="D167" s="38">
        <f t="shared" si="32"/>
        <v>0.3034229898327655</v>
      </c>
      <c r="E167" s="32">
        <f t="shared" si="47"/>
        <v>78936.817747196255</v>
      </c>
      <c r="F167" s="47">
        <v>0</v>
      </c>
      <c r="G167" s="19">
        <v>5.1200000000000002E-2</v>
      </c>
      <c r="H167" s="38">
        <f t="shared" si="33"/>
        <v>0.10783660826758616</v>
      </c>
      <c r="I167" s="32">
        <f t="shared" si="40"/>
        <v>28054.165236410958</v>
      </c>
      <c r="J167" s="47">
        <v>0</v>
      </c>
      <c r="K167" s="19">
        <v>1.12E-2</v>
      </c>
      <c r="L167" s="38">
        <f t="shared" si="34"/>
        <v>0.39087653812398865</v>
      </c>
      <c r="M167" s="32">
        <f t="shared" si="41"/>
        <v>101688.24079069974</v>
      </c>
      <c r="N167" s="47">
        <v>0</v>
      </c>
      <c r="O167" s="20">
        <v>1.43E-2</v>
      </c>
      <c r="P167" s="38">
        <f t="shared" si="35"/>
        <v>7.2813135430757819E-2</v>
      </c>
      <c r="Q167" s="31">
        <f t="shared" si="42"/>
        <v>18942.655611783121</v>
      </c>
      <c r="R167" s="47">
        <v>0</v>
      </c>
      <c r="S167" s="17">
        <v>-1.7899999999999999E-2</v>
      </c>
      <c r="T167" s="38">
        <f t="shared" si="36"/>
        <v>9.5916463060292834E-2</v>
      </c>
      <c r="U167" s="31">
        <f t="shared" si="43"/>
        <v>24953.087331052382</v>
      </c>
      <c r="V167" s="47">
        <v>0</v>
      </c>
      <c r="W167" s="25">
        <v>5.3E-3</v>
      </c>
      <c r="X167" s="38">
        <f t="shared" si="37"/>
        <v>2.9134271224955266E-2</v>
      </c>
      <c r="Y167" s="31">
        <f t="shared" si="44"/>
        <v>7579.4080703944564</v>
      </c>
      <c r="Z167" s="47">
        <v>0</v>
      </c>
      <c r="AA167" s="26">
        <v>1.34E-2</v>
      </c>
      <c r="AB167" s="38">
        <f t="shared" si="38"/>
        <v>-5.9403461847073852E-9</v>
      </c>
      <c r="AC167" s="31">
        <f t="shared" si="45"/>
        <v>-1.5454070385238271E-3</v>
      </c>
      <c r="AD167" s="47">
        <v>0</v>
      </c>
      <c r="AE167" s="37">
        <f t="shared" si="39"/>
        <v>260154.37324212986</v>
      </c>
      <c r="AF167" s="40">
        <f t="shared" si="46"/>
        <v>1.3197606679963725E-2</v>
      </c>
      <c r="AG167" s="1"/>
      <c r="AH167" s="1"/>
      <c r="AI167" s="1"/>
      <c r="AJ167" s="1"/>
      <c r="AK167" s="1"/>
      <c r="AL167" s="1"/>
    </row>
    <row r="168" spans="1:38" x14ac:dyDescent="0.35">
      <c r="A168" s="1"/>
      <c r="B168" s="10" t="s">
        <v>160</v>
      </c>
      <c r="C168" s="20">
        <v>1.89E-2</v>
      </c>
      <c r="D168" s="38">
        <f t="shared" si="32"/>
        <v>0.24945232401391254</v>
      </c>
      <c r="E168" s="32">
        <f t="shared" si="47"/>
        <v>66267.817055618274</v>
      </c>
      <c r="F168" s="48">
        <v>-13898.23</v>
      </c>
      <c r="G168" s="19">
        <v>2.69E-2</v>
      </c>
      <c r="H168" s="38">
        <f t="shared" si="33"/>
        <v>0.18101587399048033</v>
      </c>
      <c r="I168" s="32">
        <f t="shared" si="40"/>
        <v>48087.452659270406</v>
      </c>
      <c r="J168" s="49">
        <v>18773.62</v>
      </c>
      <c r="K168" s="19">
        <v>2.1299999999999999E-2</v>
      </c>
      <c r="L168" s="38">
        <f t="shared" si="34"/>
        <v>0.3700590619546324</v>
      </c>
      <c r="M168" s="32">
        <f t="shared" si="41"/>
        <v>98307.387250541637</v>
      </c>
      <c r="N168" s="48">
        <v>-5431.13</v>
      </c>
      <c r="O168" s="20">
        <v>2.52E-2</v>
      </c>
      <c r="P168" s="38">
        <f t="shared" si="35"/>
        <v>7.0278526275026634E-2</v>
      </c>
      <c r="Q168" s="31">
        <f t="shared" si="42"/>
        <v>18669.717913200057</v>
      </c>
      <c r="R168" s="48">
        <v>-731.85</v>
      </c>
      <c r="S168" s="19">
        <v>1.2200000000000001E-2</v>
      </c>
      <c r="T168" s="38">
        <f t="shared" si="36"/>
        <v>9.9124806764742057E-2</v>
      </c>
      <c r="U168" s="31">
        <f t="shared" si="43"/>
        <v>26332.825666491219</v>
      </c>
      <c r="V168" s="49">
        <v>1062.3499999999999</v>
      </c>
      <c r="W168" s="25">
        <v>2.35E-2</v>
      </c>
      <c r="X168" s="38">
        <f t="shared" si="37"/>
        <v>3.0069412877927949E-2</v>
      </c>
      <c r="Y168" s="31">
        <f t="shared" si="44"/>
        <v>7988.0368300487262</v>
      </c>
      <c r="Z168" s="49">
        <v>225.22</v>
      </c>
      <c r="AA168" s="26">
        <v>1.0200000000000001E-2</v>
      </c>
      <c r="AB168" s="38">
        <f t="shared" si="38"/>
        <v>-5.8767219060333207E-9</v>
      </c>
      <c r="AC168" s="31">
        <f t="shared" si="45"/>
        <v>-1.5611701903167701E-3</v>
      </c>
      <c r="AD168" s="47">
        <v>0</v>
      </c>
      <c r="AE168" s="37">
        <f t="shared" si="39"/>
        <v>265653.23581400013</v>
      </c>
      <c r="AF168" s="40">
        <f t="shared" si="46"/>
        <v>2.1136921526021757E-2</v>
      </c>
      <c r="AG168" s="1"/>
      <c r="AH168" s="1"/>
      <c r="AI168" s="1"/>
      <c r="AJ168" s="1"/>
      <c r="AK168" s="1"/>
      <c r="AL168" s="1"/>
    </row>
    <row r="169" spans="1:38" x14ac:dyDescent="0.35">
      <c r="A169" s="1"/>
      <c r="B169" s="11" t="s">
        <v>161</v>
      </c>
      <c r="C169" s="20">
        <v>3.5400000000000001E-2</v>
      </c>
      <c r="D169" s="38">
        <f t="shared" si="32"/>
        <v>0.25220980953592143</v>
      </c>
      <c r="E169" s="32">
        <f t="shared" si="47"/>
        <v>68613.697779387163</v>
      </c>
      <c r="F169" s="47">
        <v>0</v>
      </c>
      <c r="G169" s="19">
        <v>5.2600000000000001E-2</v>
      </c>
      <c r="H169" s="38">
        <f t="shared" si="33"/>
        <v>0.18605711664222221</v>
      </c>
      <c r="I169" s="32">
        <f t="shared" si="40"/>
        <v>50616.852669148029</v>
      </c>
      <c r="J169" s="47">
        <v>0</v>
      </c>
      <c r="K169" s="19">
        <v>3.3E-3</v>
      </c>
      <c r="L169" s="38">
        <f t="shared" si="34"/>
        <v>0.36255017158358133</v>
      </c>
      <c r="M169" s="32">
        <f t="shared" si="41"/>
        <v>98631.801628468427</v>
      </c>
      <c r="N169" s="47">
        <v>0</v>
      </c>
      <c r="O169" s="20">
        <v>2.4E-2</v>
      </c>
      <c r="P169" s="38">
        <f t="shared" si="35"/>
        <v>7.0273059447344868E-2</v>
      </c>
      <c r="Q169" s="31">
        <f t="shared" si="42"/>
        <v>19117.791143116858</v>
      </c>
      <c r="R169" s="47">
        <v>0</v>
      </c>
      <c r="S169" s="19">
        <v>1.61E-2</v>
      </c>
      <c r="T169" s="38">
        <f t="shared" si="36"/>
        <v>9.8352423132986991E-2</v>
      </c>
      <c r="U169" s="31">
        <f t="shared" si="43"/>
        <v>26756.784159721727</v>
      </c>
      <c r="V169" s="47">
        <v>0</v>
      </c>
      <c r="W169" s="25">
        <v>4.07E-2</v>
      </c>
      <c r="X169" s="38">
        <f t="shared" si="37"/>
        <v>3.0557425530190876E-2</v>
      </c>
      <c r="Y169" s="31">
        <f t="shared" si="44"/>
        <v>8313.1499290317097</v>
      </c>
      <c r="Z169" s="47">
        <v>0</v>
      </c>
      <c r="AA169" s="26">
        <v>2.3300000000000001E-2</v>
      </c>
      <c r="AB169" s="38">
        <f t="shared" si="38"/>
        <v>-5.8722477895808479E-9</v>
      </c>
      <c r="AC169" s="31">
        <f t="shared" si="45"/>
        <v>-1.5975454557511509E-3</v>
      </c>
      <c r="AD169" s="47">
        <v>0</v>
      </c>
      <c r="AE169" s="37">
        <f t="shared" si="39"/>
        <v>272050.07571132848</v>
      </c>
      <c r="AF169" s="40">
        <f t="shared" si="46"/>
        <v>2.4079661133159069E-2</v>
      </c>
      <c r="AG169" s="1"/>
      <c r="AH169" s="1"/>
      <c r="AI169" s="1"/>
      <c r="AJ169" s="1"/>
      <c r="AK169" s="1"/>
      <c r="AL169" s="1"/>
    </row>
    <row r="170" spans="1:38" x14ac:dyDescent="0.35">
      <c r="A170" s="1"/>
      <c r="B170" s="10" t="s">
        <v>162</v>
      </c>
      <c r="C170" s="20">
        <v>1.9300000000000001E-2</v>
      </c>
      <c r="D170" s="38">
        <f t="shared" si="32"/>
        <v>0.24986391825414941</v>
      </c>
      <c r="E170" s="32">
        <f t="shared" si="47"/>
        <v>69937.942146529342</v>
      </c>
      <c r="F170" s="47">
        <v>0</v>
      </c>
      <c r="G170" s="19">
        <v>1.9099999999999999E-2</v>
      </c>
      <c r="H170" s="38">
        <f t="shared" si="33"/>
        <v>0.18429036731922513</v>
      </c>
      <c r="I170" s="32">
        <f t="shared" si="40"/>
        <v>51583.63455512876</v>
      </c>
      <c r="J170" s="47">
        <v>0</v>
      </c>
      <c r="K170" s="19">
        <v>4.87E-2</v>
      </c>
      <c r="L170" s="38">
        <f t="shared" si="34"/>
        <v>0.36953785256119737</v>
      </c>
      <c r="M170" s="32">
        <f t="shared" si="41"/>
        <v>103435.17036777484</v>
      </c>
      <c r="N170" s="47">
        <v>0</v>
      </c>
      <c r="O170" s="15">
        <v>-7.3000000000000001E-3</v>
      </c>
      <c r="P170" s="38">
        <f t="shared" si="35"/>
        <v>6.7802613010315343E-2</v>
      </c>
      <c r="Q170" s="31">
        <f t="shared" si="42"/>
        <v>18978.231267772106</v>
      </c>
      <c r="R170" s="47">
        <v>0</v>
      </c>
      <c r="S170" s="19">
        <v>2.7300000000000001E-2</v>
      </c>
      <c r="T170" s="38">
        <f t="shared" si="36"/>
        <v>9.820235438481853E-2</v>
      </c>
      <c r="U170" s="31">
        <f t="shared" si="43"/>
        <v>27487.244367282128</v>
      </c>
      <c r="V170" s="47">
        <v>0</v>
      </c>
      <c r="W170" s="25">
        <v>2.0299999999999999E-2</v>
      </c>
      <c r="X170" s="38">
        <f t="shared" si="37"/>
        <v>3.0302900262809206E-2</v>
      </c>
      <c r="Y170" s="31">
        <f t="shared" si="44"/>
        <v>8481.9068725910529</v>
      </c>
      <c r="Z170" s="47">
        <v>0</v>
      </c>
      <c r="AA170" s="26">
        <v>1.49E-2</v>
      </c>
      <c r="AB170" s="38">
        <f t="shared" si="38"/>
        <v>-5.7925150832297885E-9</v>
      </c>
      <c r="AC170" s="31">
        <f t="shared" si="45"/>
        <v>-1.6213488830418431E-3</v>
      </c>
      <c r="AD170" s="47">
        <v>0</v>
      </c>
      <c r="AE170" s="37">
        <f t="shared" si="39"/>
        <v>279904.12795572937</v>
      </c>
      <c r="AF170" s="40">
        <f t="shared" si="46"/>
        <v>2.8869877076361572E-2</v>
      </c>
      <c r="AG170" s="1"/>
      <c r="AH170" s="1"/>
      <c r="AI170" s="1"/>
      <c r="AJ170" s="1"/>
      <c r="AK170" s="1"/>
      <c r="AL170" s="1"/>
    </row>
    <row r="171" spans="1:38" x14ac:dyDescent="0.35">
      <c r="A171" s="1"/>
      <c r="B171" s="11" t="s">
        <v>163</v>
      </c>
      <c r="C171" s="15">
        <v>-3.39E-2</v>
      </c>
      <c r="D171" s="38">
        <f t="shared" si="32"/>
        <v>0.24768237556702599</v>
      </c>
      <c r="E171" s="32">
        <f t="shared" si="47"/>
        <v>67603.844656761998</v>
      </c>
      <c r="F171" s="49">
        <v>38.090000000000003</v>
      </c>
      <c r="G171" s="19">
        <v>3.0000000000000001E-3</v>
      </c>
      <c r="H171" s="38">
        <f t="shared" si="33"/>
        <v>0.35999961254022184</v>
      </c>
      <c r="I171" s="32">
        <f t="shared" si="40"/>
        <v>98260.353918794135</v>
      </c>
      <c r="J171" s="49">
        <v>46382.82</v>
      </c>
      <c r="K171" s="17">
        <v>-4.82E-2</v>
      </c>
      <c r="L171" s="38">
        <f t="shared" si="34"/>
        <v>6.8324550691008318E-2</v>
      </c>
      <c r="M171" s="32">
        <f t="shared" si="41"/>
        <v>18648.89377204809</v>
      </c>
      <c r="N171" s="48">
        <v>-83841.88</v>
      </c>
      <c r="O171" s="15">
        <v>-3.1099999999999999E-2</v>
      </c>
      <c r="P171" s="38">
        <f t="shared" si="35"/>
        <v>0.1788481525877032</v>
      </c>
      <c r="Q171" s="31">
        <f t="shared" si="42"/>
        <v>48815.838014344394</v>
      </c>
      <c r="R171" s="49">
        <v>31404.51</v>
      </c>
      <c r="S171" s="17">
        <v>-4.0500000000000001E-2</v>
      </c>
      <c r="T171" s="38">
        <f t="shared" si="36"/>
        <v>2.9518839099281522E-2</v>
      </c>
      <c r="U171" s="31">
        <f t="shared" si="43"/>
        <v>8057.0408304072043</v>
      </c>
      <c r="V171" s="48">
        <v>-19090.12</v>
      </c>
      <c r="W171" s="24">
        <v>-6.0400000000000002E-2</v>
      </c>
      <c r="X171" s="38">
        <f t="shared" si="37"/>
        <v>0.11562647514368134</v>
      </c>
      <c r="Y171" s="31">
        <f t="shared" si="44"/>
        <v>31559.751661486553</v>
      </c>
      <c r="Z171" s="49">
        <v>25106.59</v>
      </c>
      <c r="AA171" s="27">
        <v>-5.2400000000000002E-2</v>
      </c>
      <c r="AB171" s="38">
        <f t="shared" si="38"/>
        <v>-5.628922095406424E-9</v>
      </c>
      <c r="AC171" s="31">
        <f t="shared" si="45"/>
        <v>-1.5363902015704505E-3</v>
      </c>
      <c r="AD171" s="47">
        <v>0</v>
      </c>
      <c r="AE171" s="37">
        <f t="shared" si="39"/>
        <v>272945.72131745215</v>
      </c>
      <c r="AF171" s="40">
        <f t="shared" si="46"/>
        <v>-2.4859964335280482E-2</v>
      </c>
      <c r="AG171" s="1"/>
      <c r="AH171" s="1"/>
      <c r="AI171" s="1"/>
      <c r="AJ171" s="1"/>
      <c r="AK171" s="1"/>
      <c r="AL171" s="1"/>
    </row>
    <row r="172" spans="1:38" x14ac:dyDescent="0.35">
      <c r="A172" s="1"/>
      <c r="B172" s="10" t="s">
        <v>164</v>
      </c>
      <c r="C172" s="20">
        <v>9.7000000000000003E-3</v>
      </c>
      <c r="D172" s="38">
        <f t="shared" si="32"/>
        <v>0.2432801828858244</v>
      </c>
      <c r="E172" s="32">
        <f t="shared" si="47"/>
        <v>68259.601949932592</v>
      </c>
      <c r="F172" s="47">
        <v>0</v>
      </c>
      <c r="G172" s="19">
        <v>3.2899999999999999E-2</v>
      </c>
      <c r="H172" s="38">
        <f t="shared" si="33"/>
        <v>0.36172588153945934</v>
      </c>
      <c r="I172" s="32">
        <f t="shared" si="40"/>
        <v>101493.11956272247</v>
      </c>
      <c r="J172" s="47">
        <v>0</v>
      </c>
      <c r="K172" s="17">
        <v>-3.5000000000000001E-3</v>
      </c>
      <c r="L172" s="38">
        <f t="shared" si="34"/>
        <v>6.6232837378572607E-2</v>
      </c>
      <c r="M172" s="32">
        <f t="shared" si="41"/>
        <v>18583.62264384592</v>
      </c>
      <c r="N172" s="47">
        <v>0</v>
      </c>
      <c r="O172" s="20">
        <v>5.0299999999999997E-2</v>
      </c>
      <c r="P172" s="38">
        <f t="shared" si="35"/>
        <v>0.18273304738571627</v>
      </c>
      <c r="Q172" s="31">
        <f t="shared" si="42"/>
        <v>51271.274666465913</v>
      </c>
      <c r="R172" s="47">
        <v>0</v>
      </c>
      <c r="S172" s="19">
        <v>6.4999999999999997E-3</v>
      </c>
      <c r="T172" s="38">
        <f t="shared" si="36"/>
        <v>2.8902294765370772E-2</v>
      </c>
      <c r="U172" s="31">
        <f t="shared" si="43"/>
        <v>8109.4115958048515</v>
      </c>
      <c r="V172" s="47">
        <v>0</v>
      </c>
      <c r="W172" s="25">
        <v>4.1300000000000003E-2</v>
      </c>
      <c r="X172" s="38">
        <f t="shared" si="37"/>
        <v>0.11712576157338549</v>
      </c>
      <c r="Y172" s="31">
        <f t="shared" si="44"/>
        <v>32863.169405105946</v>
      </c>
      <c r="Z172" s="47">
        <v>0</v>
      </c>
      <c r="AA172" s="26">
        <v>9.5999999999999992E-3</v>
      </c>
      <c r="AB172" s="38">
        <f t="shared" si="38"/>
        <v>-5.5283286456221727E-9</v>
      </c>
      <c r="AC172" s="31">
        <f t="shared" si="45"/>
        <v>-1.5511395475055268E-3</v>
      </c>
      <c r="AD172" s="47">
        <v>0</v>
      </c>
      <c r="AE172" s="37">
        <f t="shared" si="39"/>
        <v>280580.19827273808</v>
      </c>
      <c r="AF172" s="40">
        <f t="shared" si="46"/>
        <v>2.7970678266858062E-2</v>
      </c>
      <c r="AG172" s="1"/>
      <c r="AH172" s="1"/>
      <c r="AI172" s="1"/>
      <c r="AJ172" s="1"/>
      <c r="AK172" s="1"/>
      <c r="AL172" s="1"/>
    </row>
    <row r="173" spans="1:38" x14ac:dyDescent="0.35">
      <c r="A173" s="1"/>
      <c r="B173" s="11" t="s">
        <v>165</v>
      </c>
      <c r="C173" s="20">
        <v>2.64E-2</v>
      </c>
      <c r="D173" s="38">
        <f t="shared" si="32"/>
        <v>0.24807666489947872</v>
      </c>
      <c r="E173" s="32">
        <f t="shared" si="47"/>
        <v>70061.65544141081</v>
      </c>
      <c r="F173" s="47">
        <v>0</v>
      </c>
      <c r="G173" s="19">
        <v>6.4999999999999997E-3</v>
      </c>
      <c r="H173" s="38">
        <f t="shared" si="33"/>
        <v>0.36170615633725883</v>
      </c>
      <c r="I173" s="32">
        <f t="shared" si="40"/>
        <v>102152.82483988017</v>
      </c>
      <c r="J173" s="47">
        <v>0</v>
      </c>
      <c r="K173" s="19">
        <v>6.7900000000000002E-2</v>
      </c>
      <c r="L173" s="38">
        <f t="shared" si="34"/>
        <v>7.0269438718759153E-2</v>
      </c>
      <c r="M173" s="32">
        <f t="shared" si="41"/>
        <v>19845.450621363059</v>
      </c>
      <c r="N173" s="47">
        <v>0</v>
      </c>
      <c r="O173" s="15">
        <v>-2.4199999999999999E-2</v>
      </c>
      <c r="P173" s="38">
        <f t="shared" si="35"/>
        <v>0.17714971108027167</v>
      </c>
      <c r="Q173" s="31">
        <f t="shared" si="42"/>
        <v>50030.509819537438</v>
      </c>
      <c r="R173" s="47">
        <v>0</v>
      </c>
      <c r="S173" s="17">
        <v>-4.4000000000000003E-3</v>
      </c>
      <c r="T173" s="38">
        <f t="shared" si="36"/>
        <v>2.858773525861415E-2</v>
      </c>
      <c r="U173" s="31">
        <f t="shared" si="43"/>
        <v>8073.7301847833105</v>
      </c>
      <c r="V173" s="47">
        <v>0</v>
      </c>
      <c r="W173" s="24">
        <v>-1.8499999999999999E-2</v>
      </c>
      <c r="X173" s="38">
        <f t="shared" si="37"/>
        <v>0.11421029923639073</v>
      </c>
      <c r="Y173" s="31">
        <f t="shared" si="44"/>
        <v>32255.200771111486</v>
      </c>
      <c r="Z173" s="47">
        <v>0</v>
      </c>
      <c r="AA173" s="26">
        <v>7.0000000000000001E-3</v>
      </c>
      <c r="AB173" s="38">
        <f t="shared" si="38"/>
        <v>-5.5307733449586152E-9</v>
      </c>
      <c r="AC173" s="31">
        <f t="shared" si="45"/>
        <v>-1.5619975243380655E-3</v>
      </c>
      <c r="AD173" s="47">
        <v>0</v>
      </c>
      <c r="AE173" s="37">
        <f t="shared" si="39"/>
        <v>282419.37011608877</v>
      </c>
      <c r="AF173" s="40">
        <f t="shared" si="46"/>
        <v>6.5548882446897494E-3</v>
      </c>
      <c r="AG173" s="1"/>
      <c r="AH173" s="1"/>
      <c r="AI173" s="1"/>
      <c r="AJ173" s="1"/>
      <c r="AK173" s="1"/>
      <c r="AL173" s="1"/>
    </row>
    <row r="174" spans="1:38" x14ac:dyDescent="0.35">
      <c r="A174" s="1"/>
      <c r="B174" s="10" t="s">
        <v>166</v>
      </c>
      <c r="C174" s="20">
        <v>5.6399999999999999E-2</v>
      </c>
      <c r="D174" s="38">
        <f t="shared" si="32"/>
        <v>0.18169232794128612</v>
      </c>
      <c r="E174" s="32">
        <f t="shared" si="47"/>
        <v>53702.606820306377</v>
      </c>
      <c r="F174" s="48">
        <v>-19226.169999999998</v>
      </c>
      <c r="G174" s="19">
        <v>6.7400000000000002E-2</v>
      </c>
      <c r="H174" s="38">
        <f t="shared" si="33"/>
        <v>0.35696938243886084</v>
      </c>
      <c r="I174" s="32">
        <f t="shared" si="40"/>
        <v>105509.05813808809</v>
      </c>
      <c r="J174" s="48">
        <v>-3306.04</v>
      </c>
      <c r="K174" s="19">
        <v>4.1000000000000002E-2</v>
      </c>
      <c r="L174" s="38">
        <f t="shared" si="34"/>
        <v>0.2486717371694234</v>
      </c>
      <c r="M174" s="32">
        <f t="shared" si="41"/>
        <v>73499.639086838943</v>
      </c>
      <c r="N174" s="49">
        <v>50759.39</v>
      </c>
      <c r="O174" s="20">
        <v>2.6100000000000002E-2</v>
      </c>
      <c r="P174" s="38">
        <f t="shared" si="35"/>
        <v>6.8631503870000457E-2</v>
      </c>
      <c r="Q174" s="31">
        <f t="shared" si="42"/>
        <v>20285.340110827361</v>
      </c>
      <c r="R174" s="48">
        <v>-30261.15</v>
      </c>
      <c r="S174" s="19">
        <v>2.24E-2</v>
      </c>
      <c r="T174" s="38">
        <f t="shared" si="36"/>
        <v>2.930743093756253E-2</v>
      </c>
      <c r="U174" s="31">
        <f t="shared" si="43"/>
        <v>8662.3659809224573</v>
      </c>
      <c r="V174" s="49">
        <v>398.85</v>
      </c>
      <c r="W174" s="25">
        <v>3.1E-2</v>
      </c>
      <c r="X174" s="38">
        <f t="shared" si="37"/>
        <v>0.11472762310461966</v>
      </c>
      <c r="Y174" s="31">
        <f t="shared" si="44"/>
        <v>33909.920715015942</v>
      </c>
      <c r="Z174" s="49">
        <v>635.12</v>
      </c>
      <c r="AA174" s="26">
        <v>3.3500000000000002E-2</v>
      </c>
      <c r="AB174" s="38">
        <f t="shared" si="38"/>
        <v>-5.4617528492153193E-9</v>
      </c>
      <c r="AC174" s="31">
        <f t="shared" si="45"/>
        <v>-1.6143244414033907E-3</v>
      </c>
      <c r="AD174" s="47">
        <v>0</v>
      </c>
      <c r="AE174" s="37">
        <f t="shared" si="39"/>
        <v>295568.92923767469</v>
      </c>
      <c r="AF174" s="40">
        <f t="shared" si="46"/>
        <v>4.6560400995798501E-2</v>
      </c>
      <c r="AG174" s="1"/>
      <c r="AH174" s="1"/>
      <c r="AI174" s="1"/>
      <c r="AJ174" s="1"/>
      <c r="AK174" s="1"/>
      <c r="AL174" s="1"/>
    </row>
    <row r="175" spans="1:38" x14ac:dyDescent="0.35">
      <c r="A175" s="1"/>
      <c r="B175" s="11" t="s">
        <v>167</v>
      </c>
      <c r="C175" s="20">
        <v>1.47E-2</v>
      </c>
      <c r="D175" s="38">
        <f t="shared" si="32"/>
        <v>0.18445922103640727</v>
      </c>
      <c r="E175" s="32">
        <f t="shared" si="47"/>
        <v>54492.035140564883</v>
      </c>
      <c r="F175" s="47">
        <v>0</v>
      </c>
      <c r="G175" s="17">
        <v>-1.6799999999999999E-2</v>
      </c>
      <c r="H175" s="38">
        <f t="shared" si="33"/>
        <v>0.35115508226684</v>
      </c>
      <c r="I175" s="32">
        <f t="shared" si="40"/>
        <v>103736.50596136821</v>
      </c>
      <c r="J175" s="47">
        <v>0</v>
      </c>
      <c r="K175" s="19">
        <v>1.6E-2</v>
      </c>
      <c r="L175" s="38">
        <f t="shared" si="34"/>
        <v>0.2527820646749887</v>
      </c>
      <c r="M175" s="32">
        <f t="shared" si="41"/>
        <v>74675.633312228369</v>
      </c>
      <c r="N175" s="47">
        <v>0</v>
      </c>
      <c r="O175" s="15">
        <v>-9.9000000000000008E-3</v>
      </c>
      <c r="P175" s="38">
        <f t="shared" si="35"/>
        <v>6.7987441232386855E-2</v>
      </c>
      <c r="Q175" s="31">
        <f t="shared" si="42"/>
        <v>20084.515243730169</v>
      </c>
      <c r="R175" s="47">
        <v>0</v>
      </c>
      <c r="S175" s="19">
        <v>1.3299999999999999E-2</v>
      </c>
      <c r="T175" s="38">
        <f t="shared" si="36"/>
        <v>2.9712686003308082E-2</v>
      </c>
      <c r="U175" s="31">
        <f t="shared" si="43"/>
        <v>8777.5754484687259</v>
      </c>
      <c r="V175" s="47">
        <v>0</v>
      </c>
      <c r="W175" s="24">
        <v>-7.7000000000000002E-3</v>
      </c>
      <c r="X175" s="38">
        <f t="shared" si="37"/>
        <v>0.11390351017853347</v>
      </c>
      <c r="Y175" s="31">
        <f t="shared" si="44"/>
        <v>33648.81432551032</v>
      </c>
      <c r="Z175" s="47">
        <v>0</v>
      </c>
      <c r="AA175" s="27">
        <v>-1.32E-2</v>
      </c>
      <c r="AB175" s="38">
        <f t="shared" si="38"/>
        <v>-5.3924646312258734E-9</v>
      </c>
      <c r="AC175" s="31">
        <f t="shared" si="45"/>
        <v>-1.593015358776866E-3</v>
      </c>
      <c r="AD175" s="47">
        <v>0</v>
      </c>
      <c r="AE175" s="37">
        <f t="shared" si="39"/>
        <v>295415.07783885539</v>
      </c>
      <c r="AF175" s="40">
        <f t="shared" si="46"/>
        <v>-5.2052629217869129E-4</v>
      </c>
      <c r="AG175" s="1"/>
      <c r="AH175" s="1"/>
      <c r="AI175" s="1"/>
      <c r="AJ175" s="1"/>
      <c r="AK175" s="1"/>
      <c r="AL175" s="1"/>
    </row>
    <row r="176" spans="1:38" x14ac:dyDescent="0.35">
      <c r="A176" s="1"/>
      <c r="B176" s="10" t="s">
        <v>168</v>
      </c>
      <c r="C176" s="20">
        <v>3.04E-2</v>
      </c>
      <c r="D176" s="38">
        <f t="shared" si="32"/>
        <v>0.18438984872275532</v>
      </c>
      <c r="E176" s="32">
        <f t="shared" si="47"/>
        <v>56148.593008838056</v>
      </c>
      <c r="F176" s="47">
        <v>0</v>
      </c>
      <c r="G176" s="19">
        <v>4.2900000000000001E-2</v>
      </c>
      <c r="H176" s="38">
        <f t="shared" si="33"/>
        <v>0.3552813525320796</v>
      </c>
      <c r="I176" s="32">
        <f t="shared" si="40"/>
        <v>108186.80206711091</v>
      </c>
      <c r="J176" s="47">
        <v>0</v>
      </c>
      <c r="K176" s="19">
        <v>1.2500000000000001E-2</v>
      </c>
      <c r="L176" s="38">
        <f t="shared" si="34"/>
        <v>0.24829734534300341</v>
      </c>
      <c r="M176" s="32">
        <f t="shared" si="41"/>
        <v>75609.078728631226</v>
      </c>
      <c r="N176" s="47">
        <v>0</v>
      </c>
      <c r="O176" s="20">
        <v>4.2900000000000001E-2</v>
      </c>
      <c r="P176" s="38">
        <f t="shared" si="35"/>
        <v>6.8786332011230106E-2</v>
      </c>
      <c r="Q176" s="31">
        <f t="shared" si="42"/>
        <v>20946.140947686195</v>
      </c>
      <c r="R176" s="47">
        <v>0</v>
      </c>
      <c r="S176" s="19">
        <v>3.3E-3</v>
      </c>
      <c r="T176" s="38">
        <f t="shared" si="36"/>
        <v>2.8920347924125827E-2</v>
      </c>
      <c r="U176" s="31">
        <f t="shared" si="43"/>
        <v>8806.5414474486734</v>
      </c>
      <c r="V176" s="47">
        <v>0</v>
      </c>
      <c r="W176" s="25">
        <v>3.4599999999999999E-2</v>
      </c>
      <c r="X176" s="38">
        <f t="shared" si="37"/>
        <v>0.11432477880022002</v>
      </c>
      <c r="Y176" s="31">
        <f t="shared" si="44"/>
        <v>34813.063301172981</v>
      </c>
      <c r="Z176" s="47">
        <v>0</v>
      </c>
      <c r="AA176" s="26">
        <v>1.95E-2</v>
      </c>
      <c r="AB176" s="38">
        <f t="shared" si="38"/>
        <v>-5.3334143254596608E-9</v>
      </c>
      <c r="AC176" s="31">
        <f t="shared" si="45"/>
        <v>-1.624079158273015E-3</v>
      </c>
      <c r="AD176" s="47">
        <v>0</v>
      </c>
      <c r="AE176" s="37">
        <f t="shared" si="39"/>
        <v>304510.21787680889</v>
      </c>
      <c r="AF176" s="40">
        <f t="shared" si="46"/>
        <v>3.0787663596895998E-2</v>
      </c>
      <c r="AG176" s="1"/>
      <c r="AH176" s="1"/>
      <c r="AI176" s="1"/>
      <c r="AJ176" s="1"/>
      <c r="AK176" s="1"/>
      <c r="AL176" s="1"/>
    </row>
    <row r="177" spans="1:38" x14ac:dyDescent="0.35">
      <c r="A177" s="1"/>
      <c r="B177" s="9" t="s">
        <v>169</v>
      </c>
      <c r="C177" s="20">
        <v>1.44E-2</v>
      </c>
      <c r="D177" s="38">
        <f t="shared" si="32"/>
        <v>0.23889274742900865</v>
      </c>
      <c r="E177" s="32">
        <f t="shared" si="47"/>
        <v>76403.616940165317</v>
      </c>
      <c r="F177" s="49">
        <v>19170.43</v>
      </c>
      <c r="G177" s="19">
        <v>4.0099999999999997E-2</v>
      </c>
      <c r="H177" s="38">
        <f t="shared" si="33"/>
        <v>0.34660440754201305</v>
      </c>
      <c r="I177" s="32">
        <f t="shared" si="40"/>
        <v>110852.38320800205</v>
      </c>
      <c r="J177" s="48">
        <v>-1608.22</v>
      </c>
      <c r="K177" s="17">
        <v>-1.4999999999999999E-2</v>
      </c>
      <c r="L177" s="38">
        <f t="shared" si="34"/>
        <v>0.16881057469355679</v>
      </c>
      <c r="M177" s="32">
        <f t="shared" si="41"/>
        <v>53989.661147701758</v>
      </c>
      <c r="N177" s="48">
        <v>-20797.240000000002</v>
      </c>
      <c r="O177" s="15">
        <v>-8.6999999999999994E-3</v>
      </c>
      <c r="P177" s="38">
        <f t="shared" si="35"/>
        <v>0.11326020046046306</v>
      </c>
      <c r="Q177" s="31">
        <f t="shared" si="42"/>
        <v>36223.322238441324</v>
      </c>
      <c r="R177" s="49">
        <v>15595.09</v>
      </c>
      <c r="S177" s="17">
        <v>-8.0399999999999999E-2</v>
      </c>
      <c r="T177" s="38">
        <f t="shared" si="36"/>
        <v>2.6267054032117262E-2</v>
      </c>
      <c r="U177" s="31">
        <f t="shared" si="43"/>
        <v>8400.8324070737999</v>
      </c>
      <c r="V177" s="49">
        <v>328.77</v>
      </c>
      <c r="W177" s="24">
        <v>-7.0800000000000002E-2</v>
      </c>
      <c r="X177" s="38">
        <f t="shared" si="37"/>
        <v>0.10616502072639343</v>
      </c>
      <c r="Y177" s="31">
        <f t="shared" si="44"/>
        <v>33954.113983449934</v>
      </c>
      <c r="Z177" s="49">
        <v>1728.17</v>
      </c>
      <c r="AA177" s="27">
        <v>-3.8300000000000001E-2</v>
      </c>
      <c r="AB177" s="38">
        <f t="shared" si="38"/>
        <v>-4.8835524424508889E-9</v>
      </c>
      <c r="AC177" s="31">
        <f t="shared" si="45"/>
        <v>-1.5618769265111584E-3</v>
      </c>
      <c r="AD177" s="47">
        <v>0</v>
      </c>
      <c r="AE177" s="37">
        <f t="shared" si="39"/>
        <v>319823.92836295732</v>
      </c>
      <c r="AF177" s="40">
        <f t="shared" si="46"/>
        <v>5.0289644114154708E-2</v>
      </c>
      <c r="AG177" s="1"/>
      <c r="AH177" s="1"/>
      <c r="AI177" s="1"/>
      <c r="AJ177" s="1"/>
      <c r="AK177" s="1"/>
      <c r="AL177" s="1"/>
    </row>
    <row r="178" spans="1:38" x14ac:dyDescent="0.35">
      <c r="A178" s="1"/>
      <c r="B178" s="10" t="s">
        <v>170</v>
      </c>
      <c r="C178" s="15">
        <v>-1.78E-2</v>
      </c>
      <c r="D178" s="38">
        <f t="shared" si="32"/>
        <v>0.24012232787403015</v>
      </c>
      <c r="E178" s="32">
        <f t="shared" si="47"/>
        <v>75043.632558630372</v>
      </c>
      <c r="F178" s="47">
        <v>0</v>
      </c>
      <c r="G178" s="17">
        <v>-3.8199999999999998E-2</v>
      </c>
      <c r="H178" s="38">
        <f t="shared" si="33"/>
        <v>0.34115245730125532</v>
      </c>
      <c r="I178" s="32">
        <f t="shared" si="40"/>
        <v>106617.82216945637</v>
      </c>
      <c r="J178" s="47">
        <v>0</v>
      </c>
      <c r="K178" s="17">
        <v>-1.72E-2</v>
      </c>
      <c r="L178" s="38">
        <f t="shared" si="34"/>
        <v>0.16978309503298661</v>
      </c>
      <c r="M178" s="32">
        <f t="shared" si="41"/>
        <v>53061.038975961288</v>
      </c>
      <c r="N178" s="47">
        <v>0</v>
      </c>
      <c r="O178" s="20">
        <v>2E-3</v>
      </c>
      <c r="P178" s="38">
        <f t="shared" si="35"/>
        <v>0.11613809485215</v>
      </c>
      <c r="Q178" s="31">
        <f t="shared" si="42"/>
        <v>36295.768882918208</v>
      </c>
      <c r="R178" s="47">
        <v>0</v>
      </c>
      <c r="S178" s="17">
        <v>-5.6399999999999999E-2</v>
      </c>
      <c r="T178" s="38">
        <f t="shared" si="36"/>
        <v>2.536465442181577E-2</v>
      </c>
      <c r="U178" s="31">
        <f t="shared" si="43"/>
        <v>7927.0254593148375</v>
      </c>
      <c r="V178" s="47">
        <v>0</v>
      </c>
      <c r="W178" s="24">
        <v>-1.11E-2</v>
      </c>
      <c r="X178" s="38">
        <f t="shared" si="37"/>
        <v>0.10743937562485689</v>
      </c>
      <c r="Y178" s="31">
        <f t="shared" si="44"/>
        <v>33577.223318233642</v>
      </c>
      <c r="Z178" s="47">
        <v>0</v>
      </c>
      <c r="AA178" s="26">
        <v>2.1899999999999999E-2</v>
      </c>
      <c r="AB178" s="38">
        <f t="shared" si="38"/>
        <v>-5.1070946293897009E-9</v>
      </c>
      <c r="AC178" s="31">
        <f t="shared" si="45"/>
        <v>-1.5960820312017527E-3</v>
      </c>
      <c r="AD178" s="47">
        <v>0</v>
      </c>
      <c r="AE178" s="37">
        <f t="shared" si="39"/>
        <v>312522.50976843265</v>
      </c>
      <c r="AF178" s="40">
        <f t="shared" si="46"/>
        <v>-2.2829494440574027E-2</v>
      </c>
      <c r="AG178" s="1"/>
      <c r="AH178" s="1"/>
      <c r="AI178" s="1"/>
      <c r="AJ178" s="1"/>
      <c r="AK178" s="1"/>
      <c r="AL178" s="1"/>
    </row>
    <row r="179" spans="1:38" x14ac:dyDescent="0.35">
      <c r="A179" s="1"/>
      <c r="B179" s="11" t="s">
        <v>171</v>
      </c>
      <c r="C179" s="15">
        <v>-6.1000000000000004E-3</v>
      </c>
      <c r="D179" s="38">
        <f t="shared" si="32"/>
        <v>0.23338604617445499</v>
      </c>
      <c r="E179" s="32">
        <f t="shared" si="47"/>
        <v>74585.866400022729</v>
      </c>
      <c r="F179" s="47">
        <v>0</v>
      </c>
      <c r="G179" s="19">
        <v>2.6800000000000001E-2</v>
      </c>
      <c r="H179" s="38">
        <f t="shared" si="33"/>
        <v>0.34255792151784203</v>
      </c>
      <c r="I179" s="32">
        <f t="shared" si="40"/>
        <v>109475.1798035978</v>
      </c>
      <c r="J179" s="47">
        <v>0</v>
      </c>
      <c r="K179" s="19">
        <v>3.1399999999999997E-2</v>
      </c>
      <c r="L179" s="38">
        <f t="shared" si="34"/>
        <v>0.17124631086686853</v>
      </c>
      <c r="M179" s="32">
        <f t="shared" si="41"/>
        <v>54727.155599806472</v>
      </c>
      <c r="N179" s="47">
        <v>0</v>
      </c>
      <c r="O179" s="20">
        <v>2.6599999999999999E-2</v>
      </c>
      <c r="P179" s="38">
        <f t="shared" si="35"/>
        <v>0.11659384067760203</v>
      </c>
      <c r="Q179" s="31">
        <f t="shared" si="42"/>
        <v>37261.23633520383</v>
      </c>
      <c r="R179" s="47">
        <v>0</v>
      </c>
      <c r="S179" s="19">
        <v>5.0799999999999998E-2</v>
      </c>
      <c r="T179" s="38">
        <f t="shared" si="36"/>
        <v>2.6064455987478159E-2</v>
      </c>
      <c r="U179" s="31">
        <f t="shared" si="43"/>
        <v>8329.7183526480312</v>
      </c>
      <c r="V179" s="47">
        <v>0</v>
      </c>
      <c r="W179" s="25">
        <v>4.8399999999999999E-2</v>
      </c>
      <c r="X179" s="38">
        <f t="shared" si="37"/>
        <v>0.11015142987891748</v>
      </c>
      <c r="Y179" s="31">
        <f t="shared" si="44"/>
        <v>35202.360926836147</v>
      </c>
      <c r="Z179" s="47">
        <v>0</v>
      </c>
      <c r="AA179" s="26">
        <v>2.18E-2</v>
      </c>
      <c r="AB179" s="38">
        <f t="shared" si="38"/>
        <v>-5.1031631646922548E-9</v>
      </c>
      <c r="AC179" s="31">
        <f t="shared" si="45"/>
        <v>-1.630876619481951E-3</v>
      </c>
      <c r="AD179" s="47">
        <v>0</v>
      </c>
      <c r="AE179" s="37">
        <f t="shared" si="39"/>
        <v>319581.51578723837</v>
      </c>
      <c r="AF179" s="40">
        <f t="shared" si="46"/>
        <v>2.2587192276281698E-2</v>
      </c>
      <c r="AG179" s="1"/>
      <c r="AH179" s="1"/>
      <c r="AI179" s="1"/>
      <c r="AJ179" s="1"/>
      <c r="AK179" s="1"/>
      <c r="AL179" s="1"/>
    </row>
    <row r="180" spans="1:38" x14ac:dyDescent="0.35">
      <c r="A180" s="1"/>
      <c r="B180" s="10" t="s">
        <v>172</v>
      </c>
      <c r="C180" s="20">
        <v>4.3499999999999997E-2</v>
      </c>
      <c r="D180" s="38">
        <f t="shared" si="32"/>
        <v>0.25338346449694005</v>
      </c>
      <c r="E180" s="32">
        <f t="shared" si="47"/>
        <v>83370.825273423718</v>
      </c>
      <c r="F180" s="49">
        <v>5309.51</v>
      </c>
      <c r="G180" s="19">
        <v>1.1299999999999999E-2</v>
      </c>
      <c r="H180" s="38">
        <f t="shared" si="33"/>
        <v>0.34379049911275977</v>
      </c>
      <c r="I180" s="32">
        <f t="shared" si="40"/>
        <v>113117.47469037845</v>
      </c>
      <c r="J180" s="49">
        <v>2378.35</v>
      </c>
      <c r="K180" s="19">
        <v>5.0900000000000001E-2</v>
      </c>
      <c r="L180" s="38">
        <f t="shared" si="34"/>
        <v>0.12248654610267029</v>
      </c>
      <c r="M180" s="32">
        <f t="shared" si="41"/>
        <v>40301.779177836623</v>
      </c>
      <c r="N180" s="48">
        <v>-16377.38</v>
      </c>
      <c r="O180" s="20">
        <v>3.32E-2</v>
      </c>
      <c r="P180" s="38">
        <f t="shared" si="35"/>
        <v>0.18063532099815419</v>
      </c>
      <c r="Q180" s="31">
        <f t="shared" si="42"/>
        <v>59434.4852575326</v>
      </c>
      <c r="R180" s="49">
        <v>20263.43</v>
      </c>
      <c r="S180" s="19">
        <v>4.9200000000000001E-2</v>
      </c>
      <c r="T180" s="38">
        <f t="shared" si="36"/>
        <v>3.0572115295498706E-2</v>
      </c>
      <c r="U180" s="31">
        <f t="shared" si="43"/>
        <v>10059.150811598314</v>
      </c>
      <c r="V180" s="49">
        <v>1257.73</v>
      </c>
      <c r="W180" s="25">
        <v>1.6799999999999999E-2</v>
      </c>
      <c r="X180" s="38">
        <f t="shared" si="37"/>
        <v>6.913205915133612E-2</v>
      </c>
      <c r="Y180" s="31">
        <f t="shared" si="44"/>
        <v>22746.538870406992</v>
      </c>
      <c r="Z180" s="48">
        <v>-12831.65</v>
      </c>
      <c r="AA180" s="26">
        <v>4.0500000000000001E-2</v>
      </c>
      <c r="AB180" s="38">
        <f t="shared" si="38"/>
        <v>-5.1573589670692571E-9</v>
      </c>
      <c r="AC180" s="31">
        <f t="shared" si="45"/>
        <v>-1.6969271225709701E-3</v>
      </c>
      <c r="AD180" s="47">
        <v>0</v>
      </c>
      <c r="AE180" s="37">
        <f t="shared" si="39"/>
        <v>329030.25238424953</v>
      </c>
      <c r="AF180" s="40">
        <f t="shared" si="46"/>
        <v>2.9565967148430738E-2</v>
      </c>
      <c r="AG180" s="1"/>
      <c r="AH180" s="1"/>
      <c r="AI180" s="1"/>
      <c r="AJ180" s="1"/>
      <c r="AK180" s="1"/>
      <c r="AL180" s="1"/>
    </row>
    <row r="181" spans="1:38" x14ac:dyDescent="0.35">
      <c r="A181" s="1"/>
      <c r="B181" s="11" t="s">
        <v>173</v>
      </c>
      <c r="C181" s="20">
        <v>0.1012</v>
      </c>
      <c r="D181" s="38">
        <f t="shared" si="32"/>
        <v>0.25784456649102955</v>
      </c>
      <c r="E181" s="32">
        <f t="shared" si="47"/>
        <v>91807.952791094198</v>
      </c>
      <c r="F181" s="47">
        <v>0</v>
      </c>
      <c r="G181" s="19">
        <v>4.9599999999999998E-2</v>
      </c>
      <c r="H181" s="38">
        <f t="shared" si="33"/>
        <v>0.33345037019261009</v>
      </c>
      <c r="I181" s="32">
        <f t="shared" si="40"/>
        <v>118728.10143502122</v>
      </c>
      <c r="J181" s="47">
        <v>0</v>
      </c>
      <c r="K181" s="19">
        <v>0.14430000000000001</v>
      </c>
      <c r="L181" s="38">
        <f t="shared" si="34"/>
        <v>0.12952147985340623</v>
      </c>
      <c r="M181" s="32">
        <f t="shared" si="41"/>
        <v>46117.325913198445</v>
      </c>
      <c r="N181" s="47">
        <v>0</v>
      </c>
      <c r="O181" s="20">
        <v>6.3500000000000001E-2</v>
      </c>
      <c r="P181" s="38">
        <f t="shared" si="35"/>
        <v>0.17752261260941854</v>
      </c>
      <c r="Q181" s="31">
        <f t="shared" si="42"/>
        <v>63208.575071385923</v>
      </c>
      <c r="R181" s="47">
        <v>0</v>
      </c>
      <c r="S181" s="19">
        <v>0.1176</v>
      </c>
      <c r="T181" s="38">
        <f t="shared" si="36"/>
        <v>3.1573693825869692E-2</v>
      </c>
      <c r="U181" s="31">
        <f t="shared" si="43"/>
        <v>11242.106947042275</v>
      </c>
      <c r="V181" s="47">
        <v>0</v>
      </c>
      <c r="W181" s="25">
        <v>9.7100000000000006E-2</v>
      </c>
      <c r="X181" s="38">
        <f t="shared" si="37"/>
        <v>7.0087282166687845E-2</v>
      </c>
      <c r="Y181" s="31">
        <f t="shared" si="44"/>
        <v>24955.227794723512</v>
      </c>
      <c r="Z181" s="47">
        <v>0</v>
      </c>
      <c r="AA181" s="26">
        <v>7.8299999999999995E-2</v>
      </c>
      <c r="AB181" s="38">
        <f t="shared" si="38"/>
        <v>-5.139022003655408E-9</v>
      </c>
      <c r="AC181" s="31">
        <f t="shared" si="45"/>
        <v>-1.8297965162682771E-3</v>
      </c>
      <c r="AD181" s="47">
        <v>0</v>
      </c>
      <c r="AE181" s="37">
        <f t="shared" si="39"/>
        <v>356059.2881226691</v>
      </c>
      <c r="AF181" s="40">
        <f t="shared" si="46"/>
        <v>8.2147570147605764E-2</v>
      </c>
      <c r="AG181" s="1"/>
      <c r="AH181" s="1"/>
      <c r="AI181" s="1"/>
      <c r="AJ181" s="1"/>
      <c r="AK181" s="1"/>
      <c r="AL181" s="1"/>
    </row>
    <row r="182" spans="1:38" x14ac:dyDescent="0.35">
      <c r="A182" s="1"/>
      <c r="B182" s="10" t="s">
        <v>174</v>
      </c>
      <c r="C182" s="20">
        <v>4.1799999999999997E-2</v>
      </c>
      <c r="D182" s="38">
        <f t="shared" si="32"/>
        <v>0.26440633875535652</v>
      </c>
      <c r="E182" s="32">
        <f t="shared" si="47"/>
        <v>95645.52521776194</v>
      </c>
      <c r="F182" s="47">
        <v>0</v>
      </c>
      <c r="G182" s="17">
        <v>-1.6799999999999999E-2</v>
      </c>
      <c r="H182" s="38">
        <f t="shared" si="33"/>
        <v>0.32270270005549134</v>
      </c>
      <c r="I182" s="32">
        <f t="shared" si="40"/>
        <v>116733.46933091286</v>
      </c>
      <c r="J182" s="47">
        <v>0</v>
      </c>
      <c r="K182" s="19">
        <v>4.3200000000000002E-2</v>
      </c>
      <c r="L182" s="38">
        <f t="shared" si="34"/>
        <v>0.13299609870303877</v>
      </c>
      <c r="M182" s="32">
        <f t="shared" si="41"/>
        <v>48109.594392648622</v>
      </c>
      <c r="N182" s="47">
        <v>0</v>
      </c>
      <c r="O182" s="20">
        <v>4.0000000000000002E-4</v>
      </c>
      <c r="P182" s="38">
        <f t="shared" si="35"/>
        <v>0.17480622301636312</v>
      </c>
      <c r="Q182" s="31">
        <f t="shared" si="42"/>
        <v>63233.858501414477</v>
      </c>
      <c r="R182" s="47">
        <v>0</v>
      </c>
      <c r="S182" s="19">
        <v>7.0400000000000004E-2</v>
      </c>
      <c r="T182" s="38">
        <f t="shared" si="36"/>
        <v>3.326603338627801E-2</v>
      </c>
      <c r="U182" s="31">
        <f t="shared" si="43"/>
        <v>12033.551276114051</v>
      </c>
      <c r="V182" s="47">
        <v>0</v>
      </c>
      <c r="W182" s="25">
        <v>4.1099999999999998E-2</v>
      </c>
      <c r="X182" s="38">
        <f t="shared" si="37"/>
        <v>7.1822611328489036E-2</v>
      </c>
      <c r="Y182" s="31">
        <f t="shared" si="44"/>
        <v>25980.887657086649</v>
      </c>
      <c r="Z182" s="47">
        <v>0</v>
      </c>
      <c r="AA182" s="26">
        <v>3.6900000000000002E-2</v>
      </c>
      <c r="AB182" s="38">
        <f t="shared" si="38"/>
        <v>-5.2450167210711997E-9</v>
      </c>
      <c r="AC182" s="31">
        <f t="shared" si="45"/>
        <v>-1.8973160077185764E-3</v>
      </c>
      <c r="AD182" s="47">
        <v>0</v>
      </c>
      <c r="AE182" s="37">
        <f t="shared" si="39"/>
        <v>361736.88447862258</v>
      </c>
      <c r="AF182" s="40">
        <f t="shared" si="46"/>
        <v>1.5945648787562217E-2</v>
      </c>
      <c r="AG182" s="1"/>
      <c r="AH182" s="1"/>
      <c r="AI182" s="1"/>
      <c r="AJ182" s="1"/>
      <c r="AK182" s="1"/>
      <c r="AL182" s="1"/>
    </row>
    <row r="183" spans="1:38" x14ac:dyDescent="0.35">
      <c r="A183" s="1"/>
      <c r="B183" s="11" t="s">
        <v>175</v>
      </c>
      <c r="C183" s="20">
        <v>0</v>
      </c>
      <c r="D183" s="38">
        <f t="shared" si="32"/>
        <v>0.25600719247171783</v>
      </c>
      <c r="E183" s="32">
        <f t="shared" si="47"/>
        <v>90434.215217761943</v>
      </c>
      <c r="F183" s="48">
        <v>-5211.3100000000004</v>
      </c>
      <c r="G183" s="17">
        <v>-6.9999999999999999E-4</v>
      </c>
      <c r="H183" s="38">
        <f t="shared" si="33"/>
        <v>3.0699368407061819E-2</v>
      </c>
      <c r="I183" s="32">
        <f t="shared" si="40"/>
        <v>10844.512854381217</v>
      </c>
      <c r="J183" s="48">
        <v>-105881.36</v>
      </c>
      <c r="K183" s="17">
        <v>-2.24E-2</v>
      </c>
      <c r="L183" s="38">
        <f t="shared" si="34"/>
        <v>0.35038172012434082</v>
      </c>
      <c r="M183" s="32">
        <f t="shared" si="41"/>
        <v>123771.8971102533</v>
      </c>
      <c r="N183" s="49">
        <v>78498.320000000007</v>
      </c>
      <c r="O183" s="15">
        <v>-5.6899999999999999E-2</v>
      </c>
      <c r="P183" s="38">
        <f t="shared" si="35"/>
        <v>0.11589139782023973</v>
      </c>
      <c r="Q183" s="31">
        <f t="shared" si="42"/>
        <v>40938.488919683994</v>
      </c>
      <c r="R183" s="48">
        <v>-19825.43</v>
      </c>
      <c r="S183" s="17">
        <v>-2.9000000000000001E-2</v>
      </c>
      <c r="T183" s="38">
        <f t="shared" si="36"/>
        <v>0.17897976577120839</v>
      </c>
      <c r="U183" s="31">
        <f t="shared" si="43"/>
        <v>63224.374679106739</v>
      </c>
      <c r="V183" s="49">
        <v>53079.09</v>
      </c>
      <c r="W183" s="24">
        <v>-5.0799999999999998E-2</v>
      </c>
      <c r="X183" s="38">
        <f t="shared" si="37"/>
        <v>6.8040560589567381E-2</v>
      </c>
      <c r="Y183" s="31">
        <f t="shared" si="44"/>
        <v>24035.241512106644</v>
      </c>
      <c r="Z183" s="48">
        <v>-659.31</v>
      </c>
      <c r="AA183" s="27">
        <v>-3.4799999999999998E-2</v>
      </c>
      <c r="AB183" s="38">
        <f t="shared" si="38"/>
        <v>-5.184135888112459E-9</v>
      </c>
      <c r="AC183" s="31">
        <f t="shared" si="45"/>
        <v>-1.83128941064997E-3</v>
      </c>
      <c r="AD183" s="47">
        <v>0</v>
      </c>
      <c r="AE183" s="37">
        <f t="shared" si="39"/>
        <v>353248.72846200439</v>
      </c>
      <c r="AF183" s="40">
        <f t="shared" si="46"/>
        <v>-2.3465000061722474E-2</v>
      </c>
      <c r="AG183" s="1"/>
      <c r="AH183" s="1"/>
      <c r="AI183" s="1"/>
      <c r="AJ183" s="1"/>
      <c r="AK183" s="1"/>
      <c r="AL183" s="1"/>
    </row>
    <row r="184" spans="1:38" x14ac:dyDescent="0.35">
      <c r="A184" s="1"/>
      <c r="B184" s="10" t="s">
        <v>176</v>
      </c>
      <c r="C184" s="20">
        <v>0.14710000000000001</v>
      </c>
      <c r="D184" s="38">
        <f t="shared" si="32"/>
        <v>0.25733560475352329</v>
      </c>
      <c r="E184" s="32">
        <f t="shared" si="47"/>
        <v>103737.08827629473</v>
      </c>
      <c r="F184" s="47">
        <v>0</v>
      </c>
      <c r="G184" s="19">
        <v>7.1499999999999994E-2</v>
      </c>
      <c r="H184" s="38">
        <f t="shared" si="33"/>
        <v>2.8824915865583219E-2</v>
      </c>
      <c r="I184" s="32">
        <f t="shared" si="40"/>
        <v>11619.895523469473</v>
      </c>
      <c r="J184" s="47">
        <v>0</v>
      </c>
      <c r="K184" s="19">
        <v>0.16139999999999999</v>
      </c>
      <c r="L184" s="38">
        <f t="shared" si="34"/>
        <v>0.3565904388729631</v>
      </c>
      <c r="M184" s="32">
        <f t="shared" si="41"/>
        <v>143748.68130384816</v>
      </c>
      <c r="N184" s="47">
        <v>0</v>
      </c>
      <c r="O184" s="20">
        <v>9.3200000000000005E-2</v>
      </c>
      <c r="P184" s="38">
        <f t="shared" si="35"/>
        <v>0.11101898603599163</v>
      </c>
      <c r="Q184" s="31">
        <f t="shared" si="42"/>
        <v>44753.956086998543</v>
      </c>
      <c r="R184" s="47">
        <v>0</v>
      </c>
      <c r="S184" s="19">
        <v>0.1421</v>
      </c>
      <c r="T184" s="38">
        <f t="shared" si="36"/>
        <v>0.17912429713108488</v>
      </c>
      <c r="U184" s="31">
        <f t="shared" si="43"/>
        <v>72208.558321007804</v>
      </c>
      <c r="V184" s="47">
        <v>0</v>
      </c>
      <c r="W184" s="25">
        <v>0.1255</v>
      </c>
      <c r="X184" s="38">
        <f t="shared" si="37"/>
        <v>6.7105762399252131E-2</v>
      </c>
      <c r="Y184" s="31">
        <f t="shared" si="44"/>
        <v>27051.664321876029</v>
      </c>
      <c r="Z184" s="47">
        <v>0</v>
      </c>
      <c r="AA184" s="26">
        <v>0.1135</v>
      </c>
      <c r="AB184" s="38">
        <f t="shared" si="38"/>
        <v>-5.0583983901218655E-9</v>
      </c>
      <c r="AC184" s="31">
        <f t="shared" si="45"/>
        <v>-2.0391407587587417E-3</v>
      </c>
      <c r="AD184" s="47">
        <v>0</v>
      </c>
      <c r="AE184" s="37">
        <f t="shared" si="39"/>
        <v>403119.84179435403</v>
      </c>
      <c r="AF184" s="40">
        <f t="shared" si="46"/>
        <v>0.14117846524028965</v>
      </c>
      <c r="AG184" s="1"/>
      <c r="AH184" s="1"/>
      <c r="AI184" s="1"/>
      <c r="AJ184" s="1"/>
      <c r="AK184" s="1"/>
      <c r="AL184" s="1"/>
    </row>
    <row r="185" spans="1:38" x14ac:dyDescent="0.35">
      <c r="A185" s="1"/>
      <c r="B185" s="11" t="s">
        <v>177</v>
      </c>
      <c r="C185" s="15">
        <v>-2.8899999999999999E-2</v>
      </c>
      <c r="D185" s="38">
        <f t="shared" si="32"/>
        <v>0.26333756835752492</v>
      </c>
      <c r="E185" s="32">
        <f t="shared" si="47"/>
        <v>100739.08642510981</v>
      </c>
      <c r="F185" s="47">
        <v>0</v>
      </c>
      <c r="G185" s="17">
        <v>-3.8699999999999998E-2</v>
      </c>
      <c r="H185" s="38">
        <f t="shared" si="33"/>
        <v>2.9199537899107078E-2</v>
      </c>
      <c r="I185" s="32">
        <f t="shared" si="40"/>
        <v>11170.205566711205</v>
      </c>
      <c r="J185" s="47">
        <v>0</v>
      </c>
      <c r="K185" s="17">
        <v>-5.8099999999999999E-2</v>
      </c>
      <c r="L185" s="38">
        <f t="shared" si="34"/>
        <v>0.35393497376882077</v>
      </c>
      <c r="M185" s="32">
        <f t="shared" si="41"/>
        <v>135396.88292009459</v>
      </c>
      <c r="N185" s="47">
        <v>0</v>
      </c>
      <c r="O185" s="15">
        <v>-4.2000000000000003E-2</v>
      </c>
      <c r="P185" s="38">
        <f t="shared" si="35"/>
        <v>0.11207577571163679</v>
      </c>
      <c r="Q185" s="31">
        <f t="shared" si="42"/>
        <v>42874.289931344603</v>
      </c>
      <c r="R185" s="47">
        <v>0</v>
      </c>
      <c r="S185" s="17">
        <v>-7.1900000000000006E-2</v>
      </c>
      <c r="T185" s="38">
        <f t="shared" si="36"/>
        <v>0.17518554146177409</v>
      </c>
      <c r="U185" s="31">
        <f t="shared" si="43"/>
        <v>67016.76297772734</v>
      </c>
      <c r="V185" s="47">
        <v>0</v>
      </c>
      <c r="W185" s="24">
        <v>-6.2899999999999998E-2</v>
      </c>
      <c r="X185" s="38">
        <f t="shared" si="37"/>
        <v>6.6266607954593368E-2</v>
      </c>
      <c r="Y185" s="31">
        <f t="shared" si="44"/>
        <v>25350.114636030026</v>
      </c>
      <c r="Z185" s="47">
        <v>0</v>
      </c>
      <c r="AA185" s="27">
        <v>-3.32E-2</v>
      </c>
      <c r="AB185" s="38">
        <f t="shared" si="38"/>
        <v>-5.1534570415926942E-9</v>
      </c>
      <c r="AC185" s="31">
        <f t="shared" si="45"/>
        <v>-1.9714412855679512E-3</v>
      </c>
      <c r="AD185" s="47">
        <v>0</v>
      </c>
      <c r="AE185" s="37">
        <f t="shared" si="39"/>
        <v>382547.34048557631</v>
      </c>
      <c r="AF185" s="40">
        <f t="shared" si="46"/>
        <v>-5.1033214384104908E-2</v>
      </c>
      <c r="AG185" s="1"/>
      <c r="AH185" s="1"/>
      <c r="AI185" s="1"/>
      <c r="AJ185" s="1"/>
      <c r="AK185" s="1"/>
      <c r="AL185" s="1"/>
    </row>
    <row r="186" spans="1:38" x14ac:dyDescent="0.35">
      <c r="A186" s="1"/>
      <c r="B186" s="10" t="s">
        <v>178</v>
      </c>
      <c r="C186" s="15">
        <v>-0.1426</v>
      </c>
      <c r="D186" s="38">
        <f t="shared" si="32"/>
        <v>0.24909963439688781</v>
      </c>
      <c r="E186" s="32">
        <f t="shared" si="47"/>
        <v>81999.014976889157</v>
      </c>
      <c r="F186" s="48">
        <v>-5102.26</v>
      </c>
      <c r="G186" s="17">
        <v>-0.15939999999999999</v>
      </c>
      <c r="H186" s="38">
        <f t="shared" si="33"/>
        <v>2.93062402955474E-2</v>
      </c>
      <c r="I186" s="32">
        <f t="shared" si="40"/>
        <v>9647.0749253774393</v>
      </c>
      <c r="J186" s="49">
        <v>306.20999999999998</v>
      </c>
      <c r="K186" s="17">
        <v>-0.1799</v>
      </c>
      <c r="L186" s="38">
        <f t="shared" si="34"/>
        <v>0.33356809919894287</v>
      </c>
      <c r="M186" s="32">
        <f t="shared" si="41"/>
        <v>109804.47895176958</v>
      </c>
      <c r="N186" s="48">
        <v>-1505.31</v>
      </c>
      <c r="O186" s="15">
        <v>-5.96E-2</v>
      </c>
      <c r="P186" s="38">
        <f t="shared" si="35"/>
        <v>7.6499789290128198E-2</v>
      </c>
      <c r="Q186" s="31">
        <f t="shared" si="42"/>
        <v>25182.322659436464</v>
      </c>
      <c r="R186" s="48">
        <v>-16095.98</v>
      </c>
      <c r="S186" s="17">
        <v>-0.1056</v>
      </c>
      <c r="T186" s="38">
        <f t="shared" si="36"/>
        <v>0.18709145309935293</v>
      </c>
      <c r="U186" s="31">
        <f t="shared" si="43"/>
        <v>61587.062951279331</v>
      </c>
      <c r="V186" s="49">
        <v>1841.76</v>
      </c>
      <c r="W186" s="24">
        <v>-0.1077</v>
      </c>
      <c r="X186" s="38">
        <f t="shared" si="37"/>
        <v>0.12443478923732916</v>
      </c>
      <c r="Y186" s="31">
        <f t="shared" si="44"/>
        <v>40961.642400729594</v>
      </c>
      <c r="Z186" s="49">
        <v>20555.57</v>
      </c>
      <c r="AA186" s="27">
        <v>-7.8600000000000003E-2</v>
      </c>
      <c r="AB186" s="38">
        <f t="shared" si="38"/>
        <v>-5.518188221464641E-9</v>
      </c>
      <c r="AC186" s="31">
        <f t="shared" si="45"/>
        <v>-1.8164860005223102E-3</v>
      </c>
      <c r="AD186" s="47">
        <v>0</v>
      </c>
      <c r="AE186" s="37">
        <f t="shared" si="39"/>
        <v>329181.59504899551</v>
      </c>
      <c r="AF186" s="40">
        <f t="shared" si="46"/>
        <v>-0.13950102324288127</v>
      </c>
      <c r="AG186" s="1"/>
      <c r="AH186" s="1"/>
      <c r="AI186" s="1"/>
      <c r="AJ186" s="1"/>
      <c r="AK186" s="1"/>
      <c r="AL186" s="1"/>
    </row>
    <row r="187" spans="1:38" x14ac:dyDescent="0.35">
      <c r="A187" s="1"/>
      <c r="B187" s="11" t="s">
        <v>179</v>
      </c>
      <c r="C187" s="20">
        <v>6.0400000000000002E-2</v>
      </c>
      <c r="D187" s="38">
        <f t="shared" si="32"/>
        <v>0.24790639504332407</v>
      </c>
      <c r="E187" s="32">
        <f t="shared" si="47"/>
        <v>86951.755481493266</v>
      </c>
      <c r="F187" s="47">
        <v>0</v>
      </c>
      <c r="G187" s="19">
        <v>9.2899999999999996E-2</v>
      </c>
      <c r="H187" s="38">
        <f t="shared" si="33"/>
        <v>3.005975614416205E-2</v>
      </c>
      <c r="I187" s="32">
        <f t="shared" si="40"/>
        <v>10543.288185945003</v>
      </c>
      <c r="J187" s="47">
        <v>0</v>
      </c>
      <c r="K187" s="19">
        <v>5.9799999999999999E-2</v>
      </c>
      <c r="L187" s="38">
        <f t="shared" si="34"/>
        <v>0.33178240143028831</v>
      </c>
      <c r="M187" s="32">
        <f t="shared" si="41"/>
        <v>116370.7867930854</v>
      </c>
      <c r="N187" s="47">
        <v>0</v>
      </c>
      <c r="O187" s="20">
        <v>4.7899999999999998E-2</v>
      </c>
      <c r="P187" s="38">
        <f t="shared" si="35"/>
        <v>7.5235879149506579E-2</v>
      </c>
      <c r="Q187" s="31">
        <f t="shared" si="42"/>
        <v>26388.555914823472</v>
      </c>
      <c r="R187" s="47">
        <v>0</v>
      </c>
      <c r="S187" s="19">
        <v>9.0499999999999997E-2</v>
      </c>
      <c r="T187" s="38">
        <f t="shared" si="36"/>
        <v>0.1914804938315546</v>
      </c>
      <c r="U187" s="31">
        <f t="shared" si="43"/>
        <v>67160.692148370115</v>
      </c>
      <c r="V187" s="47">
        <v>0</v>
      </c>
      <c r="W187" s="25">
        <v>5.7799999999999997E-2</v>
      </c>
      <c r="X187" s="38">
        <f t="shared" si="37"/>
        <v>0.12353507979762676</v>
      </c>
      <c r="Y187" s="31">
        <f t="shared" si="44"/>
        <v>43329.225331491762</v>
      </c>
      <c r="Z187" s="47">
        <v>0</v>
      </c>
      <c r="AA187" s="26">
        <v>4.2000000000000003E-2</v>
      </c>
      <c r="AB187" s="38">
        <f t="shared" si="38"/>
        <v>-5.3964623286937656E-9</v>
      </c>
      <c r="AC187" s="31">
        <f t="shared" si="45"/>
        <v>-1.8927784125442474E-3</v>
      </c>
      <c r="AD187" s="47">
        <v>0</v>
      </c>
      <c r="AE187" s="37">
        <f t="shared" si="39"/>
        <v>350744.30196243059</v>
      </c>
      <c r="AF187" s="40">
        <f t="shared" si="46"/>
        <v>6.5503986971767514E-2</v>
      </c>
      <c r="AG187" s="1"/>
      <c r="AH187" s="1"/>
      <c r="AI187" s="1"/>
      <c r="AJ187" s="1"/>
      <c r="AK187" s="1"/>
      <c r="AL187" s="1"/>
    </row>
    <row r="188" spans="1:38" x14ac:dyDescent="0.35">
      <c r="A188" s="1"/>
      <c r="B188" s="10" t="s">
        <v>180</v>
      </c>
      <c r="C188" s="15">
        <v>-8.5000000000000006E-2</v>
      </c>
      <c r="D188" s="38">
        <f t="shared" si="32"/>
        <v>0.24259746293915749</v>
      </c>
      <c r="E188" s="32">
        <f t="shared" si="47"/>
        <v>79560.856265566341</v>
      </c>
      <c r="F188" s="47">
        <v>0</v>
      </c>
      <c r="G188" s="17">
        <v>-4.2000000000000003E-2</v>
      </c>
      <c r="H188" s="38">
        <f t="shared" si="33"/>
        <v>3.0798416852627474E-2</v>
      </c>
      <c r="I188" s="32">
        <f t="shared" si="40"/>
        <v>10100.470082135313</v>
      </c>
      <c r="J188" s="47">
        <v>0</v>
      </c>
      <c r="K188" s="17">
        <v>-0.11609999999999999</v>
      </c>
      <c r="L188" s="38">
        <f t="shared" si="34"/>
        <v>0.31364178059341663</v>
      </c>
      <c r="M188" s="32">
        <f t="shared" si="41"/>
        <v>102860.13844640818</v>
      </c>
      <c r="N188" s="47">
        <v>0</v>
      </c>
      <c r="O188" s="20">
        <v>5.7000000000000002E-2</v>
      </c>
      <c r="P188" s="38">
        <f t="shared" si="35"/>
        <v>8.505060711972301E-2</v>
      </c>
      <c r="Q188" s="31">
        <f t="shared" si="42"/>
        <v>27892.703601968409</v>
      </c>
      <c r="R188" s="47">
        <v>0</v>
      </c>
      <c r="S188" s="17">
        <v>-8.3599999999999994E-2</v>
      </c>
      <c r="T188" s="38">
        <f t="shared" si="36"/>
        <v>0.18766662771893627</v>
      </c>
      <c r="U188" s="31">
        <f t="shared" si="43"/>
        <v>61546.058284766375</v>
      </c>
      <c r="V188" s="47">
        <v>0</v>
      </c>
      <c r="W188" s="25">
        <v>6.1499999999999999E-2</v>
      </c>
      <c r="X188" s="38">
        <f t="shared" si="37"/>
        <v>0.1402451105816627</v>
      </c>
      <c r="Y188" s="31">
        <f t="shared" si="44"/>
        <v>45993.972689378505</v>
      </c>
      <c r="Z188" s="47">
        <v>0</v>
      </c>
      <c r="AA188" s="26">
        <v>5.8999999999999999E-3</v>
      </c>
      <c r="AB188" s="38">
        <f t="shared" si="38"/>
        <v>-5.8055235148317821E-9</v>
      </c>
      <c r="AC188" s="31">
        <f t="shared" si="45"/>
        <v>-1.9039458051782585E-3</v>
      </c>
      <c r="AD188" s="47">
        <v>0</v>
      </c>
      <c r="AE188" s="37">
        <f t="shared" si="39"/>
        <v>327954.19746627728</v>
      </c>
      <c r="AF188" s="40">
        <f t="shared" si="46"/>
        <v>-6.4976406939875053E-2</v>
      </c>
      <c r="AG188" s="1"/>
      <c r="AH188" s="1"/>
      <c r="AI188" s="1"/>
      <c r="AJ188" s="1"/>
      <c r="AK188" s="1"/>
      <c r="AL188" s="1"/>
    </row>
    <row r="189" spans="1:38" x14ac:dyDescent="0.35">
      <c r="A189" s="1"/>
      <c r="B189" s="9" t="s">
        <v>181</v>
      </c>
      <c r="C189" s="20">
        <v>2.4299999999999999E-2</v>
      </c>
      <c r="D189" s="38">
        <f t="shared" si="32"/>
        <v>0.10324105036731109</v>
      </c>
      <c r="E189" s="32">
        <f t="shared" si="47"/>
        <v>33592.344880819597</v>
      </c>
      <c r="F189" s="48">
        <v>-46765.440000000002</v>
      </c>
      <c r="G189" s="19">
        <v>4.7800000000000002E-2</v>
      </c>
      <c r="H189" s="38">
        <f t="shared" si="33"/>
        <v>7.3926756323284507E-2</v>
      </c>
      <c r="I189" s="32">
        <f t="shared" si="40"/>
        <v>24054.124648061381</v>
      </c>
      <c r="J189" s="49">
        <v>12856.32</v>
      </c>
      <c r="K189" s="19">
        <v>5.7099999999999998E-2</v>
      </c>
      <c r="L189" s="38">
        <f t="shared" si="34"/>
        <v>3.196411810243649E-2</v>
      </c>
      <c r="M189" s="32">
        <f t="shared" si="41"/>
        <v>10400.414130698089</v>
      </c>
      <c r="N189" s="48">
        <v>-93021.51</v>
      </c>
      <c r="O189" s="15">
        <v>-2.1499999999999998E-2</v>
      </c>
      <c r="P189" s="38">
        <f t="shared" si="35"/>
        <v>0.345186799377668</v>
      </c>
      <c r="Q189" s="31">
        <f t="shared" si="42"/>
        <v>112316.11816952609</v>
      </c>
      <c r="R189" s="49">
        <v>86891.27</v>
      </c>
      <c r="S189" s="19">
        <v>6.2199999999999998E-2</v>
      </c>
      <c r="T189" s="38">
        <f t="shared" si="36"/>
        <v>0.10706106653523467</v>
      </c>
      <c r="U189" s="31">
        <f t="shared" si="43"/>
        <v>34835.293302078848</v>
      </c>
      <c r="V189" s="48">
        <v>-28750.639999999999</v>
      </c>
      <c r="W189" s="24">
        <v>-4.6800000000000001E-2</v>
      </c>
      <c r="X189" s="38">
        <f t="shared" si="37"/>
        <v>0.28822429885599482</v>
      </c>
      <c r="Y189" s="31">
        <f t="shared" si="44"/>
        <v>93781.785595515597</v>
      </c>
      <c r="Z189" s="49">
        <v>52392.29</v>
      </c>
      <c r="AA189" s="27">
        <v>-4.87E-2</v>
      </c>
      <c r="AB189" s="38">
        <f t="shared" si="38"/>
        <v>5.0395910438070506E-2</v>
      </c>
      <c r="AC189" s="31">
        <v>16397.71</v>
      </c>
      <c r="AD189" s="47">
        <v>0</v>
      </c>
      <c r="AE189" s="37">
        <f t="shared" si="39"/>
        <v>325377.79072669958</v>
      </c>
      <c r="AF189" s="40">
        <f t="shared" si="46"/>
        <v>-7.8559956222016281E-3</v>
      </c>
      <c r="AG189" s="1"/>
      <c r="AH189" s="1"/>
      <c r="AI189" s="1"/>
      <c r="AJ189" s="1"/>
      <c r="AK189" s="1"/>
      <c r="AL189" s="1"/>
    </row>
    <row r="190" spans="1:38" x14ac:dyDescent="0.35">
      <c r="A190" s="1"/>
      <c r="B190" s="10" t="s">
        <v>182</v>
      </c>
      <c r="C190" s="20">
        <v>4.0899999999999999E-2</v>
      </c>
      <c r="D190" s="38">
        <f t="shared" si="32"/>
        <v>0.1065664764644601</v>
      </c>
      <c r="E190" s="32">
        <f t="shared" si="47"/>
        <v>34966.271786445119</v>
      </c>
      <c r="F190" s="47">
        <v>0</v>
      </c>
      <c r="G190" s="17">
        <v>-4.5999999999999999E-3</v>
      </c>
      <c r="H190" s="38">
        <f t="shared" si="33"/>
        <v>7.2972373278649708E-2</v>
      </c>
      <c r="I190" s="32">
        <f t="shared" si="40"/>
        <v>23943.4756746803</v>
      </c>
      <c r="J190" s="47">
        <v>0</v>
      </c>
      <c r="K190" s="19">
        <v>6.3200000000000006E-2</v>
      </c>
      <c r="L190" s="38">
        <f t="shared" si="34"/>
        <v>3.3700541415966415E-2</v>
      </c>
      <c r="M190" s="32">
        <f t="shared" si="41"/>
        <v>11057.720303758208</v>
      </c>
      <c r="N190" s="47">
        <v>0</v>
      </c>
      <c r="O190" s="20">
        <v>4.5999999999999999E-3</v>
      </c>
      <c r="P190" s="38">
        <f t="shared" si="35"/>
        <v>0.34387969780025657</v>
      </c>
      <c r="Q190" s="31">
        <f t="shared" si="42"/>
        <v>112832.7723131059</v>
      </c>
      <c r="R190" s="47">
        <v>0</v>
      </c>
      <c r="S190" s="19">
        <v>1.7899999999999999E-2</v>
      </c>
      <c r="T190" s="38">
        <f t="shared" si="36"/>
        <v>0.10806768876559404</v>
      </c>
      <c r="U190" s="31">
        <f t="shared" si="43"/>
        <v>35458.845052186058</v>
      </c>
      <c r="V190" s="47">
        <v>0</v>
      </c>
      <c r="W190" s="24">
        <v>-5.3E-3</v>
      </c>
      <c r="X190" s="38">
        <f t="shared" si="37"/>
        <v>0.28430329483229944</v>
      </c>
      <c r="Y190" s="31">
        <f t="shared" si="44"/>
        <v>93284.74213185937</v>
      </c>
      <c r="Z190" s="47">
        <v>0</v>
      </c>
      <c r="AA190" s="26">
        <v>1.0699999999999999E-2</v>
      </c>
      <c r="AB190" s="38">
        <f t="shared" si="38"/>
        <v>5.0509927442773828E-2</v>
      </c>
      <c r="AC190" s="31">
        <f t="shared" si="45"/>
        <v>16573.165496999998</v>
      </c>
      <c r="AD190" s="47">
        <v>0</v>
      </c>
      <c r="AE190" s="37">
        <f t="shared" si="39"/>
        <v>328116.99275903491</v>
      </c>
      <c r="AF190" s="40">
        <f t="shared" si="46"/>
        <v>8.4185279708783867E-3</v>
      </c>
      <c r="AG190" s="1"/>
      <c r="AH190" s="1"/>
      <c r="AI190" s="1"/>
      <c r="AJ190" s="1"/>
      <c r="AK190" s="1"/>
      <c r="AL190" s="1"/>
    </row>
    <row r="191" spans="1:38" x14ac:dyDescent="0.35">
      <c r="A191" s="1"/>
      <c r="B191" s="11" t="s">
        <v>183</v>
      </c>
      <c r="C191" s="20">
        <v>6.59E-2</v>
      </c>
      <c r="D191" s="38">
        <f t="shared" si="32"/>
        <v>0.10683557440374455</v>
      </c>
      <c r="E191" s="32">
        <f t="shared" si="47"/>
        <v>37270.549097171854</v>
      </c>
      <c r="F191" s="47">
        <v>0</v>
      </c>
      <c r="G191" s="19">
        <v>5.8999999999999997E-2</v>
      </c>
      <c r="H191" s="38">
        <f t="shared" si="33"/>
        <v>7.2683068164691458E-2</v>
      </c>
      <c r="I191" s="32">
        <f t="shared" si="40"/>
        <v>25356.140739486436</v>
      </c>
      <c r="J191" s="47">
        <v>0</v>
      </c>
      <c r="K191" s="19">
        <v>2.2499999999999999E-2</v>
      </c>
      <c r="L191" s="38">
        <f t="shared" si="34"/>
        <v>3.2409998839947218E-2</v>
      </c>
      <c r="M191" s="32">
        <f t="shared" si="41"/>
        <v>11306.519010592767</v>
      </c>
      <c r="N191" s="47">
        <v>0</v>
      </c>
      <c r="O191" s="20">
        <v>3.0300000000000001E-2</v>
      </c>
      <c r="P191" s="38">
        <f t="shared" si="35"/>
        <v>0.33323380872973635</v>
      </c>
      <c r="Q191" s="31">
        <f t="shared" si="42"/>
        <v>116251.60531419302</v>
      </c>
      <c r="R191" s="47">
        <v>0</v>
      </c>
      <c r="S191" s="19">
        <v>8.3500000000000005E-2</v>
      </c>
      <c r="T191" s="38">
        <f t="shared" si="36"/>
        <v>0.11012948281834094</v>
      </c>
      <c r="U191" s="31">
        <f t="shared" si="43"/>
        <v>38419.658614043597</v>
      </c>
      <c r="V191" s="47">
        <v>0</v>
      </c>
      <c r="W191" s="25">
        <v>0.1031</v>
      </c>
      <c r="X191" s="38">
        <f t="shared" si="37"/>
        <v>0.29496847177923663</v>
      </c>
      <c r="Y191" s="31">
        <f t="shared" si="44"/>
        <v>102902.39904565408</v>
      </c>
      <c r="Z191" s="47">
        <v>0</v>
      </c>
      <c r="AA191" s="26">
        <v>4.7E-2</v>
      </c>
      <c r="AB191" s="38">
        <f t="shared" si="38"/>
        <v>4.9739595264302688E-2</v>
      </c>
      <c r="AC191" s="31">
        <f t="shared" si="45"/>
        <v>17352.104275358997</v>
      </c>
      <c r="AD191" s="47">
        <v>0</v>
      </c>
      <c r="AE191" s="37">
        <f t="shared" si="39"/>
        <v>348858.97609650082</v>
      </c>
      <c r="AF191" s="40">
        <f t="shared" si="46"/>
        <v>6.3215206146603142E-2</v>
      </c>
      <c r="AG191" s="1"/>
      <c r="AH191" s="1"/>
      <c r="AI191" s="1"/>
      <c r="AJ191" s="1"/>
      <c r="AK191" s="1"/>
      <c r="AL191" s="1"/>
    </row>
    <row r="192" spans="1:38" x14ac:dyDescent="0.35">
      <c r="A192" s="1"/>
      <c r="B192" s="10" t="s">
        <v>184</v>
      </c>
      <c r="C192" s="20">
        <v>5.0999999999999997E-2</v>
      </c>
      <c r="D192" s="38">
        <f t="shared" si="32"/>
        <v>7.2865682579761587E-2</v>
      </c>
      <c r="E192" s="32">
        <f t="shared" si="47"/>
        <v>25665.555681127618</v>
      </c>
      <c r="F192" s="48">
        <v>-12850.42</v>
      </c>
      <c r="G192" s="19">
        <v>3.5000000000000003E-2</v>
      </c>
      <c r="H192" s="38">
        <f t="shared" si="33"/>
        <v>0.12301098641904575</v>
      </c>
      <c r="I192" s="32">
        <f t="shared" si="40"/>
        <v>43328.288565368464</v>
      </c>
      <c r="J192" s="49">
        <v>16506.939999999999</v>
      </c>
      <c r="K192" s="19">
        <v>4.5600000000000002E-2</v>
      </c>
      <c r="L192" s="38">
        <f t="shared" si="34"/>
        <v>3.106769878461817E-2</v>
      </c>
      <c r="M192" s="32">
        <f t="shared" si="41"/>
        <v>10943.008077475797</v>
      </c>
      <c r="N192" s="48">
        <v>-840.75</v>
      </c>
      <c r="O192" s="20">
        <v>4.4999999999999997E-3</v>
      </c>
      <c r="P192" s="38">
        <f t="shared" si="35"/>
        <v>0.34820919150302726</v>
      </c>
      <c r="Q192" s="31">
        <f t="shared" si="42"/>
        <v>122650.08817310688</v>
      </c>
      <c r="R192" s="49">
        <v>5849.03</v>
      </c>
      <c r="S192" s="19">
        <v>9.5999999999999992E-3</v>
      </c>
      <c r="T192" s="38">
        <f t="shared" si="36"/>
        <v>0.17998824196205956</v>
      </c>
      <c r="U192" s="31">
        <f t="shared" si="43"/>
        <v>63397.446952738414</v>
      </c>
      <c r="V192" s="49">
        <v>24374.959999999999</v>
      </c>
      <c r="W192" s="24">
        <v>-1.11E-2</v>
      </c>
      <c r="X192" s="38">
        <f t="shared" si="37"/>
        <v>0.24485818647760338</v>
      </c>
      <c r="Y192" s="31">
        <f t="shared" si="44"/>
        <v>86246.655442247313</v>
      </c>
      <c r="Z192" s="48">
        <v>-15687.66</v>
      </c>
      <c r="AA192" s="26">
        <v>1.12E-2</v>
      </c>
      <c r="AB192" s="38">
        <f t="shared" si="38"/>
        <v>1.2273884009333923E-8</v>
      </c>
      <c r="AC192" s="31">
        <f t="shared" si="45"/>
        <v>4.3232430180069059E-3</v>
      </c>
      <c r="AD192" s="48">
        <v>-17352.099999999999</v>
      </c>
      <c r="AE192" s="37">
        <f t="shared" si="39"/>
        <v>352231.0472153076</v>
      </c>
      <c r="AF192" s="40">
        <f t="shared" si="46"/>
        <v>9.6660007334139486E-3</v>
      </c>
      <c r="AG192" s="1"/>
      <c r="AH192" s="1"/>
      <c r="AI192" s="1"/>
      <c r="AJ192" s="1"/>
      <c r="AK192" s="1"/>
      <c r="AL192" s="1"/>
    </row>
    <row r="193" spans="1:38" x14ac:dyDescent="0.35">
      <c r="A193" s="1"/>
      <c r="B193" s="11" t="s">
        <v>185</v>
      </c>
      <c r="C193" s="15">
        <v>-5.6899999999999999E-2</v>
      </c>
      <c r="D193" s="38">
        <f t="shared" si="32"/>
        <v>6.7657873902363636E-2</v>
      </c>
      <c r="E193" s="32">
        <f t="shared" si="47"/>
        <v>24205.185562871458</v>
      </c>
      <c r="F193" s="47">
        <v>0</v>
      </c>
      <c r="G193" s="17">
        <v>-6.4500000000000002E-2</v>
      </c>
      <c r="H193" s="38">
        <f t="shared" si="33"/>
        <v>0.11329878610140311</v>
      </c>
      <c r="I193" s="32">
        <f t="shared" si="40"/>
        <v>40533.613952902197</v>
      </c>
      <c r="J193" s="47">
        <v>0</v>
      </c>
      <c r="K193" s="17">
        <v>-6.9800000000000001E-2</v>
      </c>
      <c r="L193" s="38">
        <f t="shared" si="34"/>
        <v>2.8452667248444717E-2</v>
      </c>
      <c r="M193" s="32">
        <f t="shared" si="41"/>
        <v>10179.186113667987</v>
      </c>
      <c r="N193" s="47">
        <v>0</v>
      </c>
      <c r="O193" s="20">
        <v>2.6700000000000002E-2</v>
      </c>
      <c r="P193" s="38">
        <f t="shared" si="35"/>
        <v>0.35198273104467492</v>
      </c>
      <c r="Q193" s="31">
        <f t="shared" si="42"/>
        <v>125924.84552732883</v>
      </c>
      <c r="R193" s="47">
        <v>0</v>
      </c>
      <c r="S193" s="19">
        <v>1.09E-2</v>
      </c>
      <c r="T193" s="38">
        <f t="shared" si="36"/>
        <v>0.17913889682599357</v>
      </c>
      <c r="U193" s="31">
        <f t="shared" si="43"/>
        <v>64088.479124523263</v>
      </c>
      <c r="V193" s="47">
        <v>0</v>
      </c>
      <c r="W193" s="25">
        <v>7.6300000000000007E-2</v>
      </c>
      <c r="X193" s="38">
        <f t="shared" si="37"/>
        <v>0.25946903267565646</v>
      </c>
      <c r="Y193" s="31">
        <f t="shared" si="44"/>
        <v>92827.275252490785</v>
      </c>
      <c r="Z193" s="47">
        <v>0</v>
      </c>
      <c r="AA193" s="26">
        <v>9.7000000000000003E-3</v>
      </c>
      <c r="AB193" s="38">
        <f t="shared" si="38"/>
        <v>1.2201463776213935E-8</v>
      </c>
      <c r="AC193" s="31">
        <f t="shared" si="45"/>
        <v>4.3651784752815727E-3</v>
      </c>
      <c r="AD193" s="47">
        <v>0</v>
      </c>
      <c r="AE193" s="37">
        <f t="shared" si="39"/>
        <v>357758.58989896293</v>
      </c>
      <c r="AF193" s="40">
        <f t="shared" si="46"/>
        <v>1.569294565983137E-2</v>
      </c>
      <c r="AG193" s="1"/>
      <c r="AH193" s="1"/>
      <c r="AI193" s="1"/>
      <c r="AJ193" s="1"/>
      <c r="AK193" s="1"/>
      <c r="AL193" s="1"/>
    </row>
    <row r="194" spans="1:38" x14ac:dyDescent="0.35">
      <c r="A194" s="1"/>
      <c r="B194" s="10" t="s">
        <v>186</v>
      </c>
      <c r="C194" s="20">
        <v>2.53E-2</v>
      </c>
      <c r="D194" s="38">
        <f t="shared" si="32"/>
        <v>6.9294651672852467E-2</v>
      </c>
      <c r="E194" s="32">
        <f t="shared" si="47"/>
        <v>24817.576757612107</v>
      </c>
      <c r="F194" s="47">
        <v>0</v>
      </c>
      <c r="G194" s="19">
        <v>1.0999999999999999E-2</v>
      </c>
      <c r="H194" s="38">
        <f t="shared" si="33"/>
        <v>0.11442128604664166</v>
      </c>
      <c r="I194" s="32">
        <f t="shared" si="40"/>
        <v>40979.483706384119</v>
      </c>
      <c r="J194" s="47">
        <v>0</v>
      </c>
      <c r="K194" s="19">
        <v>2.2599999999999999E-2</v>
      </c>
      <c r="L194" s="38">
        <f t="shared" si="34"/>
        <v>2.9064254356157896E-2</v>
      </c>
      <c r="M194" s="32">
        <f t="shared" si="41"/>
        <v>10409.235719836885</v>
      </c>
      <c r="N194" s="47">
        <v>0</v>
      </c>
      <c r="O194" s="20">
        <v>3.56E-2</v>
      </c>
      <c r="P194" s="38">
        <f t="shared" si="35"/>
        <v>0.36411939359708212</v>
      </c>
      <c r="Q194" s="31">
        <f t="shared" si="42"/>
        <v>130407.77002810173</v>
      </c>
      <c r="R194" s="47">
        <v>0</v>
      </c>
      <c r="S194" s="17">
        <v>-3.5200000000000002E-2</v>
      </c>
      <c r="T194" s="38">
        <f t="shared" si="36"/>
        <v>0.17264643006670233</v>
      </c>
      <c r="U194" s="31">
        <f t="shared" si="43"/>
        <v>61832.564659340045</v>
      </c>
      <c r="V194" s="47">
        <v>0</v>
      </c>
      <c r="W194" s="24">
        <v>-3.3700000000000001E-2</v>
      </c>
      <c r="X194" s="38">
        <f t="shared" si="37"/>
        <v>0.25045397257078644</v>
      </c>
      <c r="Y194" s="31">
        <f t="shared" si="44"/>
        <v>89698.996076481839</v>
      </c>
      <c r="Z194" s="47">
        <v>0</v>
      </c>
      <c r="AA194" s="27">
        <v>-4.0899999999999999E-2</v>
      </c>
      <c r="AB194" s="38">
        <f t="shared" si="38"/>
        <v>1.1689777318745118E-8</v>
      </c>
      <c r="AC194" s="31">
        <f t="shared" si="45"/>
        <v>4.1866426756425566E-3</v>
      </c>
      <c r="AD194" s="47">
        <v>0</v>
      </c>
      <c r="AE194" s="37">
        <f t="shared" si="39"/>
        <v>358145.63113439933</v>
      </c>
      <c r="AF194" s="40">
        <f t="shared" si="46"/>
        <v>1.081850293366049E-3</v>
      </c>
      <c r="AG194" s="1"/>
      <c r="AH194" s="1"/>
      <c r="AI194" s="1"/>
      <c r="AJ194" s="1"/>
      <c r="AK194" s="1"/>
      <c r="AL194" s="1"/>
    </row>
    <row r="195" spans="1:38" x14ac:dyDescent="0.35">
      <c r="A195" s="1"/>
      <c r="B195" s="11" t="s">
        <v>187</v>
      </c>
      <c r="C195" s="20">
        <v>5.7000000000000002E-3</v>
      </c>
      <c r="D195" s="38">
        <f t="shared" si="32"/>
        <v>0.31137544108135451</v>
      </c>
      <c r="E195" s="32">
        <f t="shared" si="47"/>
        <v>126065.46726813049</v>
      </c>
      <c r="F195" s="49">
        <v>100533.39</v>
      </c>
      <c r="G195" s="17">
        <v>-3.3700000000000001E-2</v>
      </c>
      <c r="H195" s="38">
        <f t="shared" si="33"/>
        <v>5.9835357059921671E-2</v>
      </c>
      <c r="I195" s="32">
        <f t="shared" si="40"/>
        <v>24225.328178478972</v>
      </c>
      <c r="J195" s="48">
        <v>-15909.29</v>
      </c>
      <c r="K195" s="17">
        <v>-5.9999999999999995E-4</v>
      </c>
      <c r="L195" s="38">
        <f t="shared" si="34"/>
        <v>0.15913278838083933</v>
      </c>
      <c r="M195" s="32">
        <f t="shared" si="41"/>
        <v>64427.525996404984</v>
      </c>
      <c r="N195" s="49">
        <v>54056.97</v>
      </c>
      <c r="O195" s="15">
        <v>-5.1000000000000004E-3</v>
      </c>
      <c r="P195" s="38">
        <f t="shared" si="35"/>
        <v>0.22002261703122214</v>
      </c>
      <c r="Q195" s="31">
        <f t="shared" si="42"/>
        <v>89079.774336958406</v>
      </c>
      <c r="R195" s="48">
        <v>-40871.360000000001</v>
      </c>
      <c r="S195" s="19">
        <v>9.5999999999999992E-3</v>
      </c>
      <c r="T195" s="38">
        <f t="shared" si="36"/>
        <v>0.2232735407021465</v>
      </c>
      <c r="U195" s="31">
        <f t="shared" si="43"/>
        <v>90395.964240069705</v>
      </c>
      <c r="V195" s="49">
        <v>27703.85</v>
      </c>
      <c r="W195" s="24">
        <v>-6.7000000000000002E-3</v>
      </c>
      <c r="X195" s="38">
        <f t="shared" si="37"/>
        <v>2.6360245479204243E-2</v>
      </c>
      <c r="Y195" s="31">
        <f t="shared" si="44"/>
        <v>10672.37882376941</v>
      </c>
      <c r="Z195" s="48">
        <v>-78954.63</v>
      </c>
      <c r="AA195" s="27">
        <v>-7.3000000000000001E-3</v>
      </c>
      <c r="AB195" s="38">
        <f t="shared" si="38"/>
        <v>1.0265311576122581E-8</v>
      </c>
      <c r="AC195" s="31">
        <f t="shared" si="45"/>
        <v>4.1560801841103662E-3</v>
      </c>
      <c r="AD195" s="47">
        <v>0</v>
      </c>
      <c r="AE195" s="37">
        <f t="shared" si="39"/>
        <v>404866.44299989217</v>
      </c>
      <c r="AF195" s="40">
        <f t="shared" si="46"/>
        <v>0.1304519943954312</v>
      </c>
      <c r="AG195" s="1"/>
      <c r="AH195" s="1"/>
      <c r="AI195" s="1"/>
      <c r="AJ195" s="1"/>
      <c r="AK195" s="1"/>
      <c r="AL195" s="1"/>
    </row>
    <row r="196" spans="1:38" x14ac:dyDescent="0.35">
      <c r="A196" s="1"/>
      <c r="B196" s="10" t="s">
        <v>188</v>
      </c>
      <c r="C196" s="20">
        <v>7.9699999999999993E-2</v>
      </c>
      <c r="D196" s="38">
        <f t="shared" si="32"/>
        <v>0.30203469401092803</v>
      </c>
      <c r="E196" s="32">
        <f t="shared" si="47"/>
        <v>136112.88500940049</v>
      </c>
      <c r="F196" s="47">
        <v>0</v>
      </c>
      <c r="G196" s="19">
        <v>5.8000000000000003E-2</v>
      </c>
      <c r="H196" s="38">
        <f t="shared" si="33"/>
        <v>5.6873889485343269E-2</v>
      </c>
      <c r="I196" s="32">
        <f t="shared" si="40"/>
        <v>25630.397212830754</v>
      </c>
      <c r="J196" s="47">
        <v>0</v>
      </c>
      <c r="K196" s="19">
        <v>4.53E-2</v>
      </c>
      <c r="L196" s="38">
        <f t="shared" si="34"/>
        <v>0.14944108023086697</v>
      </c>
      <c r="M196" s="32">
        <f t="shared" si="41"/>
        <v>67346.092924042125</v>
      </c>
      <c r="N196" s="47">
        <v>0</v>
      </c>
      <c r="O196" s="20">
        <v>0.1837</v>
      </c>
      <c r="P196" s="38">
        <f t="shared" si="35"/>
        <v>0.23397979101130095</v>
      </c>
      <c r="Q196" s="31">
        <f t="shared" si="42"/>
        <v>105443.72888265767</v>
      </c>
      <c r="R196" s="47">
        <v>0</v>
      </c>
      <c r="S196" s="19">
        <v>0.14069999999999999</v>
      </c>
      <c r="T196" s="38">
        <f t="shared" si="36"/>
        <v>0.22881162011201786</v>
      </c>
      <c r="U196" s="31">
        <f t="shared" si="43"/>
        <v>103114.67640864752</v>
      </c>
      <c r="V196" s="47">
        <v>0</v>
      </c>
      <c r="W196" s="25">
        <v>0.21859999999999999</v>
      </c>
      <c r="X196" s="38">
        <f t="shared" si="37"/>
        <v>2.8858915009571239E-2</v>
      </c>
      <c r="Y196" s="31">
        <f t="shared" si="44"/>
        <v>13005.360834645402</v>
      </c>
      <c r="Z196" s="47">
        <v>0</v>
      </c>
      <c r="AA196" s="26">
        <v>9.9500000000000005E-2</v>
      </c>
      <c r="AB196" s="38">
        <f t="shared" si="38"/>
        <v>1.0139971737894283E-8</v>
      </c>
      <c r="AC196" s="31">
        <f t="shared" si="45"/>
        <v>4.5696101624293477E-3</v>
      </c>
      <c r="AD196" s="47">
        <v>0</v>
      </c>
      <c r="AE196" s="37">
        <f t="shared" si="39"/>
        <v>450653.14584183408</v>
      </c>
      <c r="AF196" s="40">
        <f t="shared" si="46"/>
        <v>0.11309088128589129</v>
      </c>
      <c r="AG196" s="1"/>
      <c r="AH196" s="1"/>
      <c r="AI196" s="1"/>
      <c r="AJ196" s="1"/>
      <c r="AK196" s="1"/>
      <c r="AL196" s="1"/>
    </row>
    <row r="197" spans="1:38" x14ac:dyDescent="0.35">
      <c r="A197" s="1"/>
      <c r="B197" s="11" t="s">
        <v>189</v>
      </c>
      <c r="C197" s="20">
        <v>1.4999999999999999E-2</v>
      </c>
      <c r="D197" s="38">
        <f t="shared" si="32"/>
        <v>0.30630175183156627</v>
      </c>
      <c r="E197" s="32">
        <f t="shared" si="47"/>
        <v>138154.57828454149</v>
      </c>
      <c r="F197" s="47">
        <v>0</v>
      </c>
      <c r="G197" s="19">
        <v>1.4800000000000001E-2</v>
      </c>
      <c r="H197" s="38">
        <f t="shared" si="33"/>
        <v>5.7666022159640097E-2</v>
      </c>
      <c r="I197" s="32">
        <f t="shared" si="40"/>
        <v>26009.727091580648</v>
      </c>
      <c r="J197" s="47">
        <v>0</v>
      </c>
      <c r="K197" s="19">
        <v>1.47E-2</v>
      </c>
      <c r="L197" s="38">
        <f t="shared" si="34"/>
        <v>0.15150754631010172</v>
      </c>
      <c r="M197" s="32">
        <f t="shared" si="41"/>
        <v>68336.080490025546</v>
      </c>
      <c r="N197" s="47">
        <v>0</v>
      </c>
      <c r="O197" s="15">
        <v>-3.3700000000000001E-2</v>
      </c>
      <c r="P197" s="38">
        <f t="shared" si="35"/>
        <v>0.22590036596541666</v>
      </c>
      <c r="Q197" s="31">
        <f t="shared" si="42"/>
        <v>101890.27521931211</v>
      </c>
      <c r="R197" s="47">
        <v>0</v>
      </c>
      <c r="S197" s="19">
        <v>8.9999999999999993E-3</v>
      </c>
      <c r="T197" s="38">
        <f t="shared" si="36"/>
        <v>0.23067251388578333</v>
      </c>
      <c r="U197" s="31">
        <f t="shared" si="43"/>
        <v>104042.70849632534</v>
      </c>
      <c r="V197" s="47">
        <v>0</v>
      </c>
      <c r="W197" s="24">
        <v>-3.0599999999999999E-2</v>
      </c>
      <c r="X197" s="38">
        <f t="shared" si="37"/>
        <v>2.7951789739536288E-2</v>
      </c>
      <c r="Y197" s="31">
        <f t="shared" si="44"/>
        <v>12607.396793105252</v>
      </c>
      <c r="Z197" s="47">
        <v>0</v>
      </c>
      <c r="AA197" s="27">
        <v>-2.3E-3</v>
      </c>
      <c r="AB197" s="38">
        <f t="shared" si="38"/>
        <v>1.0107955539396197E-8</v>
      </c>
      <c r="AC197" s="31">
        <f t="shared" si="45"/>
        <v>4.5591000590557602E-3</v>
      </c>
      <c r="AD197" s="47">
        <v>0</v>
      </c>
      <c r="AE197" s="37">
        <f t="shared" si="39"/>
        <v>451040.77093399048</v>
      </c>
      <c r="AF197" s="40">
        <f t="shared" si="46"/>
        <v>8.601406552533053E-4</v>
      </c>
      <c r="AG197" s="1"/>
      <c r="AH197" s="1"/>
      <c r="AI197" s="1"/>
      <c r="AJ197" s="1"/>
      <c r="AK197" s="1"/>
      <c r="AL197" s="1"/>
    </row>
    <row r="198" spans="1:38" x14ac:dyDescent="0.35">
      <c r="A198" s="1"/>
      <c r="B198" s="10" t="s">
        <v>190</v>
      </c>
      <c r="C198" s="15">
        <v>-2.1499999999999998E-2</v>
      </c>
      <c r="D198" s="38">
        <f t="shared" si="32"/>
        <v>0.12075822853370639</v>
      </c>
      <c r="E198" s="32">
        <f t="shared" si="47"/>
        <v>52961.203186423838</v>
      </c>
      <c r="F198" s="48">
        <v>-84029.69</v>
      </c>
      <c r="G198" s="17">
        <v>-1E-3</v>
      </c>
      <c r="H198" s="38">
        <f t="shared" si="33"/>
        <v>3.0822098460575768E-2</v>
      </c>
      <c r="I198" s="32">
        <f t="shared" si="40"/>
        <v>13517.715844489067</v>
      </c>
      <c r="J198" s="48">
        <v>-12478.48</v>
      </c>
      <c r="K198" s="17">
        <v>-1.4999999999999999E-2</v>
      </c>
      <c r="L198" s="38">
        <f t="shared" si="34"/>
        <v>7.0910233275699286E-2</v>
      </c>
      <c r="M198" s="32">
        <f t="shared" si="41"/>
        <v>31099.257732675156</v>
      </c>
      <c r="N198" s="48">
        <v>-36763.230000000003</v>
      </c>
      <c r="O198" s="15">
        <v>-1.4800000000000001E-2</v>
      </c>
      <c r="P198" s="38">
        <f t="shared" si="35"/>
        <v>0.35462318514748536</v>
      </c>
      <c r="Q198" s="31">
        <f t="shared" si="42"/>
        <v>155527.8740940663</v>
      </c>
      <c r="R198" s="49">
        <v>55973.99</v>
      </c>
      <c r="S198" s="17">
        <v>-3.0300000000000001E-2</v>
      </c>
      <c r="T198" s="38">
        <f t="shared" si="36"/>
        <v>0.17950832339816133</v>
      </c>
      <c r="U198" s="31">
        <f t="shared" si="43"/>
        <v>78727.362139886696</v>
      </c>
      <c r="V198" s="48">
        <v>-22855.37</v>
      </c>
      <c r="W198" s="24">
        <v>-5.3400000000000003E-2</v>
      </c>
      <c r="X198" s="38">
        <f t="shared" si="37"/>
        <v>0.24337792121525667</v>
      </c>
      <c r="Y198" s="31">
        <f t="shared" si="44"/>
        <v>106738.79281835342</v>
      </c>
      <c r="Z198" s="49">
        <v>100152.79</v>
      </c>
      <c r="AA198" s="27">
        <v>-4.1000000000000002E-2</v>
      </c>
      <c r="AB198" s="38">
        <f t="shared" si="38"/>
        <v>9.9691153590410322E-9</v>
      </c>
      <c r="AC198" s="31">
        <f t="shared" si="45"/>
        <v>4.3721769566344741E-3</v>
      </c>
      <c r="AD198" s="47">
        <v>0</v>
      </c>
      <c r="AE198" s="37">
        <f t="shared" si="39"/>
        <v>438572.21018807136</v>
      </c>
      <c r="AF198" s="40">
        <f t="shared" si="46"/>
        <v>-2.7643977106770024E-2</v>
      </c>
      <c r="AG198" s="1"/>
      <c r="AH198" s="1"/>
      <c r="AI198" s="1"/>
      <c r="AJ198" s="1"/>
      <c r="AK198" s="1"/>
      <c r="AL198" s="1"/>
    </row>
    <row r="199" spans="1:38" x14ac:dyDescent="0.35">
      <c r="A199" s="1"/>
      <c r="B199" s="11" t="s">
        <v>191</v>
      </c>
      <c r="C199" s="20">
        <v>8.6199999999999999E-2</v>
      </c>
      <c r="D199" s="38">
        <f t="shared" si="32"/>
        <v>0.12591454244226249</v>
      </c>
      <c r="E199" s="32">
        <f t="shared" si="47"/>
        <v>57526.458901093574</v>
      </c>
      <c r="F199" s="47">
        <v>0</v>
      </c>
      <c r="G199" s="19">
        <v>4.9399999999999999E-2</v>
      </c>
      <c r="H199" s="38">
        <f t="shared" si="33"/>
        <v>3.1049357871345044E-2</v>
      </c>
      <c r="I199" s="32">
        <f t="shared" si="40"/>
        <v>14185.491007206827</v>
      </c>
      <c r="J199" s="47">
        <v>0</v>
      </c>
      <c r="K199" s="19">
        <v>9.3100000000000002E-2</v>
      </c>
      <c r="L199" s="38">
        <f t="shared" si="34"/>
        <v>7.4407749294292794E-2</v>
      </c>
      <c r="M199" s="32">
        <f t="shared" si="41"/>
        <v>33994.598627587213</v>
      </c>
      <c r="N199" s="47">
        <v>0</v>
      </c>
      <c r="O199" s="20">
        <v>1.6400000000000001E-2</v>
      </c>
      <c r="P199" s="38">
        <f t="shared" si="35"/>
        <v>0.34600401814915765</v>
      </c>
      <c r="Q199" s="31">
        <f t="shared" si="42"/>
        <v>158078.53122920898</v>
      </c>
      <c r="R199" s="47">
        <v>0</v>
      </c>
      <c r="S199" s="19">
        <v>3.6700000000000003E-2</v>
      </c>
      <c r="T199" s="38">
        <f t="shared" si="36"/>
        <v>0.17864343006374286</v>
      </c>
      <c r="U199" s="31">
        <f t="shared" si="43"/>
        <v>81616.656330420534</v>
      </c>
      <c r="V199" s="47">
        <v>0</v>
      </c>
      <c r="W199" s="25">
        <v>4.4299999999999999E-2</v>
      </c>
      <c r="X199" s="38">
        <f t="shared" si="37"/>
        <v>0.24398089213083704</v>
      </c>
      <c r="Y199" s="31">
        <f t="shared" si="44"/>
        <v>111467.32134020649</v>
      </c>
      <c r="Z199" s="47">
        <v>0</v>
      </c>
      <c r="AA199" s="26">
        <v>0.05</v>
      </c>
      <c r="AB199" s="38">
        <f t="shared" si="38"/>
        <v>1.0048362180846954E-8</v>
      </c>
      <c r="AC199" s="31">
        <f t="shared" si="45"/>
        <v>4.5907858044661977E-3</v>
      </c>
      <c r="AD199" s="47">
        <v>0</v>
      </c>
      <c r="AE199" s="37">
        <f t="shared" si="39"/>
        <v>456869.06202650937</v>
      </c>
      <c r="AF199" s="40">
        <f t="shared" si="46"/>
        <v>4.1719131794948572E-2</v>
      </c>
      <c r="AG199" s="1"/>
      <c r="AH199" s="1"/>
      <c r="AI199" s="1"/>
      <c r="AJ199" s="1"/>
      <c r="AK199" s="1"/>
      <c r="AL199" s="1"/>
    </row>
    <row r="200" spans="1:38" x14ac:dyDescent="0.35">
      <c r="A200" s="1"/>
      <c r="B200" s="10" t="s">
        <v>192</v>
      </c>
      <c r="C200" s="15">
        <v>-1.34E-2</v>
      </c>
      <c r="D200" s="38">
        <f t="shared" si="32"/>
        <v>0.12814776432101599</v>
      </c>
      <c r="E200" s="32">
        <f t="shared" si="47"/>
        <v>56755.604351818918</v>
      </c>
      <c r="F200" s="47">
        <v>0</v>
      </c>
      <c r="G200" s="19">
        <v>1.18E-2</v>
      </c>
      <c r="H200" s="38">
        <f t="shared" si="33"/>
        <v>3.2407186551599916E-2</v>
      </c>
      <c r="I200" s="32">
        <f t="shared" si="40"/>
        <v>14352.879801091867</v>
      </c>
      <c r="J200" s="47">
        <v>0</v>
      </c>
      <c r="K200" s="17">
        <v>-1.77E-2</v>
      </c>
      <c r="L200" s="38">
        <f t="shared" si="34"/>
        <v>7.5397395356715857E-2</v>
      </c>
      <c r="M200" s="32">
        <f t="shared" si="41"/>
        <v>33392.89423187892</v>
      </c>
      <c r="N200" s="47">
        <v>0</v>
      </c>
      <c r="O200" s="15">
        <v>-5.7000000000000002E-3</v>
      </c>
      <c r="P200" s="38">
        <f t="shared" si="35"/>
        <v>0.35488906082720162</v>
      </c>
      <c r="Q200" s="31">
        <f t="shared" si="42"/>
        <v>157177.48360120249</v>
      </c>
      <c r="R200" s="47">
        <v>0</v>
      </c>
      <c r="S200" s="17">
        <v>-4.3700000000000003E-2</v>
      </c>
      <c r="T200" s="38">
        <f t="shared" si="36"/>
        <v>0.17622813116300065</v>
      </c>
      <c r="U200" s="31">
        <f t="shared" si="43"/>
        <v>78050.008448781155</v>
      </c>
      <c r="V200" s="47">
        <v>0</v>
      </c>
      <c r="W200" s="24">
        <v>-7.4499999999999997E-2</v>
      </c>
      <c r="X200" s="38">
        <f t="shared" si="37"/>
        <v>0.2329304518513752</v>
      </c>
      <c r="Y200" s="31">
        <f t="shared" si="44"/>
        <v>103163.00590036111</v>
      </c>
      <c r="Z200" s="47">
        <v>0</v>
      </c>
      <c r="AA200" s="27">
        <v>-4.2099999999999999E-2</v>
      </c>
      <c r="AB200" s="38">
        <f t="shared" si="38"/>
        <v>9.9290908535592051E-9</v>
      </c>
      <c r="AC200" s="31">
        <f t="shared" si="45"/>
        <v>4.3975137220981708E-3</v>
      </c>
      <c r="AD200" s="47">
        <v>0</v>
      </c>
      <c r="AE200" s="37">
        <f t="shared" si="39"/>
        <v>442891.88073264813</v>
      </c>
      <c r="AF200" s="40">
        <f t="shared" si="46"/>
        <v>-3.0593407292372587E-2</v>
      </c>
      <c r="AG200" s="1"/>
      <c r="AH200" s="1"/>
      <c r="AI200" s="1"/>
      <c r="AJ200" s="1"/>
      <c r="AK200" s="1"/>
      <c r="AL200" s="1"/>
    </row>
    <row r="201" spans="1:38" x14ac:dyDescent="0.35">
      <c r="A201" s="1"/>
      <c r="B201" s="9" t="s">
        <v>193</v>
      </c>
      <c r="C201" s="20">
        <v>5.3900000000000003E-2</v>
      </c>
      <c r="D201" s="38">
        <f t="shared" si="32"/>
        <v>0.34759234626897945</v>
      </c>
      <c r="E201" s="32">
        <f t="shared" si="47"/>
        <v>163367.32001038195</v>
      </c>
      <c r="F201" s="49">
        <v>98256.56</v>
      </c>
      <c r="G201" s="17">
        <v>-9.2999999999999992E-3</v>
      </c>
      <c r="H201" s="38">
        <f t="shared" si="33"/>
        <v>6.53495973729422E-2</v>
      </c>
      <c r="I201" s="32">
        <f t="shared" si="40"/>
        <v>30714.107203941712</v>
      </c>
      <c r="J201" s="49">
        <v>16649.55</v>
      </c>
      <c r="K201" s="19">
        <v>2.29E-2</v>
      </c>
      <c r="L201" s="38">
        <f t="shared" si="34"/>
        <v>0.17350358542853048</v>
      </c>
      <c r="M201" s="32">
        <f t="shared" si="41"/>
        <v>81546.144694788949</v>
      </c>
      <c r="N201" s="49">
        <v>46327.65</v>
      </c>
      <c r="O201" s="20">
        <v>0.1061</v>
      </c>
      <c r="P201" s="38">
        <f t="shared" si="35"/>
        <v>0.26057764423205615</v>
      </c>
      <c r="Q201" s="31">
        <f t="shared" si="42"/>
        <v>122470.68110029006</v>
      </c>
      <c r="R201" s="48">
        <v>-46454.51</v>
      </c>
      <c r="S201" s="19">
        <v>6.8599999999999994E-2</v>
      </c>
      <c r="T201" s="38">
        <f t="shared" si="36"/>
        <v>0.12083678936608012</v>
      </c>
      <c r="U201" s="31">
        <f t="shared" si="43"/>
        <v>56792.914600367541</v>
      </c>
      <c r="V201" s="48">
        <v>-24902.98</v>
      </c>
      <c r="W201" s="25">
        <v>0.13689999999999999</v>
      </c>
      <c r="X201" s="38">
        <f t="shared" si="37"/>
        <v>3.2140027442554044E-2</v>
      </c>
      <c r="Y201" s="31">
        <f t="shared" si="44"/>
        <v>15105.712783120543</v>
      </c>
      <c r="Z201" s="48">
        <v>-89876.25</v>
      </c>
      <c r="AA201" s="26">
        <v>5.6899999999999999E-2</v>
      </c>
      <c r="AB201" s="38">
        <f t="shared" si="38"/>
        <v>9.8888575665428977E-9</v>
      </c>
      <c r="AC201" s="31">
        <f t="shared" si="45"/>
        <v>4.647732252885557E-3</v>
      </c>
      <c r="AD201" s="47">
        <v>0</v>
      </c>
      <c r="AE201" s="37">
        <f t="shared" si="39"/>
        <v>469996.88504062302</v>
      </c>
      <c r="AF201" s="40">
        <f t="shared" si="46"/>
        <v>6.1200047883327224E-2</v>
      </c>
      <c r="AG201" s="1"/>
      <c r="AH201" s="1"/>
      <c r="AI201" s="1"/>
      <c r="AJ201" s="1"/>
      <c r="AK201" s="1"/>
      <c r="AL201" s="1"/>
    </row>
    <row r="202" spans="1:38" x14ac:dyDescent="0.35">
      <c r="A202" s="1"/>
      <c r="B202" s="10" t="s">
        <v>194</v>
      </c>
      <c r="C202" s="15">
        <v>-3.15E-2</v>
      </c>
      <c r="D202" s="38">
        <f t="shared" si="32"/>
        <v>0.33658286396206172</v>
      </c>
      <c r="E202" s="32">
        <f t="shared" si="47"/>
        <v>158221.24943005492</v>
      </c>
      <c r="F202" s="47">
        <v>0</v>
      </c>
      <c r="G202" s="19">
        <v>1.7500000000000002E-2</v>
      </c>
      <c r="H202" s="38">
        <f t="shared" si="33"/>
        <v>6.648130034713505E-2</v>
      </c>
      <c r="I202" s="32">
        <f t="shared" si="40"/>
        <v>31251.604080010693</v>
      </c>
      <c r="J202" s="47">
        <v>0</v>
      </c>
      <c r="K202" s="17">
        <v>-3.61E-2</v>
      </c>
      <c r="L202" s="38">
        <f t="shared" si="34"/>
        <v>0.16721013808760185</v>
      </c>
      <c r="M202" s="32">
        <f t="shared" si="41"/>
        <v>78602.328871307065</v>
      </c>
      <c r="N202" s="47">
        <v>0</v>
      </c>
      <c r="O202" s="20">
        <v>5.4699999999999999E-2</v>
      </c>
      <c r="P202" s="38">
        <f t="shared" si="35"/>
        <v>0.274781994111021</v>
      </c>
      <c r="Q202" s="31">
        <f t="shared" si="42"/>
        <v>129169.82735647593</v>
      </c>
      <c r="R202" s="47">
        <v>0</v>
      </c>
      <c r="S202" s="17">
        <v>-1.6899999999999998E-2</v>
      </c>
      <c r="T202" s="38">
        <f t="shared" si="36"/>
        <v>0.11877336070465647</v>
      </c>
      <c r="U202" s="31">
        <f t="shared" si="43"/>
        <v>55833.114343621331</v>
      </c>
      <c r="V202" s="47">
        <v>0</v>
      </c>
      <c r="W202" s="25">
        <v>0.12559999999999999</v>
      </c>
      <c r="X202" s="38">
        <f t="shared" si="37"/>
        <v>3.6170332332919629E-2</v>
      </c>
      <c r="Y202" s="31">
        <f t="shared" si="44"/>
        <v>17002.990308680484</v>
      </c>
      <c r="Z202" s="47">
        <v>0</v>
      </c>
      <c r="AA202" s="26">
        <v>5.74E-2</v>
      </c>
      <c r="AB202" s="38">
        <f t="shared" si="38"/>
        <v>1.0454604285044816E-8</v>
      </c>
      <c r="AC202" s="31">
        <f t="shared" si="45"/>
        <v>4.9145120842011879E-3</v>
      </c>
      <c r="AD202" s="47">
        <v>0</v>
      </c>
      <c r="AE202" s="37">
        <f t="shared" si="39"/>
        <v>470081.11930466251</v>
      </c>
      <c r="AF202" s="40">
        <f t="shared" si="46"/>
        <v>1.7922302619566288E-4</v>
      </c>
      <c r="AG202" s="1"/>
      <c r="AH202" s="1"/>
      <c r="AI202" s="1"/>
      <c r="AJ202" s="1"/>
      <c r="AK202" s="1"/>
      <c r="AL202" s="1"/>
    </row>
    <row r="203" spans="1:38" x14ac:dyDescent="0.35">
      <c r="A203" s="1"/>
      <c r="B203" s="11" t="s">
        <v>195</v>
      </c>
      <c r="C203" s="20">
        <v>1.2800000000000001E-2</v>
      </c>
      <c r="D203" s="38">
        <f t="shared" si="32"/>
        <v>0.33175300692713872</v>
      </c>
      <c r="E203" s="32">
        <f t="shared" si="47"/>
        <v>160246.48142275962</v>
      </c>
      <c r="F203" s="47">
        <v>0</v>
      </c>
      <c r="G203" s="17">
        <v>-2.4899999999999999E-2</v>
      </c>
      <c r="H203" s="38">
        <f t="shared" si="33"/>
        <v>6.3088156294117584E-2</v>
      </c>
      <c r="I203" s="32">
        <f t="shared" si="40"/>
        <v>30473.439138418427</v>
      </c>
      <c r="J203" s="47">
        <v>0</v>
      </c>
      <c r="K203" s="17">
        <v>-9.4500000000000001E-2</v>
      </c>
      <c r="L203" s="38">
        <f t="shared" si="34"/>
        <v>0.14735003179904496</v>
      </c>
      <c r="M203" s="32">
        <f t="shared" si="41"/>
        <v>71174.408792968548</v>
      </c>
      <c r="N203" s="47">
        <v>0</v>
      </c>
      <c r="O203" s="20">
        <v>0.14990000000000001</v>
      </c>
      <c r="P203" s="38">
        <f t="shared" si="35"/>
        <v>0.30750169825179208</v>
      </c>
      <c r="Q203" s="31">
        <f t="shared" si="42"/>
        <v>148532.38447721169</v>
      </c>
      <c r="R203" s="47">
        <v>0</v>
      </c>
      <c r="S203" s="17">
        <v>-7.4099999999999999E-2</v>
      </c>
      <c r="T203" s="38">
        <f t="shared" si="36"/>
        <v>0.10702427705635545</v>
      </c>
      <c r="U203" s="31">
        <f t="shared" si="43"/>
        <v>51695.880570758993</v>
      </c>
      <c r="V203" s="47">
        <v>0</v>
      </c>
      <c r="W203" s="25">
        <v>0.2296</v>
      </c>
      <c r="X203" s="38">
        <f t="shared" si="37"/>
        <v>4.3282817881511795E-2</v>
      </c>
      <c r="Y203" s="31">
        <f t="shared" si="44"/>
        <v>20906.876883553523</v>
      </c>
      <c r="Z203" s="47">
        <v>0</v>
      </c>
      <c r="AA203" s="26">
        <v>0.1588</v>
      </c>
      <c r="AB203" s="38">
        <f t="shared" si="38"/>
        <v>1.1790039479104037E-8</v>
      </c>
      <c r="AC203" s="31">
        <f t="shared" si="45"/>
        <v>5.6949366031723361E-3</v>
      </c>
      <c r="AD203" s="47">
        <v>0</v>
      </c>
      <c r="AE203" s="37">
        <f t="shared" si="39"/>
        <v>483029.47698060737</v>
      </c>
      <c r="AF203" s="40">
        <f t="shared" si="46"/>
        <v>2.7544943083648743E-2</v>
      </c>
      <c r="AG203" s="1"/>
      <c r="AH203" s="1"/>
      <c r="AI203" s="1"/>
      <c r="AJ203" s="1"/>
      <c r="AK203" s="1"/>
      <c r="AL203" s="1"/>
    </row>
    <row r="204" spans="1:38" x14ac:dyDescent="0.35">
      <c r="A204" s="1"/>
      <c r="B204" s="10" t="s">
        <v>196</v>
      </c>
      <c r="C204" s="20">
        <v>0.1575</v>
      </c>
      <c r="D204" s="38">
        <f t="shared" si="32"/>
        <v>0.1898806976771289</v>
      </c>
      <c r="E204" s="32">
        <f t="shared" si="47"/>
        <v>100639.19797184427</v>
      </c>
      <c r="F204" s="48">
        <v>-73301.17</v>
      </c>
      <c r="G204" s="19">
        <v>0.1027</v>
      </c>
      <c r="H204" s="38">
        <f t="shared" si="33"/>
        <v>0.12059406121814088</v>
      </c>
      <c r="I204" s="32">
        <f t="shared" si="40"/>
        <v>63916.394607934002</v>
      </c>
      <c r="J204" s="49">
        <v>27490.1</v>
      </c>
      <c r="K204" s="19">
        <v>0.1694</v>
      </c>
      <c r="L204" s="38">
        <f t="shared" si="34"/>
        <v>7.4601636874310678E-2</v>
      </c>
      <c r="M204" s="32">
        <f t="shared" si="41"/>
        <v>39539.821552497429</v>
      </c>
      <c r="N204" s="48">
        <v>-37362.35</v>
      </c>
      <c r="O204" s="20">
        <v>9.9000000000000005E-2</v>
      </c>
      <c r="P204" s="38">
        <f t="shared" si="35"/>
        <v>0.30047354266259757</v>
      </c>
      <c r="Q204" s="31">
        <f t="shared" si="42"/>
        <v>159254.82008045563</v>
      </c>
      <c r="R204" s="48">
        <v>-3623.54</v>
      </c>
      <c r="S204" s="19">
        <v>0.1192</v>
      </c>
      <c r="T204" s="38">
        <f t="shared" si="36"/>
        <v>3.0599626840337488E-2</v>
      </c>
      <c r="U204" s="31">
        <f t="shared" si="43"/>
        <v>16218.193534793463</v>
      </c>
      <c r="V204" s="48">
        <v>-37205</v>
      </c>
      <c r="W204" s="25">
        <v>3.8199999999999998E-2</v>
      </c>
      <c r="X204" s="38">
        <f t="shared" si="37"/>
        <v>0.28385042369891489</v>
      </c>
      <c r="Y204" s="31">
        <f t="shared" si="44"/>
        <v>150444.35445250527</v>
      </c>
      <c r="Z204" s="49">
        <v>124001.96</v>
      </c>
      <c r="AA204" s="26">
        <v>2.64E-2</v>
      </c>
      <c r="AB204" s="38">
        <f t="shared" si="38"/>
        <v>1.1028569614430413E-8</v>
      </c>
      <c r="AC204" s="31">
        <f t="shared" si="45"/>
        <v>5.8452829294960854E-3</v>
      </c>
      <c r="AD204" s="47">
        <v>0</v>
      </c>
      <c r="AE204" s="37">
        <f t="shared" si="39"/>
        <v>530012.78804531298</v>
      </c>
      <c r="AF204" s="40">
        <f t="shared" si="46"/>
        <v>9.7267999788327453E-2</v>
      </c>
      <c r="AG204" s="1"/>
      <c r="AH204" s="1"/>
      <c r="AI204" s="1"/>
      <c r="AJ204" s="1"/>
      <c r="AK204" s="1"/>
      <c r="AL204" s="1"/>
    </row>
    <row r="205" spans="1:38" x14ac:dyDescent="0.35">
      <c r="A205" s="1"/>
      <c r="B205" s="11" t="s">
        <v>197</v>
      </c>
      <c r="C205" s="20">
        <v>5.8900000000000001E-2</v>
      </c>
      <c r="D205" s="38">
        <f t="shared" si="32"/>
        <v>0.19455666085453108</v>
      </c>
      <c r="E205" s="32">
        <f t="shared" si="47"/>
        <v>106566.84673238591</v>
      </c>
      <c r="F205" s="47">
        <v>0</v>
      </c>
      <c r="G205" s="19">
        <v>4.3200000000000002E-2</v>
      </c>
      <c r="H205" s="38">
        <f t="shared" si="33"/>
        <v>0.12173174183052099</v>
      </c>
      <c r="I205" s="32">
        <f t="shared" si="40"/>
        <v>66677.582854996755</v>
      </c>
      <c r="J205" s="47">
        <v>0</v>
      </c>
      <c r="K205" s="19">
        <v>7.9799999999999996E-2</v>
      </c>
      <c r="L205" s="38">
        <f t="shared" si="34"/>
        <v>7.7947468765125316E-2</v>
      </c>
      <c r="M205" s="32">
        <f t="shared" si="41"/>
        <v>42695.099312386723</v>
      </c>
      <c r="N205" s="47">
        <v>0</v>
      </c>
      <c r="O205" s="20">
        <v>3.9600000000000003E-2</v>
      </c>
      <c r="P205" s="38">
        <f t="shared" si="35"/>
        <v>0.30226150828238146</v>
      </c>
      <c r="Q205" s="31">
        <f t="shared" si="42"/>
        <v>165561.31095564167</v>
      </c>
      <c r="R205" s="47">
        <v>0</v>
      </c>
      <c r="S205" s="19">
        <v>3.0599999999999999E-2</v>
      </c>
      <c r="T205" s="38">
        <f t="shared" si="36"/>
        <v>3.0515227022832506E-2</v>
      </c>
      <c r="U205" s="31">
        <f t="shared" si="43"/>
        <v>16714.470256958142</v>
      </c>
      <c r="V205" s="47">
        <v>0</v>
      </c>
      <c r="W205" s="24">
        <v>-6.1000000000000004E-3</v>
      </c>
      <c r="X205" s="38">
        <f t="shared" si="37"/>
        <v>0.2729873824374795</v>
      </c>
      <c r="Y205" s="31">
        <f t="shared" si="44"/>
        <v>149526.643890345</v>
      </c>
      <c r="Z205" s="47">
        <v>0</v>
      </c>
      <c r="AA205" s="26">
        <v>1.2699999999999999E-2</v>
      </c>
      <c r="AB205" s="38">
        <f t="shared" si="38"/>
        <v>1.0807129005674735E-8</v>
      </c>
      <c r="AC205" s="31">
        <f t="shared" si="45"/>
        <v>5.9195180227006854E-3</v>
      </c>
      <c r="AD205" s="47">
        <v>0</v>
      </c>
      <c r="AE205" s="37">
        <f t="shared" si="39"/>
        <v>547741.95992223232</v>
      </c>
      <c r="AF205" s="40">
        <f t="shared" si="46"/>
        <v>3.3450460586629482E-2</v>
      </c>
      <c r="AG205" s="1"/>
      <c r="AH205" s="1"/>
      <c r="AI205" s="1"/>
      <c r="AJ205" s="1"/>
      <c r="AK205" s="1"/>
      <c r="AL205" s="1"/>
    </row>
    <row r="206" spans="1:38" x14ac:dyDescent="0.35">
      <c r="A206" s="1"/>
      <c r="B206" s="10" t="s">
        <v>198</v>
      </c>
      <c r="C206" s="20">
        <v>1.8200000000000001E-2</v>
      </c>
      <c r="D206" s="38">
        <f t="shared" si="32"/>
        <v>0.19359312616916996</v>
      </c>
      <c r="E206" s="32">
        <f t="shared" si="47"/>
        <v>108506.36334291533</v>
      </c>
      <c r="F206" s="47">
        <v>0</v>
      </c>
      <c r="G206" s="19">
        <v>5.9700000000000003E-2</v>
      </c>
      <c r="H206" s="38">
        <f t="shared" si="33"/>
        <v>0.12606586466434067</v>
      </c>
      <c r="I206" s="32">
        <f t="shared" si="40"/>
        <v>70658.234551440066</v>
      </c>
      <c r="J206" s="47">
        <v>0</v>
      </c>
      <c r="K206" s="19">
        <v>3.0599999999999999E-2</v>
      </c>
      <c r="L206" s="38">
        <f t="shared" si="34"/>
        <v>7.8506007432537828E-2</v>
      </c>
      <c r="M206" s="32">
        <f t="shared" si="41"/>
        <v>44001.569351345759</v>
      </c>
      <c r="N206" s="47">
        <v>0</v>
      </c>
      <c r="O206" s="20">
        <v>3.0200000000000001E-2</v>
      </c>
      <c r="P206" s="38">
        <f t="shared" si="35"/>
        <v>0.304309231297206</v>
      </c>
      <c r="Q206" s="31">
        <f t="shared" si="42"/>
        <v>170561.26254650205</v>
      </c>
      <c r="R206" s="47">
        <v>0</v>
      </c>
      <c r="S206" s="19">
        <v>1.4E-2</v>
      </c>
      <c r="T206" s="38">
        <f t="shared" si="36"/>
        <v>3.0238851804728323E-2</v>
      </c>
      <c r="U206" s="31">
        <f t="shared" si="43"/>
        <v>16948.472840555558</v>
      </c>
      <c r="V206" s="47">
        <v>0</v>
      </c>
      <c r="W206" s="25">
        <v>1.9E-3</v>
      </c>
      <c r="X206" s="38">
        <f t="shared" si="37"/>
        <v>0.26728690807273975</v>
      </c>
      <c r="Y206" s="31">
        <f t="shared" si="44"/>
        <v>149810.74451373666</v>
      </c>
      <c r="Z206" s="47">
        <v>0</v>
      </c>
      <c r="AA206" s="27">
        <v>-2.0000000000000001E-4</v>
      </c>
      <c r="AB206" s="38">
        <f t="shared" si="38"/>
        <v>1.0559277525582027E-8</v>
      </c>
      <c r="AC206" s="31">
        <f t="shared" si="45"/>
        <v>5.9183341190961452E-3</v>
      </c>
      <c r="AD206" s="47">
        <v>0</v>
      </c>
      <c r="AE206" s="37">
        <f t="shared" si="39"/>
        <v>560486.65306482953</v>
      </c>
      <c r="AF206" s="40">
        <f t="shared" si="46"/>
        <v>2.3267695511964614E-2</v>
      </c>
      <c r="AG206" s="1"/>
      <c r="AH206" s="1"/>
      <c r="AI206" s="1"/>
      <c r="AJ206" s="1"/>
      <c r="AK206" s="1"/>
      <c r="AL206" s="1"/>
    </row>
    <row r="207" spans="1:38" x14ac:dyDescent="0.35">
      <c r="A207" s="1"/>
      <c r="B207" s="11" t="s">
        <v>199</v>
      </c>
      <c r="C207" s="20">
        <v>6.1999999999999998E-3</v>
      </c>
      <c r="D207" s="38">
        <f t="shared" si="32"/>
        <v>0.17776879241002835</v>
      </c>
      <c r="E207" s="32">
        <f t="shared" si="47"/>
        <v>101513.1064836414</v>
      </c>
      <c r="F207" s="48">
        <v>-7618.76</v>
      </c>
      <c r="G207" s="19">
        <v>3.2300000000000002E-2</v>
      </c>
      <c r="H207" s="38">
        <f t="shared" si="33"/>
        <v>0.12158664993214163</v>
      </c>
      <c r="I207" s="32">
        <f t="shared" si="40"/>
        <v>69430.851018451576</v>
      </c>
      <c r="J207" s="48">
        <v>-3399.83</v>
      </c>
      <c r="K207" s="17">
        <v>-1.8499999999999999E-2</v>
      </c>
      <c r="L207" s="38">
        <f t="shared" si="34"/>
        <v>6.7435264215066321E-2</v>
      </c>
      <c r="M207" s="32">
        <f t="shared" si="41"/>
        <v>38508.239068345865</v>
      </c>
      <c r="N207" s="48">
        <v>-4767.5</v>
      </c>
      <c r="O207" s="20">
        <v>5.6899999999999999E-2</v>
      </c>
      <c r="P207" s="38">
        <f t="shared" si="35"/>
        <v>0.31121020033159769</v>
      </c>
      <c r="Q207" s="31">
        <f t="shared" si="42"/>
        <v>177713.49952239802</v>
      </c>
      <c r="R207" s="48">
        <v>-2415.27</v>
      </c>
      <c r="S207" s="17">
        <v>-1.1599999999999999E-2</v>
      </c>
      <c r="T207" s="38">
        <f t="shared" si="36"/>
        <v>2.9104004882864909E-2</v>
      </c>
      <c r="U207" s="31">
        <f t="shared" si="43"/>
        <v>16619.553447605114</v>
      </c>
      <c r="V207" s="48">
        <v>-133.87</v>
      </c>
      <c r="W207" s="24">
        <v>-5.3E-3</v>
      </c>
      <c r="X207" s="38">
        <f t="shared" si="37"/>
        <v>0.2928950783440295</v>
      </c>
      <c r="Y207" s="31">
        <f t="shared" si="44"/>
        <v>167254.83068981385</v>
      </c>
      <c r="Z207" s="49">
        <v>18335.259999999998</v>
      </c>
      <c r="AA207" s="27">
        <v>-4.6300000000000001E-2</v>
      </c>
      <c r="AB207" s="38">
        <f t="shared" si="38"/>
        <v>9.8842715056290583E-9</v>
      </c>
      <c r="AC207" s="31">
        <f t="shared" si="45"/>
        <v>5.6443152493819938E-3</v>
      </c>
      <c r="AD207" s="47">
        <v>0</v>
      </c>
      <c r="AE207" s="37">
        <f t="shared" si="39"/>
        <v>571040.08587457112</v>
      </c>
      <c r="AF207" s="40">
        <f t="shared" si="46"/>
        <v>1.882905284547598E-2</v>
      </c>
      <c r="AG207" s="1"/>
      <c r="AH207" s="1"/>
      <c r="AI207" s="1"/>
      <c r="AJ207" s="1"/>
      <c r="AK207" s="1"/>
      <c r="AL207" s="1"/>
    </row>
    <row r="208" spans="1:38" x14ac:dyDescent="0.35">
      <c r="A208" s="1"/>
      <c r="B208" s="10" t="s">
        <v>200</v>
      </c>
      <c r="C208" s="20">
        <v>0.11890000000000001</v>
      </c>
      <c r="D208" s="38">
        <f t="shared" si="32"/>
        <v>0.1895578793473201</v>
      </c>
      <c r="E208" s="32">
        <f t="shared" si="47"/>
        <v>113583.01484454636</v>
      </c>
      <c r="F208" s="47">
        <v>0</v>
      </c>
      <c r="G208" s="19">
        <v>7.5899999999999995E-2</v>
      </c>
      <c r="H208" s="38">
        <f t="shared" si="33"/>
        <v>0.12466738371168443</v>
      </c>
      <c r="I208" s="32">
        <f t="shared" si="40"/>
        <v>74700.652610752048</v>
      </c>
      <c r="J208" s="47">
        <v>0</v>
      </c>
      <c r="K208" s="19">
        <v>0.10290000000000001</v>
      </c>
      <c r="L208" s="38">
        <f t="shared" si="34"/>
        <v>7.0879108343138042E-2</v>
      </c>
      <c r="M208" s="32">
        <f t="shared" si="41"/>
        <v>42470.736868478656</v>
      </c>
      <c r="N208" s="47">
        <v>0</v>
      </c>
      <c r="O208" s="20">
        <v>4.1599999999999998E-2</v>
      </c>
      <c r="P208" s="38">
        <f t="shared" si="35"/>
        <v>0.30892271263864196</v>
      </c>
      <c r="Q208" s="31">
        <f t="shared" si="42"/>
        <v>185106.38110252979</v>
      </c>
      <c r="R208" s="47">
        <v>0</v>
      </c>
      <c r="S208" s="19">
        <v>5.0299999999999997E-2</v>
      </c>
      <c r="T208" s="38">
        <f t="shared" si="36"/>
        <v>2.913138718240214E-2</v>
      </c>
      <c r="U208" s="31">
        <f t="shared" si="43"/>
        <v>17455.516986019651</v>
      </c>
      <c r="V208" s="47">
        <v>0</v>
      </c>
      <c r="W208" s="24">
        <v>-8.2000000000000007E-3</v>
      </c>
      <c r="X208" s="38">
        <f t="shared" si="37"/>
        <v>0.27684151892657305</v>
      </c>
      <c r="Y208" s="31">
        <f t="shared" si="44"/>
        <v>165883.34107815739</v>
      </c>
      <c r="Z208" s="47">
        <v>0</v>
      </c>
      <c r="AA208" s="26">
        <v>4.5699999999999998E-2</v>
      </c>
      <c r="AB208" s="38">
        <f t="shared" si="38"/>
        <v>9.8502401699673295E-9</v>
      </c>
      <c r="AC208" s="31">
        <f t="shared" si="45"/>
        <v>5.9022604562787512E-3</v>
      </c>
      <c r="AD208" s="47">
        <v>0</v>
      </c>
      <c r="AE208" s="37">
        <f t="shared" si="39"/>
        <v>599199.64939274441</v>
      </c>
      <c r="AF208" s="40">
        <f t="shared" si="46"/>
        <v>4.9312761423825124E-2</v>
      </c>
      <c r="AG208" s="1"/>
      <c r="AH208" s="1"/>
      <c r="AI208" s="1"/>
      <c r="AJ208" s="1"/>
      <c r="AK208" s="1"/>
      <c r="AL208" s="1"/>
    </row>
    <row r="209" spans="1:38" x14ac:dyDescent="0.35">
      <c r="A209" s="1"/>
      <c r="B209" s="11" t="s">
        <v>201</v>
      </c>
      <c r="C209" s="20">
        <v>4.1999999999999997E-3</v>
      </c>
      <c r="D209" s="38">
        <f t="shared" si="32"/>
        <v>0.18646295227951012</v>
      </c>
      <c r="E209" s="32">
        <f t="shared" si="47"/>
        <v>114060.06350689345</v>
      </c>
      <c r="F209" s="47">
        <v>0</v>
      </c>
      <c r="G209" s="19">
        <v>3.4700000000000002E-2</v>
      </c>
      <c r="H209" s="38">
        <f t="shared" si="33"/>
        <v>0.12635655948652202</v>
      </c>
      <c r="I209" s="32">
        <f t="shared" si="40"/>
        <v>77292.765256345141</v>
      </c>
      <c r="J209" s="47">
        <v>0</v>
      </c>
      <c r="K209" s="19">
        <v>7.3000000000000001E-3</v>
      </c>
      <c r="L209" s="38">
        <f t="shared" si="34"/>
        <v>6.99370931006814E-2</v>
      </c>
      <c r="M209" s="32">
        <f t="shared" si="41"/>
        <v>42780.773247618548</v>
      </c>
      <c r="N209" s="47">
        <v>0</v>
      </c>
      <c r="O209" s="20">
        <v>1.6999999999999999E-3</v>
      </c>
      <c r="P209" s="38">
        <f t="shared" si="35"/>
        <v>0.30312238625033489</v>
      </c>
      <c r="Q209" s="31">
        <f t="shared" si="42"/>
        <v>185421.06195040408</v>
      </c>
      <c r="R209" s="47">
        <v>0</v>
      </c>
      <c r="S209" s="19">
        <v>9.5999999999999992E-3</v>
      </c>
      <c r="T209" s="38">
        <f t="shared" si="36"/>
        <v>2.8809850522266572E-2</v>
      </c>
      <c r="U209" s="31">
        <f t="shared" si="43"/>
        <v>17623.089949085439</v>
      </c>
      <c r="V209" s="47">
        <v>0</v>
      </c>
      <c r="W209" s="25">
        <v>5.21E-2</v>
      </c>
      <c r="X209" s="38">
        <f t="shared" si="37"/>
        <v>0.28531114827759568</v>
      </c>
      <c r="Y209" s="31">
        <f t="shared" si="44"/>
        <v>174525.8631483294</v>
      </c>
      <c r="Z209" s="47">
        <v>0</v>
      </c>
      <c r="AA209" s="26">
        <v>4.4999999999999998E-2</v>
      </c>
      <c r="AB209" s="38">
        <f t="shared" si="38"/>
        <v>1.008308916706725E-8</v>
      </c>
      <c r="AC209" s="31">
        <f t="shared" si="45"/>
        <v>6.1678621768112953E-3</v>
      </c>
      <c r="AD209" s="47">
        <v>0</v>
      </c>
      <c r="AE209" s="37">
        <f t="shared" si="39"/>
        <v>611703.6232265383</v>
      </c>
      <c r="AF209" s="40">
        <f t="shared" si="46"/>
        <v>2.0867792306731081E-2</v>
      </c>
      <c r="AG209" s="1"/>
      <c r="AH209" s="1"/>
      <c r="AI209" s="1"/>
      <c r="AJ209" s="1"/>
      <c r="AK209" s="1"/>
      <c r="AL209" s="1"/>
    </row>
    <row r="210" spans="1:38" x14ac:dyDescent="0.35">
      <c r="A210" s="1"/>
      <c r="B210" s="10" t="s">
        <v>202</v>
      </c>
      <c r="C210" s="15">
        <v>-2.3E-3</v>
      </c>
      <c r="D210" s="38">
        <f t="shared" si="32"/>
        <v>0.24347092703621948</v>
      </c>
      <c r="E210" s="32">
        <f t="shared" si="47"/>
        <v>152574.18390582758</v>
      </c>
      <c r="F210" s="49">
        <v>38865.85</v>
      </c>
      <c r="G210" s="19">
        <v>4.0500000000000001E-2</v>
      </c>
      <c r="H210" s="38">
        <f t="shared" si="33"/>
        <v>0.18281914307246208</v>
      </c>
      <c r="I210" s="32">
        <f t="shared" si="40"/>
        <v>114565.96438922713</v>
      </c>
      <c r="J210" s="49">
        <v>32813.879999999997</v>
      </c>
      <c r="K210" s="19">
        <v>4.87E-2</v>
      </c>
      <c r="L210" s="38">
        <f t="shared" si="34"/>
        <v>0.3582831875339299</v>
      </c>
      <c r="M210" s="32">
        <f t="shared" si="41"/>
        <v>224522.76175477757</v>
      </c>
      <c r="N210" s="49">
        <v>171315.5</v>
      </c>
      <c r="O210" s="20">
        <v>2.2100000000000002E-2</v>
      </c>
      <c r="P210" s="38">
        <f t="shared" si="35"/>
        <v>6.983908131875019E-2</v>
      </c>
      <c r="Q210" s="31">
        <f t="shared" si="42"/>
        <v>43765.557418508019</v>
      </c>
      <c r="R210" s="48">
        <v>-142601.81</v>
      </c>
      <c r="S210" s="17">
        <v>-4.7000000000000002E-3</v>
      </c>
      <c r="T210" s="38">
        <f t="shared" si="36"/>
        <v>0.11658490632720199</v>
      </c>
      <c r="U210" s="31">
        <f t="shared" si="43"/>
        <v>73059.429128324729</v>
      </c>
      <c r="V210" s="49">
        <v>55781.34</v>
      </c>
      <c r="W210" s="24">
        <v>-9.5999999999999992E-3</v>
      </c>
      <c r="X210" s="38">
        <f t="shared" si="37"/>
        <v>2.900274461117237E-2</v>
      </c>
      <c r="Y210" s="31">
        <f t="shared" si="44"/>
        <v>18174.94246210545</v>
      </c>
      <c r="Z210" s="48">
        <v>-156174.75</v>
      </c>
      <c r="AA210" s="26">
        <v>2.6200000000000001E-2</v>
      </c>
      <c r="AB210" s="38">
        <f t="shared" si="38"/>
        <v>1.0100263981539419E-8</v>
      </c>
      <c r="AC210" s="31">
        <f t="shared" si="45"/>
        <v>6.3294601658437514E-3</v>
      </c>
      <c r="AD210" s="47">
        <v>0</v>
      </c>
      <c r="AE210" s="37">
        <f t="shared" si="39"/>
        <v>626662.84538823063</v>
      </c>
      <c r="AF210" s="40">
        <f t="shared" si="46"/>
        <v>2.4455016438822641E-2</v>
      </c>
      <c r="AG210" s="1"/>
      <c r="AH210" s="1"/>
      <c r="AI210" s="1"/>
      <c r="AJ210" s="1"/>
      <c r="AK210" s="1"/>
      <c r="AL210" s="1"/>
    </row>
    <row r="211" spans="1:38" x14ac:dyDescent="0.35">
      <c r="A211" s="1"/>
      <c r="B211" s="11" t="s">
        <v>203</v>
      </c>
      <c r="C211" s="20">
        <v>2.4199999999999999E-2</v>
      </c>
      <c r="D211" s="38">
        <f t="shared" si="32"/>
        <v>0.24164191197294671</v>
      </c>
      <c r="E211" s="32">
        <f t="shared" si="47"/>
        <v>156266.47915634862</v>
      </c>
      <c r="F211" s="47">
        <v>0</v>
      </c>
      <c r="G211" s="19">
        <v>7.9000000000000008E-3</v>
      </c>
      <c r="H211" s="38">
        <f t="shared" si="33"/>
        <v>0.17855807559155509</v>
      </c>
      <c r="I211" s="32">
        <f t="shared" si="40"/>
        <v>115471.03550790202</v>
      </c>
      <c r="J211" s="47">
        <v>0</v>
      </c>
      <c r="K211" s="19">
        <v>9.3399999999999997E-2</v>
      </c>
      <c r="L211" s="38">
        <f t="shared" si="34"/>
        <v>0.37961719988235587</v>
      </c>
      <c r="M211" s="32">
        <f t="shared" si="41"/>
        <v>245493.18770267381</v>
      </c>
      <c r="N211" s="47">
        <v>0</v>
      </c>
      <c r="O211" s="15">
        <v>-0.12509999999999999</v>
      </c>
      <c r="P211" s="38">
        <f t="shared" si="35"/>
        <v>5.9210307560388788E-2</v>
      </c>
      <c r="Q211" s="31">
        <f t="shared" si="42"/>
        <v>38290.486185452668</v>
      </c>
      <c r="R211" s="47">
        <v>0</v>
      </c>
      <c r="S211" s="19">
        <v>1.4200000000000001E-2</v>
      </c>
      <c r="T211" s="38">
        <f t="shared" si="36"/>
        <v>0.11457934014322797</v>
      </c>
      <c r="U211" s="31">
        <f t="shared" si="43"/>
        <v>74096.873021946943</v>
      </c>
      <c r="V211" s="47">
        <v>0</v>
      </c>
      <c r="W211" s="24">
        <v>-6.0900000000000003E-2</v>
      </c>
      <c r="X211" s="38">
        <f t="shared" si="37"/>
        <v>2.6393155799975171E-2</v>
      </c>
      <c r="Y211" s="31">
        <f t="shared" si="44"/>
        <v>17068.088466163226</v>
      </c>
      <c r="Z211" s="47">
        <v>0</v>
      </c>
      <c r="AA211" s="27">
        <v>-7.5399999999999995E-2</v>
      </c>
      <c r="AB211" s="38">
        <f t="shared" si="38"/>
        <v>9.0495502586730695E-9</v>
      </c>
      <c r="AC211" s="31">
        <f t="shared" si="45"/>
        <v>5.852218869339133E-3</v>
      </c>
      <c r="AD211" s="47">
        <v>0</v>
      </c>
      <c r="AE211" s="37">
        <f t="shared" si="39"/>
        <v>646686.15589270624</v>
      </c>
      <c r="AF211" s="40">
        <f t="shared" si="46"/>
        <v>3.195228606870848E-2</v>
      </c>
      <c r="AG211" s="1"/>
      <c r="AH211" s="1"/>
      <c r="AI211" s="1"/>
      <c r="AJ211" s="1"/>
      <c r="AK211" s="1"/>
      <c r="AL211" s="1"/>
    </row>
    <row r="212" spans="1:38" x14ac:dyDescent="0.35">
      <c r="A212" s="1"/>
      <c r="B212" s="10" t="s">
        <v>204</v>
      </c>
      <c r="C212" s="20">
        <v>8.6999999999999994E-3</v>
      </c>
      <c r="D212" s="38">
        <f t="shared" si="32"/>
        <v>0.23728021281037009</v>
      </c>
      <c r="E212" s="32">
        <f t="shared" si="47"/>
        <v>157625.99752500886</v>
      </c>
      <c r="F212" s="47">
        <v>0</v>
      </c>
      <c r="G212" s="19">
        <v>3.1199999999999999E-2</v>
      </c>
      <c r="H212" s="38">
        <f t="shared" si="33"/>
        <v>0.17924606897972536</v>
      </c>
      <c r="I212" s="32">
        <f t="shared" si="40"/>
        <v>119073.73181574857</v>
      </c>
      <c r="J212" s="47">
        <v>0</v>
      </c>
      <c r="K212" s="19">
        <v>5.3400000000000003E-2</v>
      </c>
      <c r="L212" s="38">
        <f t="shared" si="34"/>
        <v>0.38928389272032199</v>
      </c>
      <c r="M212" s="32">
        <f t="shared" si="41"/>
        <v>258602.52392599659</v>
      </c>
      <c r="N212" s="47">
        <v>0</v>
      </c>
      <c r="O212" s="20">
        <v>3.8899999999999997E-2</v>
      </c>
      <c r="P212" s="38">
        <f t="shared" si="35"/>
        <v>5.9882276497220971E-2</v>
      </c>
      <c r="Q212" s="31">
        <f t="shared" si="42"/>
        <v>39779.98609806678</v>
      </c>
      <c r="R212" s="47">
        <v>0</v>
      </c>
      <c r="S212" s="17">
        <v>-1.67E-2</v>
      </c>
      <c r="T212" s="38">
        <f t="shared" si="36"/>
        <v>0.10967801832588224</v>
      </c>
      <c r="U212" s="31">
        <f t="shared" si="43"/>
        <v>72859.455242480428</v>
      </c>
      <c r="V212" s="47">
        <v>0</v>
      </c>
      <c r="W212" s="24">
        <v>-4.1399999999999999E-2</v>
      </c>
      <c r="X212" s="38">
        <f t="shared" si="37"/>
        <v>2.4629522099181993E-2</v>
      </c>
      <c r="Y212" s="31">
        <f t="shared" si="44"/>
        <v>16361.469603664069</v>
      </c>
      <c r="Z212" s="47">
        <v>0</v>
      </c>
      <c r="AA212" s="27">
        <v>-2.75E-2</v>
      </c>
      <c r="AB212" s="38">
        <f t="shared" si="38"/>
        <v>8.567297445336256E-9</v>
      </c>
      <c r="AC212" s="31">
        <f t="shared" si="45"/>
        <v>5.6912828504323068E-3</v>
      </c>
      <c r="AD212" s="47">
        <v>0</v>
      </c>
      <c r="AE212" s="37">
        <f t="shared" si="39"/>
        <v>664303.16990224808</v>
      </c>
      <c r="AF212" s="40">
        <f t="shared" si="46"/>
        <v>2.7241984151064269E-2</v>
      </c>
      <c r="AG212" s="1"/>
      <c r="AH212" s="1"/>
      <c r="AI212" s="1"/>
      <c r="AJ212" s="1"/>
      <c r="AK212" s="1"/>
      <c r="AL212" s="1"/>
    </row>
    <row r="213" spans="1:38" x14ac:dyDescent="0.35">
      <c r="A213" s="1"/>
      <c r="B213" s="9" t="s">
        <v>205</v>
      </c>
      <c r="C213" s="20">
        <v>3.56E-2</v>
      </c>
      <c r="D213" s="38">
        <f t="shared" si="32"/>
        <v>0.17451464743573139</v>
      </c>
      <c r="E213" s="32">
        <f t="shared" si="47"/>
        <v>123831.4221288992</v>
      </c>
      <c r="F213" s="48">
        <v>-38051.43</v>
      </c>
      <c r="G213" s="19">
        <v>8.0500000000000002E-2</v>
      </c>
      <c r="H213" s="38">
        <f t="shared" si="33"/>
        <v>0.25289027378990225</v>
      </c>
      <c r="I213" s="32">
        <f t="shared" si="40"/>
        <v>179444.89305691633</v>
      </c>
      <c r="J213" s="49">
        <v>47002.06</v>
      </c>
      <c r="K213" s="19">
        <v>9.8000000000000004E-2</v>
      </c>
      <c r="L213" s="38">
        <f t="shared" si="34"/>
        <v>0.35978059960354564</v>
      </c>
      <c r="M213" s="32">
        <f t="shared" si="41"/>
        <v>255291.71309074425</v>
      </c>
      <c r="N213" s="48">
        <v>-26096.41</v>
      </c>
      <c r="O213" s="20">
        <v>1.9E-2</v>
      </c>
      <c r="P213" s="38">
        <f t="shared" si="35"/>
        <v>6.6778939576420102E-2</v>
      </c>
      <c r="Q213" s="31">
        <f t="shared" si="42"/>
        <v>47384.739203930047</v>
      </c>
      <c r="R213" s="49">
        <v>6721.23</v>
      </c>
      <c r="S213" s="19">
        <v>4.7600000000000003E-2</v>
      </c>
      <c r="T213" s="38">
        <f t="shared" si="36"/>
        <v>0.11769121766890249</v>
      </c>
      <c r="U213" s="31">
        <f t="shared" si="43"/>
        <v>83510.874704022499</v>
      </c>
      <c r="V213" s="49">
        <v>6856.92</v>
      </c>
      <c r="W213" s="25">
        <v>9.1999999999999998E-3</v>
      </c>
      <c r="X213" s="38">
        <f t="shared" si="37"/>
        <v>2.8344313525439962E-2</v>
      </c>
      <c r="Y213" s="31">
        <f t="shared" si="44"/>
        <v>20112.447320017778</v>
      </c>
      <c r="Z213" s="49">
        <v>3567.63</v>
      </c>
      <c r="AA213" s="26">
        <v>4.7300000000000002E-2</v>
      </c>
      <c r="AB213" s="38">
        <f t="shared" si="38"/>
        <v>8.4000582423110488E-9</v>
      </c>
      <c r="AC213" s="31">
        <f t="shared" si="45"/>
        <v>5.9604805292577546E-3</v>
      </c>
      <c r="AD213" s="47">
        <v>0</v>
      </c>
      <c r="AE213" s="37">
        <f t="shared" si="39"/>
        <v>709576.09546501061</v>
      </c>
      <c r="AF213" s="40">
        <f t="shared" si="46"/>
        <v>6.81510003473631E-2</v>
      </c>
      <c r="AG213" s="1"/>
      <c r="AH213" s="1"/>
      <c r="AI213" s="1"/>
      <c r="AJ213" s="1"/>
      <c r="AK213" s="1"/>
      <c r="AL213" s="1"/>
    </row>
    <row r="214" spans="1:38" x14ac:dyDescent="0.35">
      <c r="A214" s="1"/>
      <c r="B214" s="10" t="s">
        <v>206</v>
      </c>
      <c r="C214" s="20">
        <v>4.2700000000000002E-2</v>
      </c>
      <c r="D214" s="38">
        <f t="shared" si="32"/>
        <v>0.17433557429447433</v>
      </c>
      <c r="E214" s="32">
        <f t="shared" si="47"/>
        <v>129119.0238538032</v>
      </c>
      <c r="F214" s="47">
        <v>0</v>
      </c>
      <c r="G214" s="19">
        <v>2.4199999999999999E-2</v>
      </c>
      <c r="H214" s="38">
        <f t="shared" si="33"/>
        <v>0.24814850157874896</v>
      </c>
      <c r="I214" s="32">
        <f t="shared" si="40"/>
        <v>183787.45946889371</v>
      </c>
      <c r="J214" s="47">
        <v>0</v>
      </c>
      <c r="K214" s="19">
        <v>7.9299999999999995E-2</v>
      </c>
      <c r="L214" s="38">
        <f t="shared" si="34"/>
        <v>0.37202718603757295</v>
      </c>
      <c r="M214" s="32">
        <f t="shared" si="41"/>
        <v>275536.34593884024</v>
      </c>
      <c r="N214" s="47">
        <v>0</v>
      </c>
      <c r="O214" s="15">
        <v>-4.6600000000000003E-2</v>
      </c>
      <c r="P214" s="38">
        <f t="shared" si="35"/>
        <v>6.0997133313117111E-2</v>
      </c>
      <c r="Q214" s="31">
        <f t="shared" si="42"/>
        <v>45176.610357026904</v>
      </c>
      <c r="R214" s="47">
        <v>0</v>
      </c>
      <c r="S214" s="19">
        <v>5.0999999999999997E-2</v>
      </c>
      <c r="T214" s="38">
        <f t="shared" si="36"/>
        <v>0.11850632521861564</v>
      </c>
      <c r="U214" s="31">
        <f t="shared" si="43"/>
        <v>87769.929313927641</v>
      </c>
      <c r="V214" s="47">
        <v>0</v>
      </c>
      <c r="W214" s="24">
        <v>-4.3099999999999999E-2</v>
      </c>
      <c r="X214" s="38">
        <f t="shared" si="37"/>
        <v>2.5985271380103595E-2</v>
      </c>
      <c r="Y214" s="31">
        <f t="shared" si="44"/>
        <v>19245.60084052501</v>
      </c>
      <c r="Z214" s="47">
        <v>0</v>
      </c>
      <c r="AA214" s="26">
        <v>1.61E-2</v>
      </c>
      <c r="AB214" s="38">
        <f t="shared" si="38"/>
        <v>8.1773673448192171E-9</v>
      </c>
      <c r="AC214" s="31">
        <f t="shared" si="45"/>
        <v>6.0564442657788046E-3</v>
      </c>
      <c r="AD214" s="47">
        <v>0</v>
      </c>
      <c r="AE214" s="37">
        <f t="shared" si="39"/>
        <v>740634.97582946101</v>
      </c>
      <c r="AF214" s="40">
        <f t="shared" si="46"/>
        <v>4.3771035358929788E-2</v>
      </c>
      <c r="AG214" s="1"/>
      <c r="AH214" s="1"/>
      <c r="AI214" s="1"/>
      <c r="AJ214" s="1"/>
      <c r="AK214" s="1"/>
      <c r="AL214" s="1"/>
    </row>
    <row r="215" spans="1:38" x14ac:dyDescent="0.35">
      <c r="A215" s="1"/>
      <c r="B215" s="11" t="s">
        <v>207</v>
      </c>
      <c r="C215" s="20">
        <v>8.7999999999999995E-2</v>
      </c>
      <c r="D215" s="38">
        <f t="shared" si="32"/>
        <v>0.17936951921892469</v>
      </c>
      <c r="E215" s="32">
        <f t="shared" si="47"/>
        <v>140481.49795293788</v>
      </c>
      <c r="F215" s="47">
        <v>0</v>
      </c>
      <c r="G215" s="19">
        <v>3.61E-2</v>
      </c>
      <c r="H215" s="38">
        <f t="shared" si="33"/>
        <v>0.24313476567876832</v>
      </c>
      <c r="I215" s="32">
        <f t="shared" si="40"/>
        <v>190422.18675572076</v>
      </c>
      <c r="J215" s="47">
        <v>0</v>
      </c>
      <c r="K215" s="19">
        <v>5.6300000000000003E-2</v>
      </c>
      <c r="L215" s="38">
        <f t="shared" si="34"/>
        <v>0.371617099276358</v>
      </c>
      <c r="M215" s="32">
        <f t="shared" si="41"/>
        <v>291049.04221519694</v>
      </c>
      <c r="N215" s="47">
        <v>0</v>
      </c>
      <c r="O215" s="20">
        <v>2.86E-2</v>
      </c>
      <c r="P215" s="38">
        <f t="shared" si="35"/>
        <v>5.933209410417712E-2</v>
      </c>
      <c r="Q215" s="31">
        <f t="shared" si="42"/>
        <v>46468.661413237875</v>
      </c>
      <c r="R215" s="47">
        <v>0</v>
      </c>
      <c r="S215" s="19">
        <v>9.11E-2</v>
      </c>
      <c r="T215" s="38">
        <f t="shared" si="36"/>
        <v>0.12227560461919765</v>
      </c>
      <c r="U215" s="31">
        <f t="shared" si="43"/>
        <v>95765.769874426449</v>
      </c>
      <c r="V215" s="47">
        <v>0</v>
      </c>
      <c r="W215" s="24">
        <v>-1.23E-2</v>
      </c>
      <c r="X215" s="38">
        <f t="shared" si="37"/>
        <v>2.4270909032429736E-2</v>
      </c>
      <c r="Y215" s="31">
        <f t="shared" si="44"/>
        <v>19008.879950186554</v>
      </c>
      <c r="Z215" s="47">
        <v>0</v>
      </c>
      <c r="AA215" s="26">
        <v>4.36E-2</v>
      </c>
      <c r="AB215" s="38">
        <f t="shared" si="38"/>
        <v>8.0701444808054246E-9</v>
      </c>
      <c r="AC215" s="31">
        <f t="shared" si="45"/>
        <v>6.3205052357667608E-3</v>
      </c>
      <c r="AD215" s="47">
        <v>0</v>
      </c>
      <c r="AE215" s="37">
        <f t="shared" si="39"/>
        <v>783196.0444822117</v>
      </c>
      <c r="AF215" s="40">
        <f t="shared" si="46"/>
        <v>5.746564777755081E-2</v>
      </c>
      <c r="AG215" s="1"/>
      <c r="AH215" s="1"/>
      <c r="AI215" s="1"/>
      <c r="AJ215" s="1"/>
      <c r="AK215" s="1"/>
      <c r="AL215" s="1"/>
    </row>
    <row r="216" spans="1:38" x14ac:dyDescent="0.35">
      <c r="A216" s="1"/>
      <c r="B216" s="10" t="s">
        <v>208</v>
      </c>
      <c r="C216" s="16">
        <v>-2.7E-2</v>
      </c>
      <c r="D216" s="38">
        <f t="shared" si="32"/>
        <v>0.18367116029298725</v>
      </c>
      <c r="E216" s="32">
        <f t="shared" si="47"/>
        <v>137168.95517820856</v>
      </c>
      <c r="F216" s="49">
        <v>493.79</v>
      </c>
      <c r="G216" s="17">
        <v>-6.4299999999999996E-2</v>
      </c>
      <c r="H216" s="38">
        <f t="shared" si="33"/>
        <v>0.24531960277579357</v>
      </c>
      <c r="I216" s="32">
        <f t="shared" si="40"/>
        <v>183209.13062132793</v>
      </c>
      <c r="J216" s="49">
        <v>5376.82</v>
      </c>
      <c r="K216" s="17">
        <v>-5.8900000000000001E-2</v>
      </c>
      <c r="L216" s="38">
        <f t="shared" si="34"/>
        <v>0.3454295101980025</v>
      </c>
      <c r="M216" s="32">
        <f t="shared" si="41"/>
        <v>257973.02595572185</v>
      </c>
      <c r="N216" s="48">
        <v>-16930.43</v>
      </c>
      <c r="O216" s="16">
        <v>-4.2200000000000001E-2</v>
      </c>
      <c r="P216" s="38">
        <f t="shared" si="35"/>
        <v>7.0311843301022109E-2</v>
      </c>
      <c r="Q216" s="31">
        <f t="shared" si="42"/>
        <v>52510.160369599231</v>
      </c>
      <c r="R216" s="49">
        <v>8355.06</v>
      </c>
      <c r="S216" s="17">
        <v>-2.8E-3</v>
      </c>
      <c r="T216" s="38">
        <f t="shared" si="36"/>
        <v>0.12549288829523059</v>
      </c>
      <c r="U216" s="31">
        <f t="shared" si="43"/>
        <v>93720.366018778048</v>
      </c>
      <c r="V216" s="48">
        <v>-1782.25</v>
      </c>
      <c r="W216" s="24">
        <v>-5.3600000000000002E-2</v>
      </c>
      <c r="X216" s="38">
        <f t="shared" si="37"/>
        <v>2.9774987311847401E-2</v>
      </c>
      <c r="Y216" s="31">
        <f t="shared" si="44"/>
        <v>22236.500784856555</v>
      </c>
      <c r="Z216" s="49">
        <v>4487</v>
      </c>
      <c r="AA216" s="27">
        <v>-7.5399999999999995E-2</v>
      </c>
      <c r="AB216" s="38">
        <f t="shared" si="38"/>
        <v>7.8251167059829541E-9</v>
      </c>
      <c r="AC216" s="31">
        <f t="shared" si="45"/>
        <v>5.8439391409899474E-3</v>
      </c>
      <c r="AD216" s="47">
        <v>0</v>
      </c>
      <c r="AE216" s="37">
        <f t="shared" si="39"/>
        <v>746818.14477243123</v>
      </c>
      <c r="AF216" s="40">
        <f t="shared" si="46"/>
        <v>-4.6448012558376384E-2</v>
      </c>
      <c r="AG216" s="1"/>
      <c r="AH216" s="1"/>
      <c r="AI216" s="1"/>
      <c r="AJ216" s="1"/>
      <c r="AK216" s="1"/>
      <c r="AL216" s="1"/>
    </row>
    <row r="217" spans="1:38" x14ac:dyDescent="0.35">
      <c r="A217" s="1"/>
      <c r="B217" s="11" t="s">
        <v>209</v>
      </c>
      <c r="C217" s="16">
        <v>-1.29E-2</v>
      </c>
      <c r="D217" s="38">
        <f t="shared" si="32"/>
        <v>0.18244426882024828</v>
      </c>
      <c r="E217" s="32">
        <f t="shared" si="47"/>
        <v>135399.47565640966</v>
      </c>
      <c r="F217" s="47">
        <v>0</v>
      </c>
      <c r="G217" s="17">
        <v>-2.0999999999999999E-3</v>
      </c>
      <c r="H217" s="38">
        <f t="shared" si="33"/>
        <v>0.24634705753736788</v>
      </c>
      <c r="I217" s="32">
        <f t="shared" si="40"/>
        <v>182824.39144702314</v>
      </c>
      <c r="J217" s="47">
        <v>0</v>
      </c>
      <c r="K217" s="17">
        <v>-1.5699999999999999E-2</v>
      </c>
      <c r="L217" s="38">
        <f t="shared" si="34"/>
        <v>0.34214880360314665</v>
      </c>
      <c r="M217" s="32">
        <f t="shared" si="41"/>
        <v>253922.84944821702</v>
      </c>
      <c r="N217" s="47">
        <v>0</v>
      </c>
      <c r="O217" s="18">
        <v>5.6000000000000001E-2</v>
      </c>
      <c r="P217" s="38">
        <f t="shared" si="35"/>
        <v>7.4717185741076886E-2</v>
      </c>
      <c r="Q217" s="31">
        <f t="shared" si="42"/>
        <v>55450.729350296788</v>
      </c>
      <c r="R217" s="47">
        <v>0</v>
      </c>
      <c r="S217" s="17">
        <v>-1.04E-2</v>
      </c>
      <c r="T217" s="38">
        <f t="shared" si="36"/>
        <v>0.12497032677453816</v>
      </c>
      <c r="U217" s="31">
        <f t="shared" si="43"/>
        <v>92745.674212182756</v>
      </c>
      <c r="V217" s="47">
        <v>0</v>
      </c>
      <c r="W217" s="24">
        <v>-1.9699999999999999E-2</v>
      </c>
      <c r="X217" s="38">
        <f t="shared" si="37"/>
        <v>2.9372349794085248E-2</v>
      </c>
      <c r="Y217" s="31">
        <f t="shared" si="44"/>
        <v>21798.441719394879</v>
      </c>
      <c r="Z217" s="47">
        <v>0</v>
      </c>
      <c r="AA217" s="27">
        <v>-1.84E-2</v>
      </c>
      <c r="AB217" s="38">
        <f t="shared" si="38"/>
        <v>7.7295369393995953E-9</v>
      </c>
      <c r="AC217" s="31">
        <f t="shared" si="45"/>
        <v>5.7364106607957323E-3</v>
      </c>
      <c r="AD217" s="47">
        <v>0</v>
      </c>
      <c r="AE217" s="37">
        <f t="shared" si="39"/>
        <v>742141.56756993488</v>
      </c>
      <c r="AF217" s="40">
        <f t="shared" si="46"/>
        <v>-6.2620026511559512E-3</v>
      </c>
      <c r="AG217" s="1"/>
      <c r="AH217" s="1"/>
      <c r="AI217" s="1"/>
      <c r="AJ217" s="1"/>
      <c r="AK217" s="1"/>
      <c r="AL217" s="1"/>
    </row>
    <row r="218" spans="1:38" x14ac:dyDescent="0.35">
      <c r="A218" s="1"/>
      <c r="B218" s="10" t="s">
        <v>210</v>
      </c>
      <c r="C218" s="16">
        <v>-3.3300000000000003E-2</v>
      </c>
      <c r="D218" s="38">
        <f t="shared" si="32"/>
        <v>0.18472174259709168</v>
      </c>
      <c r="E218" s="32">
        <f t="shared" si="47"/>
        <v>130890.67311705122</v>
      </c>
      <c r="F218" s="47">
        <v>0</v>
      </c>
      <c r="G218" s="17">
        <v>-4.9500000000000002E-2</v>
      </c>
      <c r="H218" s="38">
        <f t="shared" si="33"/>
        <v>0.24524240898251279</v>
      </c>
      <c r="I218" s="32">
        <f t="shared" si="40"/>
        <v>173774.5840703955</v>
      </c>
      <c r="J218" s="47">
        <v>0</v>
      </c>
      <c r="K218" s="17">
        <v>-3.8100000000000002E-2</v>
      </c>
      <c r="L218" s="38">
        <f t="shared" si="34"/>
        <v>0.34469979370402803</v>
      </c>
      <c r="M218" s="32">
        <f t="shared" si="41"/>
        <v>244248.38888423995</v>
      </c>
      <c r="N218" s="47">
        <v>0</v>
      </c>
      <c r="O218" s="17">
        <v>-0.1202</v>
      </c>
      <c r="P218" s="38">
        <f t="shared" si="35"/>
        <v>6.8849459672904664E-2</v>
      </c>
      <c r="Q218" s="31">
        <f t="shared" si="42"/>
        <v>48785.551682391117</v>
      </c>
      <c r="R218" s="47">
        <v>0</v>
      </c>
      <c r="S218" s="17">
        <v>-3.6200000000000003E-2</v>
      </c>
      <c r="T218" s="38">
        <f t="shared" si="36"/>
        <v>0.1261507684617168</v>
      </c>
      <c r="U218" s="31">
        <f t="shared" si="43"/>
        <v>89388.280805701739</v>
      </c>
      <c r="V218" s="47">
        <v>0</v>
      </c>
      <c r="W218" s="24">
        <v>-1.3899999999999999E-2</v>
      </c>
      <c r="X218" s="38">
        <f t="shared" si="37"/>
        <v>3.0335818927347429E-2</v>
      </c>
      <c r="Y218" s="31">
        <f t="shared" si="44"/>
        <v>21495.443379495289</v>
      </c>
      <c r="Z218" s="47">
        <v>0</v>
      </c>
      <c r="AA218" s="27">
        <v>-5.45E-2</v>
      </c>
      <c r="AB218" s="38">
        <f t="shared" si="38"/>
        <v>7.6543987588956235E-9</v>
      </c>
      <c r="AC218" s="31">
        <f t="shared" si="45"/>
        <v>5.4237762797823648E-3</v>
      </c>
      <c r="AD218" s="47">
        <v>0</v>
      </c>
      <c r="AE218" s="37">
        <f t="shared" si="39"/>
        <v>708582.92736305099</v>
      </c>
      <c r="AF218" s="40">
        <f t="shared" si="46"/>
        <v>-4.5218650555807205E-2</v>
      </c>
      <c r="AG218" s="1"/>
      <c r="AH218" s="1"/>
      <c r="AI218" s="1"/>
      <c r="AJ218" s="1"/>
      <c r="AK218" s="1"/>
      <c r="AL218" s="1"/>
    </row>
    <row r="219" spans="1:38" x14ac:dyDescent="0.35">
      <c r="A219" s="1"/>
      <c r="B219" s="11" t="s">
        <v>211</v>
      </c>
      <c r="C219" s="20">
        <v>4.8800000000000003E-2</v>
      </c>
      <c r="D219" s="38">
        <f t="shared" si="32"/>
        <v>0.18370349714957079</v>
      </c>
      <c r="E219" s="32">
        <f t="shared" si="47"/>
        <v>133769.12585316334</v>
      </c>
      <c r="F219" s="48">
        <v>-3345.74</v>
      </c>
      <c r="G219" s="17">
        <v>-4.0599999999999997E-2</v>
      </c>
      <c r="H219" s="38">
        <f t="shared" si="33"/>
        <v>9.3358086452083835E-2</v>
      </c>
      <c r="I219" s="32">
        <f t="shared" si="40"/>
        <v>67981.447331137446</v>
      </c>
      <c r="J219" s="48">
        <v>-102916.29</v>
      </c>
      <c r="K219" s="17">
        <v>-1.17E-2</v>
      </c>
      <c r="L219" s="38">
        <f t="shared" si="34"/>
        <v>0.30774499385244536</v>
      </c>
      <c r="M219" s="32">
        <f t="shared" si="41"/>
        <v>224093.60437929432</v>
      </c>
      <c r="N219" s="48">
        <v>-17501.849999999999</v>
      </c>
      <c r="O219" s="18">
        <v>5.0999999999999997E-2</v>
      </c>
      <c r="P219" s="38">
        <f t="shared" si="35"/>
        <v>7.1590110777637342E-2</v>
      </c>
      <c r="Q219" s="31">
        <f t="shared" si="42"/>
        <v>52130.453078193066</v>
      </c>
      <c r="R219" s="49">
        <v>815.26</v>
      </c>
      <c r="S219" s="19">
        <v>7.0800000000000002E-2</v>
      </c>
      <c r="T219" s="38">
        <f t="shared" si="36"/>
        <v>0.31259486651636148</v>
      </c>
      <c r="U219" s="31">
        <f t="shared" si="43"/>
        <v>227625.18236674543</v>
      </c>
      <c r="V219" s="49">
        <v>123186.6</v>
      </c>
      <c r="W219" s="25">
        <v>6.2199999999999998E-2</v>
      </c>
      <c r="X219" s="38">
        <f t="shared" si="37"/>
        <v>3.1008437615051176E-2</v>
      </c>
      <c r="Y219" s="31">
        <f t="shared" si="44"/>
        <v>22579.709467699897</v>
      </c>
      <c r="Z219" s="48">
        <v>-237.95</v>
      </c>
      <c r="AA219" s="26">
        <v>2.53E-2</v>
      </c>
      <c r="AB219" s="38">
        <f t="shared" si="38"/>
        <v>7.6368499875988398E-9</v>
      </c>
      <c r="AC219" s="31">
        <f t="shared" si="45"/>
        <v>5.560997819660859E-3</v>
      </c>
      <c r="AD219" s="47">
        <v>0</v>
      </c>
      <c r="AE219" s="37">
        <f t="shared" si="39"/>
        <v>728179.5280372313</v>
      </c>
      <c r="AF219" s="40">
        <f t="shared" si="46"/>
        <v>2.7656044080976994E-2</v>
      </c>
      <c r="AG219" s="1"/>
      <c r="AH219" s="1"/>
      <c r="AI219" s="1"/>
      <c r="AJ219" s="1"/>
      <c r="AK219" s="1"/>
      <c r="AL219" s="1"/>
    </row>
    <row r="220" spans="1:38" x14ac:dyDescent="0.35">
      <c r="A220" s="1"/>
      <c r="B220" s="10" t="s">
        <v>212</v>
      </c>
      <c r="C220" s="20">
        <v>4.9799999999999997E-2</v>
      </c>
      <c r="D220" s="38">
        <f t="shared" si="32"/>
        <v>0.18529943635767432</v>
      </c>
      <c r="E220" s="32">
        <f t="shared" si="47"/>
        <v>140430.82832065088</v>
      </c>
      <c r="F220" s="47">
        <v>0</v>
      </c>
      <c r="G220" s="19">
        <v>3.6200000000000003E-2</v>
      </c>
      <c r="H220" s="38">
        <f t="shared" si="33"/>
        <v>9.2949195511726895E-2</v>
      </c>
      <c r="I220" s="32">
        <f t="shared" si="40"/>
        <v>70442.375724524623</v>
      </c>
      <c r="J220" s="47">
        <v>0</v>
      </c>
      <c r="K220" s="19">
        <v>4.2700000000000002E-2</v>
      </c>
      <c r="L220" s="38">
        <f t="shared" si="34"/>
        <v>0.30831913315691256</v>
      </c>
      <c r="M220" s="32">
        <f t="shared" si="41"/>
        <v>233662.4012862902</v>
      </c>
      <c r="N220" s="47">
        <v>0</v>
      </c>
      <c r="O220" s="18">
        <v>1.9800000000000002E-2</v>
      </c>
      <c r="P220" s="38">
        <f t="shared" si="35"/>
        <v>7.0148461082212607E-2</v>
      </c>
      <c r="Q220" s="31">
        <f t="shared" si="42"/>
        <v>53162.636049141292</v>
      </c>
      <c r="R220" s="47">
        <v>0</v>
      </c>
      <c r="S220" s="19">
        <v>4.2200000000000001E-2</v>
      </c>
      <c r="T220" s="38">
        <f t="shared" si="36"/>
        <v>0.31302787741391325</v>
      </c>
      <c r="U220" s="31">
        <f t="shared" si="43"/>
        <v>237230.9650626221</v>
      </c>
      <c r="V220" s="47">
        <v>0</v>
      </c>
      <c r="W220" s="25">
        <v>1.55E-2</v>
      </c>
      <c r="X220" s="38">
        <f t="shared" si="37"/>
        <v>3.025588899229641E-2</v>
      </c>
      <c r="Y220" s="31">
        <f t="shared" si="44"/>
        <v>22929.694964449245</v>
      </c>
      <c r="Z220" s="47">
        <v>0</v>
      </c>
      <c r="AA220" s="26">
        <v>2.01E-2</v>
      </c>
      <c r="AB220" s="38">
        <f t="shared" si="38"/>
        <v>7.4852638437537502E-9</v>
      </c>
      <c r="AC220" s="31">
        <f t="shared" si="45"/>
        <v>5.6727738758360425E-3</v>
      </c>
      <c r="AD220" s="47">
        <v>0</v>
      </c>
      <c r="AE220" s="37">
        <f t="shared" si="39"/>
        <v>757858.90708045231</v>
      </c>
      <c r="AF220" s="40">
        <f t="shared" si="46"/>
        <v>4.0758326622035268E-2</v>
      </c>
      <c r="AG220" s="1"/>
      <c r="AH220" s="1"/>
      <c r="AI220" s="1"/>
      <c r="AJ220" s="1"/>
      <c r="AK220" s="1"/>
      <c r="AL220" s="1"/>
    </row>
    <row r="221" spans="1:38" x14ac:dyDescent="0.35">
      <c r="A221" s="1"/>
      <c r="B221" s="11" t="s">
        <v>213</v>
      </c>
      <c r="C221" s="16">
        <v>-5.1000000000000004E-3</v>
      </c>
      <c r="D221" s="38">
        <f t="shared" si="32"/>
        <v>0.18478718525735932</v>
      </c>
      <c r="E221" s="32">
        <f t="shared" si="47"/>
        <v>139714.63109621557</v>
      </c>
      <c r="F221" s="47">
        <v>0</v>
      </c>
      <c r="G221" s="19">
        <v>4.1000000000000003E-3</v>
      </c>
      <c r="H221" s="38">
        <f t="shared" si="33"/>
        <v>9.3549382112604496E-2</v>
      </c>
      <c r="I221" s="32">
        <f t="shared" si="40"/>
        <v>70731.189464995172</v>
      </c>
      <c r="J221" s="47">
        <v>0</v>
      </c>
      <c r="K221" s="19">
        <v>1.14E-2</v>
      </c>
      <c r="L221" s="38">
        <f t="shared" si="34"/>
        <v>0.31256600837205767</v>
      </c>
      <c r="M221" s="32">
        <f t="shared" si="41"/>
        <v>236326.1526609539</v>
      </c>
      <c r="N221" s="47">
        <v>0</v>
      </c>
      <c r="O221" s="18">
        <v>1.18E-2</v>
      </c>
      <c r="P221" s="38">
        <f t="shared" si="35"/>
        <v>7.1142831141847288E-2</v>
      </c>
      <c r="Q221" s="31">
        <f t="shared" si="42"/>
        <v>53789.955154521158</v>
      </c>
      <c r="R221" s="47">
        <v>0</v>
      </c>
      <c r="S221" s="17">
        <v>-2.0799999999999999E-2</v>
      </c>
      <c r="T221" s="38">
        <f t="shared" si="36"/>
        <v>0.30723645271353095</v>
      </c>
      <c r="U221" s="31">
        <f t="shared" si="43"/>
        <v>232296.56098931955</v>
      </c>
      <c r="V221" s="47">
        <v>0</v>
      </c>
      <c r="W221" s="25">
        <v>1.29E-2</v>
      </c>
      <c r="X221" s="38">
        <f t="shared" si="37"/>
        <v>3.0718132564387657E-2</v>
      </c>
      <c r="Y221" s="31">
        <f t="shared" si="44"/>
        <v>23225.48802949064</v>
      </c>
      <c r="Z221" s="47">
        <v>0</v>
      </c>
      <c r="AA221" s="26">
        <v>4.4699999999999997E-2</v>
      </c>
      <c r="AB221" s="38">
        <f t="shared" si="38"/>
        <v>7.838212419272E-9</v>
      </c>
      <c r="AC221" s="31">
        <f t="shared" si="45"/>
        <v>5.9263468680859138E-3</v>
      </c>
      <c r="AD221" s="47">
        <v>0</v>
      </c>
      <c r="AE221" s="37">
        <f t="shared" si="39"/>
        <v>756083.98332184297</v>
      </c>
      <c r="AF221" s="40">
        <f t="shared" si="46"/>
        <v>-2.3420240126845737E-3</v>
      </c>
      <c r="AG221" s="1"/>
      <c r="AH221" s="1"/>
      <c r="AI221" s="1"/>
      <c r="AJ221" s="1"/>
      <c r="AK221" s="1"/>
      <c r="AL221" s="1"/>
    </row>
    <row r="222" spans="1:38" x14ac:dyDescent="0.35">
      <c r="A222" s="1"/>
      <c r="B222" s="10" t="s">
        <v>214</v>
      </c>
      <c r="C222" s="20">
        <v>0.1147</v>
      </c>
      <c r="D222" s="38">
        <f t="shared" si="32"/>
        <v>0.30505041703571928</v>
      </c>
      <c r="E222" s="32">
        <f t="shared" si="47"/>
        <v>252842.04051495148</v>
      </c>
      <c r="F222" s="49">
        <v>87110.56</v>
      </c>
      <c r="G222" s="19">
        <v>5.3800000000000001E-2</v>
      </c>
      <c r="H222" s="38">
        <f t="shared" si="33"/>
        <v>2.8838443931881369E-2</v>
      </c>
      <c r="I222" s="32">
        <f t="shared" si="40"/>
        <v>23902.839012211916</v>
      </c>
      <c r="J222" s="48">
        <v>-48048.67</v>
      </c>
      <c r="K222" s="19">
        <v>8.6900000000000005E-2</v>
      </c>
      <c r="L222" s="38">
        <f t="shared" si="34"/>
        <v>6.9403286257186489E-2</v>
      </c>
      <c r="M222" s="32">
        <f t="shared" si="41"/>
        <v>57525.141864190809</v>
      </c>
      <c r="N222" s="48">
        <v>-183400.27</v>
      </c>
      <c r="O222" s="18">
        <v>5.8299999999999998E-2</v>
      </c>
      <c r="P222" s="38">
        <f t="shared" si="35"/>
        <v>0.11584636288878083</v>
      </c>
      <c r="Q222" s="31">
        <f t="shared" si="42"/>
        <v>96019.638536029743</v>
      </c>
      <c r="R222" s="49">
        <v>36940.120000000003</v>
      </c>
      <c r="S222" s="19">
        <v>0.11700000000000001</v>
      </c>
      <c r="T222" s="38">
        <f t="shared" si="36"/>
        <v>0.30567983822402184</v>
      </c>
      <c r="U222" s="31">
        <f t="shared" si="43"/>
        <v>253363.73833506994</v>
      </c>
      <c r="V222" s="48">
        <v>-5471.37</v>
      </c>
      <c r="W222" s="25">
        <v>6.6900000000000001E-2</v>
      </c>
      <c r="X222" s="38">
        <f t="shared" si="37"/>
        <v>0.17518164420847743</v>
      </c>
      <c r="Y222" s="31">
        <f t="shared" si="44"/>
        <v>145199.88142566357</v>
      </c>
      <c r="Z222" s="49">
        <v>112869.63</v>
      </c>
      <c r="AA222" s="26">
        <v>4.2500000000000003E-2</v>
      </c>
      <c r="AB222" s="38">
        <f t="shared" si="38"/>
        <v>7.4539326987429007E-9</v>
      </c>
      <c r="AC222" s="31">
        <f t="shared" si="45"/>
        <v>6.1782166099795654E-3</v>
      </c>
      <c r="AD222" s="47">
        <v>0</v>
      </c>
      <c r="AE222" s="37">
        <f t="shared" si="39"/>
        <v>828853.2858663341</v>
      </c>
      <c r="AF222" s="40">
        <f t="shared" si="46"/>
        <v>9.6244999430857403E-2</v>
      </c>
      <c r="AG222" s="1"/>
      <c r="AH222" s="1"/>
      <c r="AI222" s="1"/>
      <c r="AJ222" s="1"/>
      <c r="AK222" s="1"/>
      <c r="AL222" s="1"/>
    </row>
    <row r="223" spans="1:38" x14ac:dyDescent="0.35">
      <c r="A223" s="1"/>
      <c r="B223" s="11" t="s">
        <v>215</v>
      </c>
      <c r="C223" s="16">
        <v>-1.6500000000000001E-2</v>
      </c>
      <c r="D223" s="38">
        <f t="shared" si="32"/>
        <v>0.30529930766740021</v>
      </c>
      <c r="E223" s="32">
        <f t="shared" si="47"/>
        <v>248670.14684645479</v>
      </c>
      <c r="F223" s="47">
        <v>0</v>
      </c>
      <c r="G223" s="17">
        <v>-4.8800000000000003E-2</v>
      </c>
      <c r="H223" s="38">
        <f t="shared" si="33"/>
        <v>2.7914091433565089E-2</v>
      </c>
      <c r="I223" s="32">
        <f t="shared" si="40"/>
        <v>22736.380468415973</v>
      </c>
      <c r="J223" s="47">
        <v>0</v>
      </c>
      <c r="K223" s="17">
        <v>-5.1200000000000002E-2</v>
      </c>
      <c r="L223" s="38">
        <f t="shared" si="34"/>
        <v>6.7009216962756399E-2</v>
      </c>
      <c r="M223" s="32">
        <f t="shared" si="41"/>
        <v>54579.854600744242</v>
      </c>
      <c r="N223" s="47">
        <v>0</v>
      </c>
      <c r="O223" s="17">
        <v>-1.3100000000000001E-2</v>
      </c>
      <c r="P223" s="38">
        <f t="shared" si="35"/>
        <v>0.11634169433813479</v>
      </c>
      <c r="Q223" s="31">
        <f t="shared" si="42"/>
        <v>94761.781271207758</v>
      </c>
      <c r="R223" s="47">
        <v>0</v>
      </c>
      <c r="S223" s="17">
        <v>-2.92E-2</v>
      </c>
      <c r="T223" s="38">
        <f t="shared" si="36"/>
        <v>0.30197875802984236</v>
      </c>
      <c r="U223" s="31">
        <f t="shared" si="43"/>
        <v>245965.51717568591</v>
      </c>
      <c r="V223" s="47">
        <v>0</v>
      </c>
      <c r="W223" s="25">
        <v>1.7899999999999999E-2</v>
      </c>
      <c r="X223" s="38">
        <f t="shared" si="37"/>
        <v>0.18145692404760533</v>
      </c>
      <c r="Y223" s="31">
        <f t="shared" si="44"/>
        <v>147798.95930318296</v>
      </c>
      <c r="Z223" s="47">
        <v>0</v>
      </c>
      <c r="AA223" s="27">
        <v>-8.5000000000000006E-3</v>
      </c>
      <c r="AB223" s="38">
        <f t="shared" si="38"/>
        <v>7.520695719638471E-9</v>
      </c>
      <c r="AC223" s="31">
        <f t="shared" si="45"/>
        <v>6.1257017687947387E-3</v>
      </c>
      <c r="AD223" s="47">
        <v>0</v>
      </c>
      <c r="AE223" s="37">
        <f t="shared" si="39"/>
        <v>814512.64579139347</v>
      </c>
      <c r="AF223" s="40">
        <f t="shared" si="46"/>
        <v>-1.7301783463344211E-2</v>
      </c>
      <c r="AG223" s="1"/>
      <c r="AH223" s="1"/>
      <c r="AI223" s="1"/>
      <c r="AJ223" s="1"/>
      <c r="AK223" s="1"/>
      <c r="AL223" s="1"/>
    </row>
    <row r="224" spans="1:38" x14ac:dyDescent="0.35">
      <c r="A224" s="1"/>
      <c r="B224" s="10" t="s">
        <v>216</v>
      </c>
      <c r="C224" s="20">
        <v>3.8300000000000001E-2</v>
      </c>
      <c r="D224" s="38">
        <f t="shared" ref="D224:D277" si="48">E224/AE224</f>
        <v>0.30622828001060504</v>
      </c>
      <c r="E224" s="32">
        <f t="shared" si="47"/>
        <v>258194.213470674</v>
      </c>
      <c r="F224" s="47">
        <v>0</v>
      </c>
      <c r="G224" s="17">
        <v>-4.8999999999999998E-3</v>
      </c>
      <c r="H224" s="38">
        <f t="shared" ref="H224:H277" si="49">I224/AE224</f>
        <v>2.6834088302070243E-2</v>
      </c>
      <c r="I224" s="32">
        <f t="shared" si="40"/>
        <v>22624.972204120735</v>
      </c>
      <c r="J224" s="47">
        <v>0</v>
      </c>
      <c r="K224" s="19">
        <v>1.4500000000000001E-2</v>
      </c>
      <c r="L224" s="38">
        <f t="shared" ref="L224:L277" si="50">M224/AE224</f>
        <v>6.5672449615165926E-2</v>
      </c>
      <c r="M224" s="32">
        <f t="shared" si="41"/>
        <v>55371.262492455033</v>
      </c>
      <c r="N224" s="47">
        <v>0</v>
      </c>
      <c r="O224" s="18">
        <v>2.5899999999999999E-2</v>
      </c>
      <c r="P224" s="38">
        <f t="shared" ref="P224:P277" si="51">Q224/AE224</f>
        <v>0.11530205183548982</v>
      </c>
      <c r="Q224" s="31">
        <f t="shared" si="42"/>
        <v>97216.11140613204</v>
      </c>
      <c r="R224" s="47">
        <v>0</v>
      </c>
      <c r="S224" s="19">
        <v>8.14E-2</v>
      </c>
      <c r="T224" s="38">
        <f t="shared" ref="T224:T277" si="52">U224/AE224</f>
        <v>0.31547095571676848</v>
      </c>
      <c r="U224" s="31">
        <f t="shared" si="43"/>
        <v>265987.11027378676</v>
      </c>
      <c r="V224" s="47">
        <v>0</v>
      </c>
      <c r="W224" s="24">
        <v>-2.7400000000000001E-2</v>
      </c>
      <c r="X224" s="38">
        <f t="shared" ref="X224:X277" si="53">Y224/AE224</f>
        <v>0.17049216729163552</v>
      </c>
      <c r="Y224" s="31">
        <f t="shared" si="44"/>
        <v>143749.26781827575</v>
      </c>
      <c r="Z224" s="47">
        <v>0</v>
      </c>
      <c r="AA224" s="27">
        <v>-5.1000000000000004E-3</v>
      </c>
      <c r="AB224" s="38">
        <f t="shared" si="38"/>
        <v>7.2282650704473625E-9</v>
      </c>
      <c r="AC224" s="31">
        <f t="shared" si="45"/>
        <v>6.0944606897738859E-3</v>
      </c>
      <c r="AD224" s="47">
        <v>0</v>
      </c>
      <c r="AE224" s="37">
        <f t="shared" si="39"/>
        <v>843142.94375990494</v>
      </c>
      <c r="AF224" s="40">
        <f t="shared" si="46"/>
        <v>3.5150219111323766E-2</v>
      </c>
      <c r="AG224" s="1"/>
      <c r="AH224" s="1"/>
      <c r="AI224" s="1"/>
      <c r="AJ224" s="1"/>
      <c r="AK224" s="1"/>
      <c r="AL224" s="1"/>
    </row>
    <row r="225" spans="1:38" x14ac:dyDescent="0.35">
      <c r="A225" s="1"/>
      <c r="B225" s="9" t="s">
        <v>217</v>
      </c>
      <c r="C225" s="16">
        <v>-8.7300000000000003E-2</v>
      </c>
      <c r="D225" s="38">
        <f t="shared" si="48"/>
        <v>0.30137329743308594</v>
      </c>
      <c r="E225" s="32">
        <f t="shared" si="47"/>
        <v>230860.96974368417</v>
      </c>
      <c r="F225" s="48">
        <v>-5251.33</v>
      </c>
      <c r="G225" s="17">
        <v>-3.6799999999999999E-2</v>
      </c>
      <c r="H225" s="38">
        <f t="shared" si="49"/>
        <v>3.1804843251006049E-2</v>
      </c>
      <c r="I225" s="32">
        <f t="shared" si="40"/>
        <v>24363.462251009092</v>
      </c>
      <c r="J225" s="49">
        <v>2669.32</v>
      </c>
      <c r="K225" s="17">
        <v>-0.1285</v>
      </c>
      <c r="L225" s="38">
        <f t="shared" si="50"/>
        <v>6.7146123179469011E-2</v>
      </c>
      <c r="M225" s="32">
        <f t="shared" si="41"/>
        <v>51435.940887174562</v>
      </c>
      <c r="N225" s="49">
        <v>3648.75</v>
      </c>
      <c r="O225" s="17">
        <v>-5.3800000000000001E-2</v>
      </c>
      <c r="P225" s="38">
        <f t="shared" si="51"/>
        <v>0.12497399296360057</v>
      </c>
      <c r="Q225" s="31">
        <f t="shared" si="42"/>
        <v>95733.820660482132</v>
      </c>
      <c r="R225" s="49">
        <v>3961.04</v>
      </c>
      <c r="S225" s="17">
        <v>-0.1178</v>
      </c>
      <c r="T225" s="38">
        <f t="shared" si="52"/>
        <v>0.29130220185732336</v>
      </c>
      <c r="U225" s="31">
        <f t="shared" si="43"/>
        <v>223146.20897753467</v>
      </c>
      <c r="V225" s="48">
        <v>-13044.23</v>
      </c>
      <c r="W225" s="24">
        <v>-7.4300000000000005E-2</v>
      </c>
      <c r="X225" s="38">
        <f t="shared" si="53"/>
        <v>0.1833995336507972</v>
      </c>
      <c r="Y225" s="31">
        <f t="shared" si="44"/>
        <v>140489.53424137784</v>
      </c>
      <c r="Z225" s="49">
        <v>8016.46</v>
      </c>
      <c r="AA225" s="27">
        <v>-3.6600000000000001E-2</v>
      </c>
      <c r="AB225" s="38">
        <f t="shared" ref="AB225:AB277" si="54">AC225/AE225</f>
        <v>7.664717919967358E-9</v>
      </c>
      <c r="AC225" s="31">
        <f t="shared" si="45"/>
        <v>5.8714034285281616E-3</v>
      </c>
      <c r="AD225" s="47">
        <v>0</v>
      </c>
      <c r="AE225" s="37">
        <f t="shared" ref="AE225:AE277" si="55">Q225+M225+I225+E225+U225+Y225+AC225</f>
        <v>766029.94263266586</v>
      </c>
      <c r="AF225" s="40">
        <f t="shared" si="46"/>
        <v>-9.1458988891446991E-2</v>
      </c>
      <c r="AG225" s="1"/>
      <c r="AH225" s="1"/>
      <c r="AI225" s="1"/>
      <c r="AJ225" s="1"/>
      <c r="AK225" s="1"/>
      <c r="AL225" s="1"/>
    </row>
    <row r="226" spans="1:38" x14ac:dyDescent="0.35">
      <c r="A226" s="1"/>
      <c r="B226" s="10" t="s">
        <v>218</v>
      </c>
      <c r="C226" s="16">
        <v>-6.83E-2</v>
      </c>
      <c r="D226" s="38">
        <f t="shared" si="48"/>
        <v>0.29657869386929986</v>
      </c>
      <c r="E226" s="32">
        <f t="shared" si="47"/>
        <v>215093.16551019053</v>
      </c>
      <c r="F226" s="47">
        <v>0</v>
      </c>
      <c r="G226" s="17">
        <v>-7.9699999999999993E-2</v>
      </c>
      <c r="H226" s="38">
        <f t="shared" si="49"/>
        <v>3.091589078112256E-2</v>
      </c>
      <c r="I226" s="32">
        <f t="shared" ref="I226:I277" si="56">((I225+J226)*G226)+I225+J226</f>
        <v>22421.694309603667</v>
      </c>
      <c r="J226" s="47">
        <v>0</v>
      </c>
      <c r="K226" s="17">
        <v>-2.8199999999999999E-2</v>
      </c>
      <c r="L226" s="38">
        <f t="shared" si="50"/>
        <v>6.8921849067612326E-2</v>
      </c>
      <c r="M226" s="32">
        <f t="shared" ref="M226:M277" si="57">((M225+N226)*K226)+M225+N226</f>
        <v>49985.44735415624</v>
      </c>
      <c r="N226" s="47">
        <v>0</v>
      </c>
      <c r="O226" s="18">
        <v>2.1899999999999999E-2</v>
      </c>
      <c r="P226" s="38">
        <f t="shared" si="51"/>
        <v>0.13489229010799592</v>
      </c>
      <c r="Q226" s="31">
        <f t="shared" ref="Q226:Q277" si="58">((Q225+R226)*O226)+Q225+R226</f>
        <v>97830.391332946689</v>
      </c>
      <c r="R226" s="47">
        <v>0</v>
      </c>
      <c r="S226" s="17">
        <v>-7.1599999999999997E-2</v>
      </c>
      <c r="T226" s="38">
        <f t="shared" si="52"/>
        <v>0.28565246883951034</v>
      </c>
      <c r="U226" s="31">
        <f t="shared" ref="U226:U277" si="59">((U225+V226)*S226)+U225+V226</f>
        <v>207168.94041474318</v>
      </c>
      <c r="V226" s="47">
        <v>0</v>
      </c>
      <c r="W226" s="24">
        <v>-5.5100000000000003E-2</v>
      </c>
      <c r="X226" s="38">
        <f t="shared" si="53"/>
        <v>0.18303879954880908</v>
      </c>
      <c r="Y226" s="31">
        <f t="shared" ref="Y226:Y277" si="60">((Y225+Z226)*W226)+Y225+Z226</f>
        <v>132748.56090467793</v>
      </c>
      <c r="Z226" s="47">
        <v>0</v>
      </c>
      <c r="AA226" s="27">
        <v>-3.8300000000000001E-2</v>
      </c>
      <c r="AB226" s="38">
        <f t="shared" si="54"/>
        <v>7.7856499810766341E-9</v>
      </c>
      <c r="AC226" s="31">
        <f t="shared" ref="AC226:AC277" si="61">((AC225+AD226)*AA226)+AC225+AD226</f>
        <v>5.6465286772155333E-3</v>
      </c>
      <c r="AD226" s="47">
        <v>0</v>
      </c>
      <c r="AE226" s="37">
        <f t="shared" si="55"/>
        <v>725248.20547284686</v>
      </c>
      <c r="AF226" s="40">
        <f t="shared" ref="AF226:AF277" si="62">AE226/AE225-1</f>
        <v>-5.3237784700245094E-2</v>
      </c>
      <c r="AG226" s="1"/>
      <c r="AH226" s="1"/>
      <c r="AI226" s="1"/>
      <c r="AJ226" s="1"/>
      <c r="AK226" s="1"/>
      <c r="AL226" s="1"/>
    </row>
    <row r="227" spans="1:38" x14ac:dyDescent="0.35">
      <c r="A227" s="1"/>
      <c r="B227" s="11" t="s">
        <v>219</v>
      </c>
      <c r="C227" s="16">
        <v>-4.2900000000000001E-2</v>
      </c>
      <c r="D227" s="38">
        <f t="shared" si="48"/>
        <v>0.30168385068050541</v>
      </c>
      <c r="E227" s="32">
        <f t="shared" ref="E227:E277" si="63">((E226+F227)*C227)+E226+F227</f>
        <v>205865.66870980337</v>
      </c>
      <c r="F227" s="47">
        <v>0</v>
      </c>
      <c r="G227" s="17">
        <v>-0.1072</v>
      </c>
      <c r="H227" s="38">
        <f t="shared" si="49"/>
        <v>2.9335314207454576E-2</v>
      </c>
      <c r="I227" s="32">
        <f t="shared" si="56"/>
        <v>20018.088679614153</v>
      </c>
      <c r="J227" s="47">
        <v>0</v>
      </c>
      <c r="K227" s="17">
        <v>-6.7100000000000007E-2</v>
      </c>
      <c r="L227" s="38">
        <f t="shared" si="50"/>
        <v>6.8335568499276134E-2</v>
      </c>
      <c r="M227" s="32">
        <f t="shared" si="57"/>
        <v>46631.423836692353</v>
      </c>
      <c r="N227" s="47">
        <v>0</v>
      </c>
      <c r="O227" s="17">
        <v>-6.25E-2</v>
      </c>
      <c r="P227" s="38">
        <f t="shared" si="51"/>
        <v>0.1344043121474823</v>
      </c>
      <c r="Q227" s="31">
        <f t="shared" si="58"/>
        <v>91715.991874637519</v>
      </c>
      <c r="R227" s="47">
        <v>0</v>
      </c>
      <c r="S227" s="17">
        <v>-2.3400000000000001E-2</v>
      </c>
      <c r="T227" s="38">
        <f t="shared" si="52"/>
        <v>0.29648962458871342</v>
      </c>
      <c r="U227" s="31">
        <f t="shared" si="59"/>
        <v>202321.18720903818</v>
      </c>
      <c r="V227" s="47">
        <v>0</v>
      </c>
      <c r="W227" s="24">
        <v>-0.12740000000000001</v>
      </c>
      <c r="X227" s="38">
        <f t="shared" si="53"/>
        <v>0.16975132222830847</v>
      </c>
      <c r="Y227" s="31">
        <f t="shared" si="60"/>
        <v>115836.39424542195</v>
      </c>
      <c r="Z227" s="47">
        <v>0</v>
      </c>
      <c r="AA227" s="27">
        <v>-7.5700000000000003E-2</v>
      </c>
      <c r="AB227" s="38">
        <f t="shared" si="54"/>
        <v>7.6482597076724643E-9</v>
      </c>
      <c r="AC227" s="31">
        <f t="shared" si="61"/>
        <v>5.2190864563503173E-3</v>
      </c>
      <c r="AD227" s="47">
        <v>0</v>
      </c>
      <c r="AE227" s="37">
        <f t="shared" si="55"/>
        <v>682388.75977429398</v>
      </c>
      <c r="AF227" s="40">
        <f t="shared" si="62"/>
        <v>-5.9096245085652255E-2</v>
      </c>
      <c r="AG227" s="1"/>
      <c r="AH227" s="1"/>
      <c r="AI227" s="1"/>
      <c r="AJ227" s="1"/>
      <c r="AK227" s="1"/>
      <c r="AL227" s="1"/>
    </row>
    <row r="228" spans="1:38" x14ac:dyDescent="0.35">
      <c r="A228" s="1"/>
      <c r="B228" s="10" t="s">
        <v>220</v>
      </c>
      <c r="C228" s="16">
        <v>-5.5800000000000002E-2</v>
      </c>
      <c r="D228" s="38">
        <f t="shared" si="48"/>
        <v>9.4364505742376245E-2</v>
      </c>
      <c r="E228" s="32">
        <f t="shared" si="63"/>
        <v>64431.149277796329</v>
      </c>
      <c r="F228" s="48">
        <v>-137626.79</v>
      </c>
      <c r="G228" s="17">
        <v>-2.8299999999999999E-2</v>
      </c>
      <c r="H228" s="38">
        <f t="shared" si="49"/>
        <v>2.9133859817779016E-2</v>
      </c>
      <c r="I228" s="32">
        <f t="shared" si="56"/>
        <v>19892.310738981072</v>
      </c>
      <c r="J228" s="49">
        <v>453.57</v>
      </c>
      <c r="K228" s="17">
        <v>-6.7199999999999996E-2</v>
      </c>
      <c r="L228" s="38">
        <f t="shared" si="50"/>
        <v>9.3225182768273698E-2</v>
      </c>
      <c r="M228" s="32">
        <f t="shared" si="57"/>
        <v>63653.230842866629</v>
      </c>
      <c r="N228" s="49">
        <v>21607.46</v>
      </c>
      <c r="O228" s="18">
        <v>1.35E-2</v>
      </c>
      <c r="P228" s="38">
        <f t="shared" si="51"/>
        <v>0.10129043741314274</v>
      </c>
      <c r="Q228" s="31">
        <f t="shared" si="58"/>
        <v>69160.106779945127</v>
      </c>
      <c r="R228" s="48">
        <v>-23477.11</v>
      </c>
      <c r="S228" s="17">
        <v>-7.1000000000000004E-3</v>
      </c>
      <c r="T228" s="38">
        <f t="shared" si="52"/>
        <v>9.9244728898157469E-2</v>
      </c>
      <c r="U228" s="31">
        <f t="shared" si="59"/>
        <v>67763.317280854011</v>
      </c>
      <c r="V228" s="48">
        <v>-134073.31</v>
      </c>
      <c r="W228" s="24">
        <v>-6.3799999999999996E-2</v>
      </c>
      <c r="X228" s="38">
        <f t="shared" si="53"/>
        <v>6.5495481985711909E-2</v>
      </c>
      <c r="Y228" s="31">
        <f t="shared" si="60"/>
        <v>44719.665976564036</v>
      </c>
      <c r="Z228" s="48">
        <v>-68069.179999999993</v>
      </c>
      <c r="AA228" s="26">
        <v>3.5099999999999999E-2</v>
      </c>
      <c r="AB228" s="38">
        <f t="shared" si="54"/>
        <v>0.51724580337455905</v>
      </c>
      <c r="AC228" s="31">
        <f t="shared" si="61"/>
        <v>353170.30814027641</v>
      </c>
      <c r="AD228" s="49">
        <v>341194.38</v>
      </c>
      <c r="AE228" s="37">
        <f t="shared" si="55"/>
        <v>682790.08903728356</v>
      </c>
      <c r="AF228" s="40">
        <f t="shared" si="62"/>
        <v>5.8812408211750267E-4</v>
      </c>
      <c r="AG228" s="1"/>
      <c r="AH228" s="1"/>
      <c r="AI228" s="1"/>
      <c r="AJ228" s="1"/>
      <c r="AK228" s="1"/>
      <c r="AL228" s="1"/>
    </row>
    <row r="229" spans="1:38" x14ac:dyDescent="0.35">
      <c r="A229" s="1"/>
      <c r="B229" s="11" t="s">
        <v>221</v>
      </c>
      <c r="C229" s="16">
        <v>-3.7400000000000003E-2</v>
      </c>
      <c r="D229" s="38">
        <f t="shared" si="48"/>
        <v>9.5211045699516411E-2</v>
      </c>
      <c r="E229" s="32">
        <f t="shared" si="63"/>
        <v>62021.424294806748</v>
      </c>
      <c r="F229" s="47">
        <v>0</v>
      </c>
      <c r="G229" s="17">
        <v>-3.1600000000000003E-2</v>
      </c>
      <c r="H229" s="38">
        <f t="shared" si="49"/>
        <v>2.9572334852935655E-2</v>
      </c>
      <c r="I229" s="32">
        <f t="shared" si="56"/>
        <v>19263.713719629272</v>
      </c>
      <c r="J229" s="47">
        <v>0</v>
      </c>
      <c r="K229" s="17">
        <v>-3.56E-2</v>
      </c>
      <c r="L229" s="38">
        <f t="shared" si="50"/>
        <v>9.4237390857766029E-2</v>
      </c>
      <c r="M229" s="32">
        <f t="shared" si="57"/>
        <v>61387.175824860577</v>
      </c>
      <c r="N229" s="47">
        <v>0</v>
      </c>
      <c r="O229" s="17">
        <v>-6.7400000000000002E-2</v>
      </c>
      <c r="P229" s="38">
        <f t="shared" si="51"/>
        <v>9.9014013734043227E-2</v>
      </c>
      <c r="Q229" s="31">
        <f t="shared" si="58"/>
        <v>64498.715582976823</v>
      </c>
      <c r="R229" s="47">
        <v>0</v>
      </c>
      <c r="S229" s="17">
        <v>-8.2600000000000007E-2</v>
      </c>
      <c r="T229" s="38">
        <f t="shared" si="52"/>
        <v>9.5433091700665579E-2</v>
      </c>
      <c r="U229" s="31">
        <f t="shared" si="59"/>
        <v>62166.067273455468</v>
      </c>
      <c r="V229" s="47">
        <v>0</v>
      </c>
      <c r="W229" s="24">
        <v>-6.0699999999999997E-2</v>
      </c>
      <c r="X229" s="38">
        <f t="shared" si="53"/>
        <v>6.4483480869146195E-2</v>
      </c>
      <c r="Y229" s="31">
        <f t="shared" si="60"/>
        <v>42005.182251786602</v>
      </c>
      <c r="Z229" s="47">
        <v>0</v>
      </c>
      <c r="AA229" s="27">
        <v>-3.7100000000000001E-2</v>
      </c>
      <c r="AB229" s="38">
        <f t="shared" si="54"/>
        <v>0.52204864228592696</v>
      </c>
      <c r="AC229" s="31">
        <f t="shared" si="61"/>
        <v>340067.68970827217</v>
      </c>
      <c r="AD229" s="47">
        <v>0</v>
      </c>
      <c r="AE229" s="37">
        <f t="shared" si="55"/>
        <v>651409.96865578764</v>
      </c>
      <c r="AF229" s="40">
        <f t="shared" si="62"/>
        <v>-4.5958664141919625E-2</v>
      </c>
      <c r="AG229" s="1"/>
      <c r="AH229" s="1"/>
      <c r="AI229" s="1"/>
      <c r="AJ229" s="1"/>
      <c r="AK229" s="1"/>
      <c r="AL229" s="1"/>
    </row>
    <row r="230" spans="1:38" x14ac:dyDescent="0.35">
      <c r="A230" s="1"/>
      <c r="B230" s="10" t="s">
        <v>222</v>
      </c>
      <c r="C230" s="16">
        <v>-1.2999999999999999E-3</v>
      </c>
      <c r="D230" s="38">
        <f t="shared" si="48"/>
        <v>8.9714628038611646E-2</v>
      </c>
      <c r="E230" s="32">
        <f t="shared" si="63"/>
        <v>61940.796443223502</v>
      </c>
      <c r="F230" s="47">
        <v>0</v>
      </c>
      <c r="G230" s="19">
        <v>2.52E-2</v>
      </c>
      <c r="H230" s="38">
        <f t="shared" si="49"/>
        <v>2.8604547937643599E-2</v>
      </c>
      <c r="I230" s="32">
        <f t="shared" si="56"/>
        <v>19749.15930536393</v>
      </c>
      <c r="J230" s="47">
        <v>0</v>
      </c>
      <c r="K230" s="17">
        <v>-3.5999999999999999E-3</v>
      </c>
      <c r="L230" s="38">
        <f t="shared" si="50"/>
        <v>8.8592681738836151E-2</v>
      </c>
      <c r="M230" s="32">
        <f t="shared" si="57"/>
        <v>61166.181991891077</v>
      </c>
      <c r="N230" s="47">
        <v>0</v>
      </c>
      <c r="O230" s="18">
        <v>7.2800000000000004E-2</v>
      </c>
      <c r="P230" s="38">
        <f t="shared" si="51"/>
        <v>0.1002204403649664</v>
      </c>
      <c r="Q230" s="31">
        <f t="shared" si="58"/>
        <v>69194.222077417537</v>
      </c>
      <c r="R230" s="47">
        <v>0</v>
      </c>
      <c r="S230" s="19">
        <v>2.5999999999999999E-3</v>
      </c>
      <c r="T230" s="38">
        <f t="shared" si="52"/>
        <v>9.0275015138887096E-2</v>
      </c>
      <c r="U230" s="31">
        <f t="shared" si="59"/>
        <v>62327.699048366456</v>
      </c>
      <c r="V230" s="47">
        <v>0</v>
      </c>
      <c r="W230" s="25">
        <v>7.4399999999999994E-2</v>
      </c>
      <c r="X230" s="38">
        <f t="shared" si="53"/>
        <v>6.5366517609271382E-2</v>
      </c>
      <c r="Y230" s="31">
        <f t="shared" si="60"/>
        <v>45130.367811319527</v>
      </c>
      <c r="Z230" s="47">
        <v>0</v>
      </c>
      <c r="AA230" s="26">
        <v>9.0700000000000003E-2</v>
      </c>
      <c r="AB230" s="38">
        <f t="shared" si="54"/>
        <v>0.53722616917178379</v>
      </c>
      <c r="AC230" s="31">
        <f t="shared" si="61"/>
        <v>370911.82916481246</v>
      </c>
      <c r="AD230" s="47">
        <v>0</v>
      </c>
      <c r="AE230" s="37">
        <f t="shared" si="55"/>
        <v>690420.25584239443</v>
      </c>
      <c r="AF230" s="40">
        <f t="shared" si="62"/>
        <v>5.9885922942054748E-2</v>
      </c>
      <c r="AG230" s="1"/>
      <c r="AH230" s="1"/>
      <c r="AI230" s="1"/>
      <c r="AJ230" s="1"/>
      <c r="AK230" s="1"/>
      <c r="AL230" s="1"/>
    </row>
    <row r="231" spans="1:38" x14ac:dyDescent="0.35">
      <c r="A231" s="1"/>
      <c r="B231" s="11" t="s">
        <v>223</v>
      </c>
      <c r="C231" s="20">
        <v>9.1499999999999998E-2</v>
      </c>
      <c r="D231" s="38">
        <f t="shared" si="48"/>
        <v>0.10712900941145242</v>
      </c>
      <c r="E231" s="32">
        <f t="shared" si="63"/>
        <v>75359.371862778455</v>
      </c>
      <c r="F231" s="49">
        <v>7101.23</v>
      </c>
      <c r="G231" s="17">
        <v>-3.2000000000000002E-3</v>
      </c>
      <c r="H231" s="38">
        <f t="shared" si="49"/>
        <v>9.7834357313937276E-2</v>
      </c>
      <c r="I231" s="32">
        <f t="shared" si="56"/>
        <v>68821.094811586765</v>
      </c>
      <c r="J231" s="49">
        <v>49292.87</v>
      </c>
      <c r="K231" s="19">
        <v>0.106</v>
      </c>
      <c r="L231" s="38">
        <f t="shared" si="50"/>
        <v>7.5986518608578565E-2</v>
      </c>
      <c r="M231" s="32">
        <f t="shared" si="57"/>
        <v>53452.340723031528</v>
      </c>
      <c r="N231" s="48">
        <v>-12836.76</v>
      </c>
      <c r="O231" s="17">
        <v>-2.29E-2</v>
      </c>
      <c r="P231" s="38">
        <f t="shared" si="51"/>
        <v>9.5900837048121551E-2</v>
      </c>
      <c r="Q231" s="31">
        <f t="shared" si="58"/>
        <v>67460.969542844672</v>
      </c>
      <c r="R231" s="48">
        <v>-152.19</v>
      </c>
      <c r="S231" s="19">
        <v>8.6499999999999994E-2</v>
      </c>
      <c r="T231" s="38">
        <f t="shared" si="52"/>
        <v>3.1991481903873464E-2</v>
      </c>
      <c r="U231" s="31">
        <f t="shared" si="59"/>
        <v>22504.249731050157</v>
      </c>
      <c r="V231" s="48">
        <v>-41615.089999999997</v>
      </c>
      <c r="W231" s="25">
        <v>2.2599999999999999E-2</v>
      </c>
      <c r="X231" s="38">
        <f t="shared" si="53"/>
        <v>0.10036658469531089</v>
      </c>
      <c r="Y231" s="31">
        <f t="shared" si="60"/>
        <v>70602.377639855345</v>
      </c>
      <c r="Z231" s="49">
        <v>23911.66</v>
      </c>
      <c r="AA231" s="26">
        <v>1E-4</v>
      </c>
      <c r="AB231" s="38">
        <f t="shared" si="54"/>
        <v>0.49079121101872575</v>
      </c>
      <c r="AC231" s="31">
        <f t="shared" si="61"/>
        <v>345244.65017772891</v>
      </c>
      <c r="AD231" s="48">
        <v>-25701.7</v>
      </c>
      <c r="AE231" s="37">
        <f t="shared" si="55"/>
        <v>703445.0544888759</v>
      </c>
      <c r="AF231" s="40">
        <f t="shared" si="62"/>
        <v>1.8865029721049753E-2</v>
      </c>
      <c r="AG231" s="1"/>
      <c r="AH231" s="1"/>
      <c r="AI231" s="1"/>
      <c r="AJ231" s="1"/>
      <c r="AK231" s="1"/>
      <c r="AL231" s="1"/>
    </row>
    <row r="232" spans="1:38" x14ac:dyDescent="0.35">
      <c r="A232" s="1"/>
      <c r="B232" s="10" t="s">
        <v>224</v>
      </c>
      <c r="C232" s="16">
        <v>-5.3699999999999998E-2</v>
      </c>
      <c r="D232" s="38">
        <f t="shared" si="48"/>
        <v>0.10430778718290296</v>
      </c>
      <c r="E232" s="32">
        <f t="shared" si="63"/>
        <v>71312.573593747249</v>
      </c>
      <c r="F232" s="47">
        <v>0</v>
      </c>
      <c r="G232" s="17">
        <v>-2.4799999999999999E-2</v>
      </c>
      <c r="H232" s="38">
        <f t="shared" si="49"/>
        <v>9.8167084301595292E-2</v>
      </c>
      <c r="I232" s="32">
        <f t="shared" si="56"/>
        <v>67114.331660259413</v>
      </c>
      <c r="J232" s="47">
        <v>0</v>
      </c>
      <c r="K232" s="17">
        <v>-3.15E-2</v>
      </c>
      <c r="L232" s="38">
        <f t="shared" si="50"/>
        <v>7.5721110653502288E-2</v>
      </c>
      <c r="M232" s="32">
        <f t="shared" si="57"/>
        <v>51768.591990256034</v>
      </c>
      <c r="N232" s="47">
        <v>0</v>
      </c>
      <c r="O232" s="17">
        <v>-4.2200000000000001E-2</v>
      </c>
      <c r="P232" s="38">
        <f t="shared" si="51"/>
        <v>9.4510058838346192E-2</v>
      </c>
      <c r="Q232" s="31">
        <f t="shared" si="58"/>
        <v>64614.116628136624</v>
      </c>
      <c r="R232" s="47">
        <v>0</v>
      </c>
      <c r="S232" s="17">
        <v>-7.1099999999999997E-2</v>
      </c>
      <c r="T232" s="38">
        <f t="shared" si="52"/>
        <v>3.0576243178687266E-2</v>
      </c>
      <c r="U232" s="31">
        <f t="shared" si="59"/>
        <v>20904.197575172489</v>
      </c>
      <c r="V232" s="47">
        <v>0</v>
      </c>
      <c r="W232" s="24">
        <v>-5.8400000000000001E-2</v>
      </c>
      <c r="X232" s="38">
        <f t="shared" si="53"/>
        <v>9.7238085369498267E-2</v>
      </c>
      <c r="Y232" s="31">
        <f t="shared" si="60"/>
        <v>66479.198785687797</v>
      </c>
      <c r="Z232" s="47">
        <v>0</v>
      </c>
      <c r="AA232" s="27">
        <v>-1.09E-2</v>
      </c>
      <c r="AB232" s="38">
        <f t="shared" si="54"/>
        <v>0.49947963047546784</v>
      </c>
      <c r="AC232" s="31">
        <f t="shared" si="61"/>
        <v>341481.48349079164</v>
      </c>
      <c r="AD232" s="47">
        <v>0</v>
      </c>
      <c r="AE232" s="37">
        <f t="shared" si="55"/>
        <v>683674.49372405116</v>
      </c>
      <c r="AF232" s="40">
        <f t="shared" si="62"/>
        <v>-2.8105337636057492E-2</v>
      </c>
      <c r="AG232" s="1"/>
      <c r="AH232" s="1"/>
      <c r="AI232" s="1"/>
      <c r="AJ232" s="1"/>
      <c r="AK232" s="1"/>
      <c r="AL232" s="1"/>
    </row>
    <row r="233" spans="1:38" x14ac:dyDescent="0.35">
      <c r="A233" s="1"/>
      <c r="B233" s="11" t="s">
        <v>225</v>
      </c>
      <c r="C233" s="16">
        <v>-4.4900000000000002E-2</v>
      </c>
      <c r="D233" s="38">
        <f t="shared" si="48"/>
        <v>9.8879239120615872E-2</v>
      </c>
      <c r="E233" s="32">
        <f t="shared" si="63"/>
        <v>68110.639039387999</v>
      </c>
      <c r="F233" s="47">
        <v>0</v>
      </c>
      <c r="G233" s="17">
        <v>-6.8000000000000005E-2</v>
      </c>
      <c r="H233" s="38">
        <f t="shared" si="49"/>
        <v>9.0807421286560538E-2</v>
      </c>
      <c r="I233" s="32">
        <f t="shared" si="56"/>
        <v>62550.557107361776</v>
      </c>
      <c r="J233" s="47">
        <v>0</v>
      </c>
      <c r="K233" s="17">
        <v>-5.3100000000000001E-2</v>
      </c>
      <c r="L233" s="38">
        <f t="shared" si="50"/>
        <v>7.1164045801484097E-2</v>
      </c>
      <c r="M233" s="32">
        <f t="shared" si="57"/>
        <v>49019.679755573437</v>
      </c>
      <c r="N233" s="47">
        <v>0</v>
      </c>
      <c r="O233" s="18">
        <v>2.2599999999999999E-2</v>
      </c>
      <c r="P233" s="38">
        <f t="shared" si="51"/>
        <v>9.5923134193851081E-2</v>
      </c>
      <c r="Q233" s="31">
        <f t="shared" si="58"/>
        <v>66074.395663932519</v>
      </c>
      <c r="R233" s="47">
        <v>0</v>
      </c>
      <c r="S233" s="17">
        <v>-9.1899999999999996E-2</v>
      </c>
      <c r="T233" s="38">
        <f t="shared" si="52"/>
        <v>2.7558611846659361E-2</v>
      </c>
      <c r="U233" s="31">
        <f t="shared" si="59"/>
        <v>18983.101818014136</v>
      </c>
      <c r="V233" s="47">
        <v>0</v>
      </c>
      <c r="W233" s="24">
        <v>-3.5299999999999998E-2</v>
      </c>
      <c r="X233" s="38">
        <f t="shared" si="53"/>
        <v>9.3103973449245175E-2</v>
      </c>
      <c r="Y233" s="31">
        <f t="shared" si="60"/>
        <v>64132.483068553018</v>
      </c>
      <c r="Z233" s="47">
        <v>0</v>
      </c>
      <c r="AA233" s="26">
        <v>5.4100000000000002E-2</v>
      </c>
      <c r="AB233" s="38">
        <f t="shared" si="54"/>
        <v>0.52256357430158384</v>
      </c>
      <c r="AC233" s="31">
        <f t="shared" si="61"/>
        <v>359955.63174764346</v>
      </c>
      <c r="AD233" s="47">
        <v>0</v>
      </c>
      <c r="AE233" s="37">
        <f t="shared" si="55"/>
        <v>688826.48820046638</v>
      </c>
      <c r="AF233" s="40">
        <f t="shared" si="62"/>
        <v>7.5357418240831198E-3</v>
      </c>
      <c r="AG233" s="1"/>
      <c r="AH233" s="1"/>
      <c r="AI233" s="1"/>
      <c r="AJ233" s="1"/>
      <c r="AK233" s="1"/>
      <c r="AL233" s="1"/>
    </row>
    <row r="234" spans="1:38" x14ac:dyDescent="0.35">
      <c r="A234" s="1"/>
      <c r="B234" s="10" t="s">
        <v>226</v>
      </c>
      <c r="C234" s="20">
        <v>5.96E-2</v>
      </c>
      <c r="D234" s="38">
        <f t="shared" si="48"/>
        <v>0.1068259328781534</v>
      </c>
      <c r="E234" s="32">
        <f t="shared" si="63"/>
        <v>72988.054922135518</v>
      </c>
      <c r="F234" s="49">
        <v>772.01</v>
      </c>
      <c r="G234" s="17">
        <v>-3.8199999999999998E-2</v>
      </c>
      <c r="H234" s="38">
        <f t="shared" si="49"/>
        <v>6.7876195545393675E-2</v>
      </c>
      <c r="I234" s="32">
        <f t="shared" si="56"/>
        <v>46375.925347860553</v>
      </c>
      <c r="J234" s="48">
        <v>-14332.71</v>
      </c>
      <c r="K234" s="19">
        <v>9.0700000000000003E-2</v>
      </c>
      <c r="L234" s="38">
        <f t="shared" si="50"/>
        <v>0.10996134975616273</v>
      </c>
      <c r="M234" s="32">
        <f t="shared" si="57"/>
        <v>75130.306088403944</v>
      </c>
      <c r="N234" s="49">
        <v>19862.97</v>
      </c>
      <c r="O234" s="17">
        <v>-3.5299999999999998E-2</v>
      </c>
      <c r="P234" s="38">
        <f t="shared" si="51"/>
        <v>9.7258373346123986E-2</v>
      </c>
      <c r="Q234" s="31">
        <f t="shared" si="58"/>
        <v>66451.088271995701</v>
      </c>
      <c r="R234" s="49">
        <v>2808.25</v>
      </c>
      <c r="S234" s="19">
        <v>1.5599999999999999E-2</v>
      </c>
      <c r="T234" s="38">
        <f t="shared" si="52"/>
        <v>3.0716988176182417E-2</v>
      </c>
      <c r="U234" s="31">
        <f t="shared" si="59"/>
        <v>20987.162570375156</v>
      </c>
      <c r="V234" s="49">
        <v>1681.69</v>
      </c>
      <c r="W234" s="24">
        <v>-7.9500000000000001E-2</v>
      </c>
      <c r="X234" s="38">
        <f t="shared" si="53"/>
        <v>9.2802262142474223E-2</v>
      </c>
      <c r="Y234" s="31">
        <f t="shared" si="60"/>
        <v>63406.482149603049</v>
      </c>
      <c r="Z234" s="49">
        <v>4750.17</v>
      </c>
      <c r="AA234" s="27">
        <v>-1.89E-2</v>
      </c>
      <c r="AB234" s="38">
        <f t="shared" si="54"/>
        <v>0.49455889815550963</v>
      </c>
      <c r="AC234" s="31">
        <f t="shared" si="61"/>
        <v>337903.83147861296</v>
      </c>
      <c r="AD234" s="48">
        <v>-15542.39</v>
      </c>
      <c r="AE234" s="37">
        <f t="shared" si="55"/>
        <v>683242.85082898685</v>
      </c>
      <c r="AF234" s="40">
        <f t="shared" si="62"/>
        <v>-8.1060143114800587E-3</v>
      </c>
      <c r="AG234" s="1"/>
      <c r="AH234" s="1"/>
      <c r="AI234" s="1"/>
      <c r="AJ234" s="1"/>
      <c r="AK234" s="1"/>
      <c r="AL234" s="1"/>
    </row>
    <row r="235" spans="1:38" x14ac:dyDescent="0.35">
      <c r="A235" s="1"/>
      <c r="B235" s="11" t="s">
        <v>227</v>
      </c>
      <c r="C235" s="20">
        <v>4.8500000000000001E-2</v>
      </c>
      <c r="D235" s="38">
        <f t="shared" si="48"/>
        <v>0.10870705251538823</v>
      </c>
      <c r="E235" s="32">
        <f t="shared" si="63"/>
        <v>76527.975585859094</v>
      </c>
      <c r="F235" s="47">
        <v>0</v>
      </c>
      <c r="G235" s="19">
        <v>0.15010000000000001</v>
      </c>
      <c r="H235" s="38">
        <f t="shared" si="49"/>
        <v>7.5764487035014996E-2</v>
      </c>
      <c r="I235" s="32">
        <f t="shared" si="56"/>
        <v>53336.95174257442</v>
      </c>
      <c r="J235" s="47">
        <v>0</v>
      </c>
      <c r="K235" s="19">
        <v>1.6899999999999998E-2</v>
      </c>
      <c r="L235" s="38">
        <f t="shared" si="50"/>
        <v>0.1085252764973396</v>
      </c>
      <c r="M235" s="32">
        <f t="shared" si="57"/>
        <v>76400.008261297975</v>
      </c>
      <c r="N235" s="47">
        <v>0</v>
      </c>
      <c r="O235" s="18">
        <v>7.7399999999999997E-2</v>
      </c>
      <c r="P235" s="38">
        <f t="shared" si="51"/>
        <v>0.1016989723464639</v>
      </c>
      <c r="Q235" s="31">
        <f t="shared" si="58"/>
        <v>71594.402504248166</v>
      </c>
      <c r="R235" s="47">
        <v>0</v>
      </c>
      <c r="S235" s="19">
        <v>5.62E-2</v>
      </c>
      <c r="T235" s="38">
        <f t="shared" si="52"/>
        <v>3.1487442343048462E-2</v>
      </c>
      <c r="U235" s="31">
        <f t="shared" si="59"/>
        <v>22166.64110683024</v>
      </c>
      <c r="V235" s="47">
        <v>0</v>
      </c>
      <c r="W235" s="25">
        <v>6.3600000000000004E-2</v>
      </c>
      <c r="X235" s="38">
        <f t="shared" si="53"/>
        <v>9.5796464890732319E-2</v>
      </c>
      <c r="Y235" s="31">
        <f t="shared" si="60"/>
        <v>67439.134414317799</v>
      </c>
      <c r="Z235" s="47">
        <v>0</v>
      </c>
      <c r="AA235" s="27">
        <v>-4.1000000000000003E-3</v>
      </c>
      <c r="AB235" s="38">
        <f t="shared" si="54"/>
        <v>0.47802030437201271</v>
      </c>
      <c r="AC235" s="31">
        <f t="shared" si="61"/>
        <v>336518.42576955067</v>
      </c>
      <c r="AD235" s="47">
        <v>0</v>
      </c>
      <c r="AE235" s="37">
        <f t="shared" si="55"/>
        <v>703983.53938467824</v>
      </c>
      <c r="AF235" s="40">
        <f t="shared" si="62"/>
        <v>3.0356246729148273E-2</v>
      </c>
      <c r="AG235" s="1"/>
      <c r="AH235" s="1"/>
      <c r="AI235" s="1"/>
      <c r="AJ235" s="1"/>
      <c r="AK235" s="1"/>
      <c r="AL235" s="1"/>
    </row>
    <row r="236" spans="1:38" x14ac:dyDescent="0.35">
      <c r="A236" s="1"/>
      <c r="B236" s="10" t="s">
        <v>228</v>
      </c>
      <c r="C236" s="16">
        <v>-5.6000000000000001E-2</v>
      </c>
      <c r="D236" s="38">
        <f t="shared" si="48"/>
        <v>0.10437786278216106</v>
      </c>
      <c r="E236" s="32">
        <f t="shared" si="63"/>
        <v>72242.408953050981</v>
      </c>
      <c r="F236" s="47">
        <v>0</v>
      </c>
      <c r="G236" s="17">
        <v>-3.7999999999999999E-2</v>
      </c>
      <c r="H236" s="38">
        <f t="shared" si="49"/>
        <v>7.4134343257267574E-2</v>
      </c>
      <c r="I236" s="32">
        <f t="shared" si="56"/>
        <v>51310.14757635659</v>
      </c>
      <c r="J236" s="47">
        <v>0</v>
      </c>
      <c r="K236" s="17">
        <v>-6.6500000000000004E-2</v>
      </c>
      <c r="L236" s="38">
        <f t="shared" si="50"/>
        <v>0.10304428464861665</v>
      </c>
      <c r="M236" s="32">
        <f t="shared" si="57"/>
        <v>71319.407711921653</v>
      </c>
      <c r="N236" s="47">
        <v>0</v>
      </c>
      <c r="O236" s="18">
        <v>3.4200000000000001E-2</v>
      </c>
      <c r="P236" s="38">
        <f t="shared" si="51"/>
        <v>0.10697930773909993</v>
      </c>
      <c r="Q236" s="31">
        <f t="shared" si="58"/>
        <v>74042.931069893457</v>
      </c>
      <c r="R236" s="47">
        <v>0</v>
      </c>
      <c r="S236" s="17">
        <v>-6.0600000000000001E-2</v>
      </c>
      <c r="T236" s="38">
        <f t="shared" si="52"/>
        <v>3.0086150695791035E-2</v>
      </c>
      <c r="U236" s="31">
        <f t="shared" si="59"/>
        <v>20823.342655756329</v>
      </c>
      <c r="V236" s="47">
        <v>0</v>
      </c>
      <c r="W236" s="24">
        <v>-2.7799999999999998E-2</v>
      </c>
      <c r="X236" s="38">
        <f t="shared" si="53"/>
        <v>9.4729181538383625E-2</v>
      </c>
      <c r="Y236" s="31">
        <f t="shared" si="60"/>
        <v>65564.326477599767</v>
      </c>
      <c r="Z236" s="47">
        <v>0</v>
      </c>
      <c r="AA236" s="26">
        <v>8.9999999999999998E-4</v>
      </c>
      <c r="AB236" s="38">
        <f t="shared" si="54"/>
        <v>0.48664886933867996</v>
      </c>
      <c r="AC236" s="31">
        <f t="shared" si="61"/>
        <v>336821.29235274327</v>
      </c>
      <c r="AD236" s="47">
        <v>0</v>
      </c>
      <c r="AE236" s="37">
        <f t="shared" si="55"/>
        <v>692123.85679732217</v>
      </c>
      <c r="AF236" s="40">
        <f t="shared" si="62"/>
        <v>-1.6846533937032282E-2</v>
      </c>
      <c r="AG236" s="1"/>
      <c r="AH236" s="1"/>
      <c r="AI236" s="1"/>
      <c r="AJ236" s="1"/>
      <c r="AK236" s="1"/>
      <c r="AL236" s="1"/>
    </row>
    <row r="237" spans="1:38" x14ac:dyDescent="0.35">
      <c r="A237" s="1"/>
      <c r="B237" s="9" t="s">
        <v>229</v>
      </c>
      <c r="C237" s="20">
        <v>2.76E-2</v>
      </c>
      <c r="D237" s="38">
        <f t="shared" si="48"/>
        <v>0.10057314093957417</v>
      </c>
      <c r="E237" s="32">
        <f t="shared" si="63"/>
        <v>71122.650888155185</v>
      </c>
      <c r="F237" s="48">
        <v>-3030.02</v>
      </c>
      <c r="G237" s="19">
        <v>5.62E-2</v>
      </c>
      <c r="H237" s="38">
        <f t="shared" si="49"/>
        <v>0.1033722745693499</v>
      </c>
      <c r="I237" s="32">
        <f t="shared" si="56"/>
        <v>73102.123758147834</v>
      </c>
      <c r="J237" s="49">
        <v>17902.240000000002</v>
      </c>
      <c r="K237" s="19">
        <v>6.2899999999999998E-2</v>
      </c>
      <c r="L237" s="38">
        <f t="shared" si="50"/>
        <v>0.10402801633684057</v>
      </c>
      <c r="M237" s="32">
        <f t="shared" si="57"/>
        <v>73565.846899001524</v>
      </c>
      <c r="N237" s="48">
        <v>-2107.02</v>
      </c>
      <c r="O237" s="18">
        <v>2.3900000000000001E-2</v>
      </c>
      <c r="P237" s="38">
        <f t="shared" si="51"/>
        <v>0.35073853761607388</v>
      </c>
      <c r="Q237" s="31">
        <f t="shared" si="58"/>
        <v>248032.96716046392</v>
      </c>
      <c r="R237" s="49">
        <v>168200.42</v>
      </c>
      <c r="S237" s="19">
        <v>6.8599999999999994E-2</v>
      </c>
      <c r="T237" s="38">
        <f t="shared" si="52"/>
        <v>7.3210122118594179E-2</v>
      </c>
      <c r="U237" s="31">
        <f t="shared" si="59"/>
        <v>51772.251599941213</v>
      </c>
      <c r="V237" s="49">
        <v>27625.33</v>
      </c>
      <c r="W237" s="25">
        <v>4.19E-2</v>
      </c>
      <c r="X237" s="38">
        <f t="shared" si="53"/>
        <v>3.0591812327845663E-2</v>
      </c>
      <c r="Y237" s="31">
        <f t="shared" si="60"/>
        <v>21633.7161980112</v>
      </c>
      <c r="Z237" s="48">
        <v>-44800.61</v>
      </c>
      <c r="AA237" s="27">
        <v>-2.9399999999999999E-2</v>
      </c>
      <c r="AB237" s="38">
        <f t="shared" si="54"/>
        <v>0.23748609609172158</v>
      </c>
      <c r="AC237" s="31">
        <f t="shared" si="61"/>
        <v>167943.85205957261</v>
      </c>
      <c r="AD237" s="48">
        <v>-163790.32999999999</v>
      </c>
      <c r="AE237" s="37">
        <f t="shared" si="55"/>
        <v>707173.40856329352</v>
      </c>
      <c r="AF237" s="40">
        <f t="shared" si="62"/>
        <v>2.1744015349522083E-2</v>
      </c>
      <c r="AG237" s="1"/>
      <c r="AH237" s="1"/>
      <c r="AI237" s="1"/>
      <c r="AJ237" s="1"/>
      <c r="AK237" s="1"/>
      <c r="AL237" s="1"/>
    </row>
    <row r="238" spans="1:38" x14ac:dyDescent="0.35">
      <c r="A238" s="1"/>
      <c r="B238" s="10" t="s">
        <v>230</v>
      </c>
      <c r="C238" s="16">
        <v>-0.01</v>
      </c>
      <c r="D238" s="38">
        <f t="shared" si="48"/>
        <v>0.10167150068515826</v>
      </c>
      <c r="E238" s="32">
        <f t="shared" si="63"/>
        <v>70411.424379273638</v>
      </c>
      <c r="F238" s="47">
        <v>0</v>
      </c>
      <c r="G238" s="17">
        <v>-6.0400000000000002E-2</v>
      </c>
      <c r="H238" s="38">
        <f t="shared" si="49"/>
        <v>9.9181142388913623E-2</v>
      </c>
      <c r="I238" s="32">
        <f t="shared" si="56"/>
        <v>68686.755483155706</v>
      </c>
      <c r="J238" s="47">
        <v>0</v>
      </c>
      <c r="K238" s="17">
        <v>-1E-3</v>
      </c>
      <c r="L238" s="38">
        <f t="shared" si="50"/>
        <v>0.10612014412738069</v>
      </c>
      <c r="M238" s="32">
        <f t="shared" si="57"/>
        <v>73492.281052102524</v>
      </c>
      <c r="N238" s="47">
        <v>0</v>
      </c>
      <c r="O238" s="17">
        <v>-3.6999999999999998E-2</v>
      </c>
      <c r="P238" s="38">
        <f t="shared" si="51"/>
        <v>0.34489889243162869</v>
      </c>
      <c r="Q238" s="31">
        <f t="shared" si="58"/>
        <v>238855.74737552676</v>
      </c>
      <c r="R238" s="47">
        <v>0</v>
      </c>
      <c r="S238" s="17">
        <v>-4.3099999999999999E-2</v>
      </c>
      <c r="T238" s="38">
        <f t="shared" si="52"/>
        <v>7.1535186144369503E-2</v>
      </c>
      <c r="U238" s="31">
        <f t="shared" si="59"/>
        <v>49540.86755598375</v>
      </c>
      <c r="V238" s="47">
        <v>0</v>
      </c>
      <c r="W238" s="24">
        <v>-3.5299999999999998E-2</v>
      </c>
      <c r="X238" s="38">
        <f t="shared" si="53"/>
        <v>3.0135576954215683E-2</v>
      </c>
      <c r="Y238" s="31">
        <f t="shared" si="60"/>
        <v>20870.046016221404</v>
      </c>
      <c r="Z238" s="47">
        <v>0</v>
      </c>
      <c r="AA238" s="26">
        <v>1.6299999999999999E-2</v>
      </c>
      <c r="AB238" s="38">
        <f t="shared" si="54"/>
        <v>0.24645755726833349</v>
      </c>
      <c r="AC238" s="31">
        <f t="shared" si="61"/>
        <v>170681.33684814366</v>
      </c>
      <c r="AD238" s="47">
        <v>0</v>
      </c>
      <c r="AE238" s="37">
        <f t="shared" si="55"/>
        <v>692538.45871040749</v>
      </c>
      <c r="AF238" s="40">
        <f t="shared" si="62"/>
        <v>-2.0694994573705272E-2</v>
      </c>
      <c r="AG238" s="1"/>
      <c r="AH238" s="1"/>
      <c r="AI238" s="1"/>
      <c r="AJ238" s="1"/>
      <c r="AK238" s="1"/>
      <c r="AL238" s="1"/>
    </row>
    <row r="239" spans="1:38" x14ac:dyDescent="0.35">
      <c r="A239" s="1"/>
      <c r="B239" s="11" t="s">
        <v>231</v>
      </c>
      <c r="C239" s="20">
        <v>1.38E-2</v>
      </c>
      <c r="D239" s="38">
        <f t="shared" si="48"/>
        <v>0.10242443994934129</v>
      </c>
      <c r="E239" s="32">
        <f t="shared" si="63"/>
        <v>71383.10203570762</v>
      </c>
      <c r="F239" s="47">
        <v>0</v>
      </c>
      <c r="G239" s="19">
        <v>1.0999999999999999E-2</v>
      </c>
      <c r="H239" s="38">
        <f t="shared" si="49"/>
        <v>9.9639683434140605E-2</v>
      </c>
      <c r="I239" s="32">
        <f t="shared" si="56"/>
        <v>69442.309793470413</v>
      </c>
      <c r="J239" s="47">
        <v>0</v>
      </c>
      <c r="K239" s="17">
        <v>-7.1400000000000005E-2</v>
      </c>
      <c r="L239" s="38">
        <f t="shared" si="50"/>
        <v>9.7921619530222312E-2</v>
      </c>
      <c r="M239" s="32">
        <f t="shared" si="57"/>
        <v>68244.932184982405</v>
      </c>
      <c r="N239" s="47">
        <v>0</v>
      </c>
      <c r="O239" s="18">
        <v>5.5500000000000001E-2</v>
      </c>
      <c r="P239" s="38">
        <f t="shared" si="51"/>
        <v>0.36174464808532031</v>
      </c>
      <c r="Q239" s="31">
        <f t="shared" si="58"/>
        <v>252112.24135486849</v>
      </c>
      <c r="R239" s="47">
        <v>0</v>
      </c>
      <c r="S239" s="17">
        <v>-5.1200000000000002E-2</v>
      </c>
      <c r="T239" s="38">
        <f t="shared" si="52"/>
        <v>6.7444488419398027E-2</v>
      </c>
      <c r="U239" s="31">
        <f t="shared" si="59"/>
        <v>47004.375137117386</v>
      </c>
      <c r="V239" s="47">
        <v>0</v>
      </c>
      <c r="W239" s="25">
        <v>2.4299999999999999E-2</v>
      </c>
      <c r="X239" s="38">
        <f t="shared" si="53"/>
        <v>3.0673176983313979E-2</v>
      </c>
      <c r="Y239" s="31">
        <f t="shared" si="60"/>
        <v>21377.188134415584</v>
      </c>
      <c r="Z239" s="47">
        <v>0</v>
      </c>
      <c r="AA239" s="27">
        <v>-1.9400000000000001E-2</v>
      </c>
      <c r="AB239" s="38">
        <f t="shared" si="54"/>
        <v>0.24015194359826358</v>
      </c>
      <c r="AC239" s="31">
        <f t="shared" si="61"/>
        <v>167370.11891328968</v>
      </c>
      <c r="AD239" s="47">
        <v>0</v>
      </c>
      <c r="AE239" s="37">
        <f t="shared" si="55"/>
        <v>696934.26755385147</v>
      </c>
      <c r="AF239" s="40">
        <f t="shared" si="62"/>
        <v>6.3473858933835725E-3</v>
      </c>
      <c r="AG239" s="1"/>
      <c r="AH239" s="1"/>
      <c r="AI239" s="1"/>
      <c r="AJ239" s="1"/>
      <c r="AK239" s="1"/>
      <c r="AL239" s="1"/>
    </row>
    <row r="240" spans="1:38" x14ac:dyDescent="0.35">
      <c r="A240" s="1"/>
      <c r="B240" s="10" t="s">
        <v>232</v>
      </c>
      <c r="C240" s="16">
        <v>-8.6E-3</v>
      </c>
      <c r="D240" s="38">
        <f t="shared" si="48"/>
        <v>0.3528791987493744</v>
      </c>
      <c r="E240" s="32">
        <f t="shared" si="63"/>
        <v>241829.21990420055</v>
      </c>
      <c r="F240" s="49">
        <v>172543.89</v>
      </c>
      <c r="G240" s="17">
        <v>-3.1099999999999999E-2</v>
      </c>
      <c r="H240" s="38">
        <f t="shared" si="49"/>
        <v>9.8534445611314941E-2</v>
      </c>
      <c r="I240" s="32">
        <f t="shared" si="56"/>
        <v>67525.964126893479</v>
      </c>
      <c r="J240" s="49">
        <v>251.12</v>
      </c>
      <c r="K240" s="17">
        <v>-4.0500000000000001E-2</v>
      </c>
      <c r="L240" s="38">
        <f t="shared" si="50"/>
        <v>9.7578495002892673E-2</v>
      </c>
      <c r="M240" s="32">
        <f t="shared" si="57"/>
        <v>66870.848181490612</v>
      </c>
      <c r="N240" s="49">
        <v>1448.5</v>
      </c>
      <c r="O240" s="17">
        <v>-1.2500000000000001E-2</v>
      </c>
      <c r="P240" s="38">
        <f t="shared" si="51"/>
        <v>0.35149103065601867</v>
      </c>
      <c r="Q240" s="31">
        <f t="shared" si="58"/>
        <v>240877.90396293264</v>
      </c>
      <c r="R240" s="48">
        <v>-8185.25</v>
      </c>
      <c r="S240" s="17">
        <v>-1.9900000000000001E-2</v>
      </c>
      <c r="T240" s="38">
        <f t="shared" si="52"/>
        <v>2.99020309383696E-2</v>
      </c>
      <c r="U240" s="31">
        <f t="shared" si="59"/>
        <v>20491.955436888755</v>
      </c>
      <c r="V240" s="48">
        <v>-26096.35</v>
      </c>
      <c r="W240" s="24">
        <v>-2.2100000000000002E-2</v>
      </c>
      <c r="X240" s="38">
        <f t="shared" si="53"/>
        <v>6.9614800590660234E-2</v>
      </c>
      <c r="Y240" s="31">
        <f t="shared" si="60"/>
        <v>47707.240835645003</v>
      </c>
      <c r="Z240" s="49">
        <v>27408.21</v>
      </c>
      <c r="AA240" s="27">
        <v>-2.3400000000000001E-2</v>
      </c>
      <c r="AB240" s="38">
        <f t="shared" si="54"/>
        <v>-1.5486304206524917E-9</v>
      </c>
      <c r="AC240" s="31">
        <f t="shared" si="61"/>
        <v>-1.061281276633963E-3</v>
      </c>
      <c r="AD240" s="48">
        <v>-167370.12</v>
      </c>
      <c r="AE240" s="37">
        <f t="shared" si="55"/>
        <v>685303.1313867697</v>
      </c>
      <c r="AF240" s="40">
        <f t="shared" si="62"/>
        <v>-1.6689000252355979E-2</v>
      </c>
      <c r="AG240" s="1"/>
      <c r="AH240" s="1"/>
      <c r="AI240" s="1"/>
      <c r="AJ240" s="1"/>
      <c r="AK240" s="1"/>
      <c r="AL240" s="1"/>
    </row>
    <row r="241" spans="1:38" x14ac:dyDescent="0.35">
      <c r="A241" s="1"/>
      <c r="B241" s="11" t="s">
        <v>233</v>
      </c>
      <c r="C241" s="20">
        <v>1.43E-2</v>
      </c>
      <c r="D241" s="38">
        <f t="shared" si="48"/>
        <v>0.35750847262475743</v>
      </c>
      <c r="E241" s="32">
        <f t="shared" si="63"/>
        <v>245287.37774883062</v>
      </c>
      <c r="F241" s="47">
        <v>0</v>
      </c>
      <c r="G241" s="17">
        <v>-1.2500000000000001E-2</v>
      </c>
      <c r="H241" s="38">
        <f t="shared" si="49"/>
        <v>9.7189430261722887E-2</v>
      </c>
      <c r="I241" s="32">
        <f t="shared" si="56"/>
        <v>66681.889575307316</v>
      </c>
      <c r="J241" s="47">
        <v>0</v>
      </c>
      <c r="K241" s="19">
        <v>3.5000000000000001E-3</v>
      </c>
      <c r="L241" s="38">
        <f t="shared" si="50"/>
        <v>9.7805965999768291E-2</v>
      </c>
      <c r="M241" s="32">
        <f t="shared" si="57"/>
        <v>67104.896150125831</v>
      </c>
      <c r="N241" s="47">
        <v>0</v>
      </c>
      <c r="O241" s="21">
        <v>-1.9E-3</v>
      </c>
      <c r="P241" s="38">
        <f t="shared" si="51"/>
        <v>0.35041457138874166</v>
      </c>
      <c r="Q241" s="31">
        <f t="shared" si="58"/>
        <v>240420.23594540308</v>
      </c>
      <c r="R241" s="47">
        <v>0</v>
      </c>
      <c r="S241" s="17">
        <v>-2.8299999999999999E-2</v>
      </c>
      <c r="T241" s="38">
        <f t="shared" si="52"/>
        <v>2.9021960302490133E-2</v>
      </c>
      <c r="U241" s="31">
        <f t="shared" si="59"/>
        <v>19912.033098024804</v>
      </c>
      <c r="V241" s="47">
        <v>0</v>
      </c>
      <c r="W241" s="24">
        <v>-2.12E-2</v>
      </c>
      <c r="X241" s="38">
        <f t="shared" si="53"/>
        <v>6.805960098744411E-2</v>
      </c>
      <c r="Y241" s="31">
        <f t="shared" si="60"/>
        <v>46695.847329929325</v>
      </c>
      <c r="Z241" s="47">
        <v>0</v>
      </c>
      <c r="AA241" s="26">
        <v>1.17E-2</v>
      </c>
      <c r="AB241" s="38">
        <f t="shared" si="54"/>
        <v>-1.5649245029316894E-9</v>
      </c>
      <c r="AC241" s="31">
        <f t="shared" si="61"/>
        <v>-1.0736982675705804E-3</v>
      </c>
      <c r="AD241" s="47">
        <v>0</v>
      </c>
      <c r="AE241" s="37">
        <f t="shared" si="55"/>
        <v>686102.27877392271</v>
      </c>
      <c r="AF241" s="40">
        <f t="shared" si="62"/>
        <v>1.1661224800416647E-3</v>
      </c>
      <c r="AG241" s="1"/>
      <c r="AH241" s="1"/>
      <c r="AI241" s="1"/>
      <c r="AJ241" s="1"/>
      <c r="AK241" s="1"/>
      <c r="AL241" s="1"/>
    </row>
    <row r="242" spans="1:38" x14ac:dyDescent="0.35">
      <c r="A242" s="1"/>
      <c r="B242" s="10" t="s">
        <v>234</v>
      </c>
      <c r="C242" s="20">
        <v>2.6700000000000002E-2</v>
      </c>
      <c r="D242" s="38">
        <f t="shared" si="48"/>
        <v>0.37036474361360588</v>
      </c>
      <c r="E242" s="32">
        <f t="shared" si="63"/>
        <v>251836.55073472441</v>
      </c>
      <c r="F242" s="47">
        <v>0</v>
      </c>
      <c r="G242" s="17">
        <v>-1.1000000000000001E-3</v>
      </c>
      <c r="H242" s="38">
        <f t="shared" si="49"/>
        <v>9.7958197812141823E-2</v>
      </c>
      <c r="I242" s="32">
        <f t="shared" si="56"/>
        <v>66608.53949677448</v>
      </c>
      <c r="J242" s="47">
        <v>0</v>
      </c>
      <c r="K242" s="19">
        <v>3.9300000000000002E-2</v>
      </c>
      <c r="L242" s="38">
        <f t="shared" si="50"/>
        <v>0.1025666123025219</v>
      </c>
      <c r="M242" s="32">
        <f t="shared" si="57"/>
        <v>69742.118568825783</v>
      </c>
      <c r="N242" s="47">
        <v>0</v>
      </c>
      <c r="O242" s="17">
        <v>-5.7000000000000002E-2</v>
      </c>
      <c r="P242" s="38">
        <f t="shared" si="51"/>
        <v>0.3334214894338362</v>
      </c>
      <c r="Q242" s="31">
        <f t="shared" si="58"/>
        <v>226716.28249651511</v>
      </c>
      <c r="R242" s="47">
        <v>0</v>
      </c>
      <c r="S242" s="19">
        <v>7.1999999999999998E-3</v>
      </c>
      <c r="T242" s="38">
        <f t="shared" si="52"/>
        <v>2.9494578764456821E-2</v>
      </c>
      <c r="U242" s="31">
        <f t="shared" si="59"/>
        <v>20055.399736330583</v>
      </c>
      <c r="V242" s="47">
        <v>0</v>
      </c>
      <c r="W242" s="24">
        <v>-3.61E-2</v>
      </c>
      <c r="X242" s="38">
        <f t="shared" si="53"/>
        <v>6.6194379597053002E-2</v>
      </c>
      <c r="Y242" s="31">
        <f t="shared" si="60"/>
        <v>45010.127241318878</v>
      </c>
      <c r="Z242" s="47">
        <v>0</v>
      </c>
      <c r="AA242" s="27">
        <v>-3.5099999999999999E-2</v>
      </c>
      <c r="AB242" s="38">
        <f t="shared" si="54"/>
        <v>-1.5236156826473528E-9</v>
      </c>
      <c r="AC242" s="31">
        <f t="shared" si="61"/>
        <v>-1.036011458378853E-3</v>
      </c>
      <c r="AD242" s="47">
        <v>0</v>
      </c>
      <c r="AE242" s="37">
        <f t="shared" si="55"/>
        <v>679969.01723847783</v>
      </c>
      <c r="AF242" s="40">
        <f t="shared" si="62"/>
        <v>-8.9392816861141311E-3</v>
      </c>
      <c r="AG242" s="1"/>
      <c r="AH242" s="1"/>
      <c r="AI242" s="1"/>
      <c r="AJ242" s="1"/>
      <c r="AK242" s="1"/>
      <c r="AL242" s="1"/>
    </row>
    <row r="243" spans="1:38" x14ac:dyDescent="0.35">
      <c r="A243" s="1"/>
      <c r="B243" s="11" t="s">
        <v>235</v>
      </c>
      <c r="C243" s="20">
        <v>5.1000000000000004E-3</v>
      </c>
      <c r="D243" s="38">
        <f t="shared" si="48"/>
        <v>0.45175125243919056</v>
      </c>
      <c r="E243" s="32">
        <f t="shared" si="63"/>
        <v>307546.58964447147</v>
      </c>
      <c r="F243" s="49">
        <v>54149.51</v>
      </c>
      <c r="G243" s="19">
        <v>3.3700000000000001E-2</v>
      </c>
      <c r="H243" s="38">
        <f t="shared" si="49"/>
        <v>0.10324572453991973</v>
      </c>
      <c r="I243" s="32">
        <f t="shared" si="56"/>
        <v>70288.39500981578</v>
      </c>
      <c r="J243" s="49">
        <v>1388.36</v>
      </c>
      <c r="K243" s="19">
        <v>3.4299999999999997E-2</v>
      </c>
      <c r="L243" s="38">
        <f t="shared" si="50"/>
        <v>0.10330565099576658</v>
      </c>
      <c r="M243" s="32">
        <f t="shared" si="57"/>
        <v>70329.19218973651</v>
      </c>
      <c r="N243" s="48">
        <v>-1745.22</v>
      </c>
      <c r="O243" s="21">
        <v>-1.8E-3</v>
      </c>
      <c r="P243" s="38">
        <f t="shared" si="51"/>
        <v>9.9699996887222211E-2</v>
      </c>
      <c r="Q243" s="31">
        <f t="shared" si="58"/>
        <v>67874.508072021388</v>
      </c>
      <c r="R243" s="48">
        <v>-158719.38</v>
      </c>
      <c r="S243" s="17">
        <v>-5.4000000000000003E-3</v>
      </c>
      <c r="T243" s="38">
        <f t="shared" si="52"/>
        <v>2.9802127423836935E-2</v>
      </c>
      <c r="U243" s="31">
        <f t="shared" si="59"/>
        <v>20288.914759754396</v>
      </c>
      <c r="V243" s="49">
        <v>343.67</v>
      </c>
      <c r="W243" s="24">
        <v>-5.2600000000000001E-2</v>
      </c>
      <c r="X243" s="38">
        <f t="shared" si="53"/>
        <v>6.6238266555763231E-2</v>
      </c>
      <c r="Y243" s="31">
        <f t="shared" si="60"/>
        <v>45094.181528425499</v>
      </c>
      <c r="Z243" s="49">
        <v>2587.6999999999998</v>
      </c>
      <c r="AA243" s="27">
        <v>-2.5399999999999999E-2</v>
      </c>
      <c r="AB243" s="38">
        <f t="shared" si="54"/>
        <v>0.14595698115830052</v>
      </c>
      <c r="AC243" s="31">
        <f t="shared" si="61"/>
        <v>99365.683100303242</v>
      </c>
      <c r="AD243" s="49">
        <v>101955.35</v>
      </c>
      <c r="AE243" s="37">
        <f t="shared" si="55"/>
        <v>680787.46430452843</v>
      </c>
      <c r="AF243" s="40">
        <f t="shared" si="62"/>
        <v>1.2036534684691791E-3</v>
      </c>
      <c r="AG243" s="1"/>
      <c r="AH243" s="1"/>
      <c r="AI243" s="1"/>
      <c r="AJ243" s="1"/>
      <c r="AK243" s="1"/>
      <c r="AL243" s="1"/>
    </row>
    <row r="244" spans="1:38" x14ac:dyDescent="0.35">
      <c r="A244" s="1"/>
      <c r="B244" s="10" t="s">
        <v>236</v>
      </c>
      <c r="C244" s="18">
        <v>1.4999999999999999E-2</v>
      </c>
      <c r="D244" s="38">
        <f t="shared" si="48"/>
        <v>0.45491328667932773</v>
      </c>
      <c r="E244" s="32">
        <f t="shared" si="63"/>
        <v>312159.78848913853</v>
      </c>
      <c r="F244" s="47">
        <v>0</v>
      </c>
      <c r="G244" s="17">
        <v>-3.5099999999999999E-2</v>
      </c>
      <c r="H244" s="38">
        <f t="shared" si="49"/>
        <v>9.8836554376696029E-2</v>
      </c>
      <c r="I244" s="32">
        <f t="shared" si="56"/>
        <v>67821.27234497125</v>
      </c>
      <c r="J244" s="47">
        <v>0</v>
      </c>
      <c r="K244" s="17">
        <v>-1.9199999999999998E-2</v>
      </c>
      <c r="L244" s="38">
        <f t="shared" si="50"/>
        <v>0.10052353439953431</v>
      </c>
      <c r="M244" s="32">
        <f t="shared" si="57"/>
        <v>68978.871699693569</v>
      </c>
      <c r="N244" s="47">
        <v>0</v>
      </c>
      <c r="O244" s="18">
        <v>1.9900000000000001E-2</v>
      </c>
      <c r="P244" s="38">
        <f t="shared" si="51"/>
        <v>0.10088252657597627</v>
      </c>
      <c r="Q244" s="31">
        <f t="shared" si="58"/>
        <v>69225.210782654613</v>
      </c>
      <c r="R244" s="47">
        <v>0</v>
      </c>
      <c r="S244" s="17">
        <v>-1.5E-3</v>
      </c>
      <c r="T244" s="38">
        <f t="shared" si="52"/>
        <v>2.9522868386657949E-2</v>
      </c>
      <c r="U244" s="31">
        <f t="shared" si="59"/>
        <v>20258.481387614764</v>
      </c>
      <c r="V244" s="47">
        <v>0</v>
      </c>
      <c r="W244" s="24">
        <v>-1.9E-3</v>
      </c>
      <c r="X244" s="38">
        <f t="shared" si="53"/>
        <v>6.5591298411253232E-2</v>
      </c>
      <c r="Y244" s="31">
        <f t="shared" si="60"/>
        <v>45008.502583521491</v>
      </c>
      <c r="Z244" s="47">
        <v>0</v>
      </c>
      <c r="AA244" s="26">
        <v>3.4000000000000002E-2</v>
      </c>
      <c r="AB244" s="38">
        <f t="shared" si="54"/>
        <v>0.14972993117055439</v>
      </c>
      <c r="AC244" s="31">
        <f t="shared" si="61"/>
        <v>102744.11632571355</v>
      </c>
      <c r="AD244" s="47">
        <v>0</v>
      </c>
      <c r="AE244" s="37">
        <f t="shared" si="55"/>
        <v>686196.24361330783</v>
      </c>
      <c r="AF244" s="40">
        <f t="shared" si="62"/>
        <v>7.9448867559639424E-3</v>
      </c>
      <c r="AG244" s="1"/>
      <c r="AH244" s="1"/>
      <c r="AI244" s="1"/>
      <c r="AJ244" s="1"/>
      <c r="AK244" s="1"/>
      <c r="AL244" s="1"/>
    </row>
    <row r="245" spans="1:38" x14ac:dyDescent="0.35">
      <c r="A245" s="1"/>
      <c r="B245" s="11" t="s">
        <v>237</v>
      </c>
      <c r="C245" s="17">
        <v>-2.1299999999999999E-2</v>
      </c>
      <c r="D245" s="38">
        <f t="shared" si="48"/>
        <v>0.45278126410942648</v>
      </c>
      <c r="E245" s="32">
        <f t="shared" si="63"/>
        <v>305510.7849943199</v>
      </c>
      <c r="F245" s="47">
        <v>0</v>
      </c>
      <c r="G245" s="17">
        <v>-3.3E-3</v>
      </c>
      <c r="H245" s="38">
        <f t="shared" si="49"/>
        <v>0.10018259866580312</v>
      </c>
      <c r="I245" s="32">
        <f t="shared" si="56"/>
        <v>67597.462146232851</v>
      </c>
      <c r="J245" s="47">
        <v>0</v>
      </c>
      <c r="K245" s="17">
        <v>-3.5999999999999997E-2</v>
      </c>
      <c r="L245" s="38">
        <f t="shared" si="50"/>
        <v>9.8549635357350548E-2</v>
      </c>
      <c r="M245" s="32">
        <f t="shared" si="57"/>
        <v>66495.632318504606</v>
      </c>
      <c r="N245" s="47">
        <v>0</v>
      </c>
      <c r="O245" s="17">
        <v>-1.9900000000000001E-2</v>
      </c>
      <c r="P245" s="38">
        <f t="shared" si="51"/>
        <v>0.10055335776738426</v>
      </c>
      <c r="Q245" s="31">
        <f t="shared" si="58"/>
        <v>67847.62908807979</v>
      </c>
      <c r="R245" s="47">
        <v>0</v>
      </c>
      <c r="S245" s="17">
        <v>-5.5100000000000003E-2</v>
      </c>
      <c r="T245" s="38">
        <f t="shared" si="52"/>
        <v>2.8369693073396079E-2</v>
      </c>
      <c r="U245" s="31">
        <f t="shared" si="59"/>
        <v>19142.239063157191</v>
      </c>
      <c r="V245" s="47">
        <v>0</v>
      </c>
      <c r="W245" s="24">
        <v>-5.5800000000000002E-2</v>
      </c>
      <c r="X245" s="38">
        <f t="shared" si="53"/>
        <v>6.2982582176899199E-2</v>
      </c>
      <c r="Y245" s="31">
        <f t="shared" si="60"/>
        <v>42497.028139360991</v>
      </c>
      <c r="Z245" s="47">
        <v>0</v>
      </c>
      <c r="AA245" s="26">
        <v>2.8299999999999999E-2</v>
      </c>
      <c r="AB245" s="38">
        <f t="shared" si="54"/>
        <v>0.15658086884974035</v>
      </c>
      <c r="AC245" s="31">
        <f t="shared" si="61"/>
        <v>105651.77481773125</v>
      </c>
      <c r="AD245" s="47">
        <v>0</v>
      </c>
      <c r="AE245" s="37">
        <f t="shared" si="55"/>
        <v>674742.55056738656</v>
      </c>
      <c r="AF245" s="40">
        <f t="shared" si="62"/>
        <v>-1.6691570600284145E-2</v>
      </c>
      <c r="AG245" s="1"/>
      <c r="AH245" s="1"/>
      <c r="AI245" s="1"/>
      <c r="AJ245" s="1"/>
      <c r="AK245" s="1"/>
      <c r="AL245" s="1"/>
    </row>
    <row r="246" spans="1:38" x14ac:dyDescent="0.35">
      <c r="A246" s="1"/>
      <c r="B246" s="10" t="s">
        <v>238</v>
      </c>
      <c r="C246" s="17">
        <v>-1.9300000000000001E-2</v>
      </c>
      <c r="D246" s="38">
        <f t="shared" si="48"/>
        <v>0.44774234598625906</v>
      </c>
      <c r="E246" s="32">
        <f t="shared" si="63"/>
        <v>297774.01580292953</v>
      </c>
      <c r="F246" s="48">
        <v>-1876.63</v>
      </c>
      <c r="G246" s="17">
        <v>-3.0300000000000001E-2</v>
      </c>
      <c r="H246" s="38">
        <f t="shared" si="49"/>
        <v>9.8382272033223167E-2</v>
      </c>
      <c r="I246" s="32">
        <f t="shared" si="56"/>
        <v>65429.782306201996</v>
      </c>
      <c r="J246" s="48">
        <v>-123.21</v>
      </c>
      <c r="K246" s="17">
        <v>-6.6600000000000006E-2</v>
      </c>
      <c r="L246" s="38">
        <f t="shared" si="50"/>
        <v>9.4699418954216588E-2</v>
      </c>
      <c r="M246" s="32">
        <f t="shared" si="57"/>
        <v>62980.476448092195</v>
      </c>
      <c r="N246" s="49">
        <v>978.63</v>
      </c>
      <c r="O246" s="18">
        <v>7.6200000000000004E-2</v>
      </c>
      <c r="P246" s="38">
        <f t="shared" si="51"/>
        <v>0.1091873737891856</v>
      </c>
      <c r="Q246" s="31">
        <f t="shared" si="58"/>
        <v>72615.786868591458</v>
      </c>
      <c r="R246" s="48">
        <v>-373.38</v>
      </c>
      <c r="S246" s="17">
        <v>-3.3599999999999998E-2</v>
      </c>
      <c r="T246" s="38">
        <f t="shared" si="52"/>
        <v>6.8633229858099429E-2</v>
      </c>
      <c r="U246" s="31">
        <f t="shared" si="59"/>
        <v>45644.98456663511</v>
      </c>
      <c r="V246" s="49">
        <v>28089.74</v>
      </c>
      <c r="W246" s="24">
        <v>-5.5100000000000003E-2</v>
      </c>
      <c r="X246" s="38">
        <f t="shared" si="53"/>
        <v>2.8759849532200416E-2</v>
      </c>
      <c r="Y246" s="31">
        <f t="shared" si="60"/>
        <v>19126.928613882199</v>
      </c>
      <c r="Z246" s="48">
        <v>-22254.75</v>
      </c>
      <c r="AA246" s="26">
        <v>2.7000000000000001E-3</v>
      </c>
      <c r="AB246" s="38">
        <f t="shared" si="54"/>
        <v>0.1525955098468158</v>
      </c>
      <c r="AC246" s="31">
        <f t="shared" si="61"/>
        <v>101484.65555673912</v>
      </c>
      <c r="AD246" s="48">
        <v>-4440.3900000000003</v>
      </c>
      <c r="AE246" s="37">
        <f t="shared" si="55"/>
        <v>665056.63016307156</v>
      </c>
      <c r="AF246" s="40">
        <f t="shared" si="62"/>
        <v>-1.4354986796327185E-2</v>
      </c>
      <c r="AG246" s="1"/>
      <c r="AH246" s="1"/>
      <c r="AI246" s="1"/>
      <c r="AJ246" s="1"/>
      <c r="AK246" s="1"/>
      <c r="AL246" s="1"/>
    </row>
    <row r="247" spans="1:38" x14ac:dyDescent="0.35">
      <c r="A247" s="1"/>
      <c r="B247" s="11" t="s">
        <v>239</v>
      </c>
      <c r="C247" s="18">
        <v>5.8500000000000003E-2</v>
      </c>
      <c r="D247" s="38">
        <f t="shared" si="48"/>
        <v>0.45564199131345878</v>
      </c>
      <c r="E247" s="32">
        <f t="shared" si="63"/>
        <v>315193.79572740092</v>
      </c>
      <c r="F247" s="47">
        <v>0</v>
      </c>
      <c r="G247" s="19">
        <v>4.7600000000000003E-2</v>
      </c>
      <c r="H247" s="38">
        <f t="shared" si="49"/>
        <v>9.908708358000913E-2</v>
      </c>
      <c r="I247" s="32">
        <f t="shared" si="56"/>
        <v>68544.239943977213</v>
      </c>
      <c r="J247" s="47">
        <v>0</v>
      </c>
      <c r="K247" s="19">
        <v>6.13E-2</v>
      </c>
      <c r="L247" s="38">
        <f t="shared" si="50"/>
        <v>9.6625151295151993E-2</v>
      </c>
      <c r="M247" s="32">
        <f t="shared" si="57"/>
        <v>66841.17965436024</v>
      </c>
      <c r="N247" s="47">
        <v>0</v>
      </c>
      <c r="O247" s="21">
        <v>-2.3999999999999998E-3</v>
      </c>
      <c r="P247" s="38">
        <f t="shared" si="51"/>
        <v>0.1047209489935345</v>
      </c>
      <c r="Q247" s="31">
        <f t="shared" si="58"/>
        <v>72441.508980106839</v>
      </c>
      <c r="R247" s="47">
        <v>0</v>
      </c>
      <c r="S247" s="19">
        <v>8.9300000000000004E-2</v>
      </c>
      <c r="T247" s="38">
        <f t="shared" si="52"/>
        <v>7.1876454986986527E-2</v>
      </c>
      <c r="U247" s="31">
        <f t="shared" si="59"/>
        <v>49721.081688435625</v>
      </c>
      <c r="V247" s="47">
        <v>0</v>
      </c>
      <c r="W247" s="25">
        <v>6.4600000000000005E-2</v>
      </c>
      <c r="X247" s="38">
        <f t="shared" si="53"/>
        <v>2.9435931239948671E-2</v>
      </c>
      <c r="Y247" s="31">
        <f t="shared" si="60"/>
        <v>20362.528202338988</v>
      </c>
      <c r="Z247" s="47">
        <v>0</v>
      </c>
      <c r="AA247" s="27">
        <v>-2.7900000000000001E-2</v>
      </c>
      <c r="AB247" s="38">
        <f t="shared" si="54"/>
        <v>0.14261243859091041</v>
      </c>
      <c r="AC247" s="31">
        <f t="shared" si="61"/>
        <v>98653.233666706103</v>
      </c>
      <c r="AD247" s="47">
        <v>0</v>
      </c>
      <c r="AE247" s="37">
        <f t="shared" si="55"/>
        <v>691757.56786332594</v>
      </c>
      <c r="AF247" s="40">
        <f t="shared" si="62"/>
        <v>4.0148367055159451E-2</v>
      </c>
      <c r="AG247" s="1"/>
      <c r="AH247" s="1"/>
      <c r="AI247" s="1"/>
      <c r="AJ247" s="1"/>
      <c r="AK247" s="1"/>
      <c r="AL247" s="1"/>
    </row>
    <row r="248" spans="1:38" x14ac:dyDescent="0.35">
      <c r="A248" s="1"/>
      <c r="B248" s="10" t="s">
        <v>240</v>
      </c>
      <c r="C248" s="18">
        <v>3.2800000000000003E-2</v>
      </c>
      <c r="D248" s="38">
        <f t="shared" si="48"/>
        <v>0.45664232639402597</v>
      </c>
      <c r="E248" s="32">
        <f t="shared" si="63"/>
        <v>325532.15222725965</v>
      </c>
      <c r="F248" s="47">
        <v>0</v>
      </c>
      <c r="G248" s="19">
        <v>5.3E-3</v>
      </c>
      <c r="H248" s="38">
        <f t="shared" si="49"/>
        <v>9.6660474364640842E-2</v>
      </c>
      <c r="I248" s="32">
        <f t="shared" si="56"/>
        <v>68907.524415680295</v>
      </c>
      <c r="J248" s="47">
        <v>0</v>
      </c>
      <c r="K248" s="19">
        <v>0.10489999999999999</v>
      </c>
      <c r="L248" s="38">
        <f t="shared" si="50"/>
        <v>0.10359751880384822</v>
      </c>
      <c r="M248" s="32">
        <f t="shared" si="57"/>
        <v>73852.819400102628</v>
      </c>
      <c r="N248" s="47">
        <v>0</v>
      </c>
      <c r="O248" s="22">
        <v>1.9E-3</v>
      </c>
      <c r="P248" s="38">
        <f t="shared" si="51"/>
        <v>0.10181086781710498</v>
      </c>
      <c r="Q248" s="31">
        <f t="shared" si="58"/>
        <v>72579.147847169035</v>
      </c>
      <c r="R248" s="47">
        <v>0</v>
      </c>
      <c r="S248" s="19">
        <v>6.93E-2</v>
      </c>
      <c r="T248" s="38">
        <f t="shared" si="52"/>
        <v>7.4580005233120333E-2</v>
      </c>
      <c r="U248" s="31">
        <f t="shared" si="59"/>
        <v>53166.752649444214</v>
      </c>
      <c r="V248" s="47">
        <v>0</v>
      </c>
      <c r="W248" s="25">
        <v>6.8099999999999994E-2</v>
      </c>
      <c r="X248" s="38">
        <f t="shared" si="53"/>
        <v>3.0508853561239037E-2</v>
      </c>
      <c r="Y248" s="31">
        <f t="shared" si="60"/>
        <v>21749.216372918272</v>
      </c>
      <c r="Z248" s="47">
        <v>0</v>
      </c>
      <c r="AA248" s="27">
        <v>-1.5800000000000002E-2</v>
      </c>
      <c r="AB248" s="38">
        <f t="shared" si="54"/>
        <v>0.13619995382602088</v>
      </c>
      <c r="AC248" s="31">
        <f t="shared" si="61"/>
        <v>97094.512574772147</v>
      </c>
      <c r="AD248" s="47">
        <v>0</v>
      </c>
      <c r="AE248" s="37">
        <f t="shared" si="55"/>
        <v>712882.12548734609</v>
      </c>
      <c r="AF248" s="40">
        <f t="shared" si="62"/>
        <v>3.0537515750306721E-2</v>
      </c>
      <c r="AG248" s="1"/>
      <c r="AH248" s="1"/>
      <c r="AI248" s="1"/>
      <c r="AJ248" s="1"/>
      <c r="AK248" s="1"/>
      <c r="AL248" s="1"/>
    </row>
    <row r="249" spans="1:38" x14ac:dyDescent="0.35">
      <c r="A249" s="1"/>
      <c r="B249" s="9" t="s">
        <v>241</v>
      </c>
      <c r="C249" s="18">
        <v>3.73E-2</v>
      </c>
      <c r="D249" s="38">
        <f t="shared" si="48"/>
        <v>0.25835925080122724</v>
      </c>
      <c r="E249" s="32">
        <f t="shared" si="63"/>
        <v>184868.15807933646</v>
      </c>
      <c r="F249" s="48">
        <v>-147311.62</v>
      </c>
      <c r="G249" s="17">
        <v>-2.52E-2</v>
      </c>
      <c r="H249" s="38">
        <f t="shared" si="49"/>
        <v>6.7981890456327798E-2</v>
      </c>
      <c r="I249" s="32">
        <f t="shared" si="56"/>
        <v>48644.230204405147</v>
      </c>
      <c r="J249" s="48">
        <v>-19005.77</v>
      </c>
      <c r="K249" s="17">
        <v>-1.8800000000000001E-2</v>
      </c>
      <c r="L249" s="38">
        <f t="shared" si="50"/>
        <v>0.17595826120493524</v>
      </c>
      <c r="M249" s="32">
        <f t="shared" si="57"/>
        <v>125906.3863473807</v>
      </c>
      <c r="N249" s="49">
        <v>54465.96</v>
      </c>
      <c r="O249" s="18">
        <v>9.4000000000000004E-3</v>
      </c>
      <c r="P249" s="38">
        <f t="shared" si="51"/>
        <v>0.35197432069370593</v>
      </c>
      <c r="Q249" s="31">
        <f t="shared" si="58"/>
        <v>251854.13007693243</v>
      </c>
      <c r="R249" s="49">
        <v>176929.6</v>
      </c>
      <c r="S249" s="17">
        <v>-3.0599999999999999E-2</v>
      </c>
      <c r="T249" s="38">
        <f t="shared" si="52"/>
        <v>0.11589479398379039</v>
      </c>
      <c r="U249" s="31">
        <f t="shared" si="59"/>
        <v>82928.159252371232</v>
      </c>
      <c r="V249" s="49">
        <v>32379.11</v>
      </c>
      <c r="W249" s="24">
        <v>-1.9E-3</v>
      </c>
      <c r="X249" s="38">
        <f t="shared" si="53"/>
        <v>2.9831479170288226E-2</v>
      </c>
      <c r="Y249" s="31">
        <f t="shared" si="60"/>
        <v>21345.82210580973</v>
      </c>
      <c r="Z249" s="48">
        <v>-362.76</v>
      </c>
      <c r="AA249" s="26">
        <v>2.5399999999999999E-2</v>
      </c>
      <c r="AB249" s="38">
        <f t="shared" si="54"/>
        <v>3.6897251753750176E-9</v>
      </c>
      <c r="AC249" s="31">
        <f t="shared" si="61"/>
        <v>2.6401713694212958E-3</v>
      </c>
      <c r="AD249" s="48">
        <v>-97094.51</v>
      </c>
      <c r="AE249" s="37">
        <f t="shared" si="55"/>
        <v>715546.88870640704</v>
      </c>
      <c r="AF249" s="40">
        <f t="shared" si="62"/>
        <v>3.7380137946918524E-3</v>
      </c>
      <c r="AG249" s="1"/>
      <c r="AH249" s="1"/>
      <c r="AI249" s="1"/>
      <c r="AJ249" s="1"/>
      <c r="AK249" s="1"/>
      <c r="AL249" s="1"/>
    </row>
    <row r="250" spans="1:38" x14ac:dyDescent="0.35">
      <c r="A250" s="1"/>
      <c r="B250" s="10" t="s">
        <v>242</v>
      </c>
      <c r="C250" s="18">
        <v>5.4699999999999999E-2</v>
      </c>
      <c r="D250" s="38">
        <f t="shared" si="48"/>
        <v>0.26419101604622641</v>
      </c>
      <c r="E250" s="32">
        <f t="shared" si="63"/>
        <v>194980.44632627617</v>
      </c>
      <c r="F250" s="47">
        <v>0</v>
      </c>
      <c r="G250" s="19">
        <v>4.4699999999999997E-2</v>
      </c>
      <c r="H250" s="38">
        <f t="shared" si="49"/>
        <v>6.8857288163927305E-2</v>
      </c>
      <c r="I250" s="32">
        <f t="shared" si="56"/>
        <v>50818.627294542057</v>
      </c>
      <c r="J250" s="47">
        <v>0</v>
      </c>
      <c r="K250" s="19">
        <v>5.9299999999999999E-2</v>
      </c>
      <c r="L250" s="38">
        <f t="shared" si="50"/>
        <v>0.18071479798397128</v>
      </c>
      <c r="M250" s="32">
        <f t="shared" si="57"/>
        <v>133372.63505778037</v>
      </c>
      <c r="N250" s="47">
        <v>0</v>
      </c>
      <c r="O250" s="22">
        <v>5.3E-3</v>
      </c>
      <c r="P250" s="38">
        <f t="shared" si="51"/>
        <v>0.34306131231584613</v>
      </c>
      <c r="Q250" s="31">
        <f t="shared" si="58"/>
        <v>253188.95696634016</v>
      </c>
      <c r="R250" s="47">
        <v>0</v>
      </c>
      <c r="S250" s="19">
        <v>2.2700000000000001E-2</v>
      </c>
      <c r="T250" s="38">
        <f t="shared" si="52"/>
        <v>0.11491514420285695</v>
      </c>
      <c r="U250" s="31">
        <f t="shared" si="59"/>
        <v>84810.628467400064</v>
      </c>
      <c r="V250" s="47">
        <v>0</v>
      </c>
      <c r="W250" s="24">
        <v>-2.29E-2</v>
      </c>
      <c r="X250" s="38">
        <f t="shared" si="53"/>
        <v>2.826043769946689E-2</v>
      </c>
      <c r="Y250" s="31">
        <f t="shared" si="60"/>
        <v>20857.002779586688</v>
      </c>
      <c r="Z250" s="47">
        <v>0</v>
      </c>
      <c r="AA250" s="26">
        <v>2.8999999999999998E-3</v>
      </c>
      <c r="AB250" s="38">
        <f t="shared" si="54"/>
        <v>3.5877050623178632E-9</v>
      </c>
      <c r="AC250" s="31">
        <f t="shared" si="61"/>
        <v>2.6478278663926175E-3</v>
      </c>
      <c r="AD250" s="47">
        <v>0</v>
      </c>
      <c r="AE250" s="37">
        <f t="shared" si="55"/>
        <v>738028.29953975335</v>
      </c>
      <c r="AF250" s="40">
        <f t="shared" si="62"/>
        <v>3.1418501272487021E-2</v>
      </c>
      <c r="AG250" s="1"/>
      <c r="AH250" s="1"/>
      <c r="AI250" s="1"/>
      <c r="AJ250" s="1"/>
      <c r="AK250" s="1"/>
      <c r="AL250" s="1"/>
    </row>
    <row r="251" spans="1:38" x14ac:dyDescent="0.35">
      <c r="A251" s="1"/>
      <c r="B251" s="11" t="s">
        <v>243</v>
      </c>
      <c r="C251" s="18">
        <v>3.6400000000000002E-2</v>
      </c>
      <c r="D251" s="38">
        <f t="shared" si="48"/>
        <v>0.25970477409917037</v>
      </c>
      <c r="E251" s="32">
        <f t="shared" si="63"/>
        <v>202077.73457255261</v>
      </c>
      <c r="F251" s="47">
        <v>0</v>
      </c>
      <c r="G251" s="19">
        <v>3.2599999999999997E-2</v>
      </c>
      <c r="H251" s="38">
        <f t="shared" si="49"/>
        <v>6.7439838131344756E-2</v>
      </c>
      <c r="I251" s="32">
        <f t="shared" si="56"/>
        <v>52475.314544344124</v>
      </c>
      <c r="J251" s="47">
        <v>0</v>
      </c>
      <c r="K251" s="19">
        <v>3.7600000000000001E-2</v>
      </c>
      <c r="L251" s="38">
        <f t="shared" si="50"/>
        <v>0.17785175844791129</v>
      </c>
      <c r="M251" s="32">
        <f t="shared" si="57"/>
        <v>138387.44613595292</v>
      </c>
      <c r="N251" s="47">
        <v>0</v>
      </c>
      <c r="O251" s="18">
        <v>9.7699999999999995E-2</v>
      </c>
      <c r="P251" s="38">
        <f t="shared" si="51"/>
        <v>0.35718226967137506</v>
      </c>
      <c r="Q251" s="31">
        <f t="shared" si="58"/>
        <v>277925.51806195162</v>
      </c>
      <c r="R251" s="47">
        <v>0</v>
      </c>
      <c r="S251" s="19">
        <v>1.61E-2</v>
      </c>
      <c r="T251" s="38">
        <f t="shared" si="52"/>
        <v>0.11075113905499374</v>
      </c>
      <c r="U251" s="31">
        <f t="shared" si="59"/>
        <v>86176.079585725209</v>
      </c>
      <c r="V251" s="47">
        <v>0</v>
      </c>
      <c r="W251" s="25">
        <v>9.9000000000000008E-3</v>
      </c>
      <c r="X251" s="38">
        <f t="shared" si="53"/>
        <v>2.7070217173913197E-2</v>
      </c>
      <c r="Y251" s="31">
        <f t="shared" si="60"/>
        <v>21063.487107104596</v>
      </c>
      <c r="Z251" s="47">
        <v>0</v>
      </c>
      <c r="AA251" s="26">
        <v>5.4000000000000003E-3</v>
      </c>
      <c r="AB251" s="38">
        <f t="shared" si="54"/>
        <v>3.4212916552238573E-9</v>
      </c>
      <c r="AC251" s="31">
        <f t="shared" si="61"/>
        <v>2.6621261368711376E-3</v>
      </c>
      <c r="AD251" s="47">
        <v>0</v>
      </c>
      <c r="AE251" s="37">
        <f t="shared" si="55"/>
        <v>778105.58266975719</v>
      </c>
      <c r="AF251" s="40">
        <f t="shared" si="62"/>
        <v>5.4303179369946442E-2</v>
      </c>
      <c r="AG251" s="1"/>
      <c r="AH251" s="1"/>
      <c r="AI251" s="1"/>
      <c r="AJ251" s="1"/>
      <c r="AK251" s="1"/>
      <c r="AL251" s="1"/>
    </row>
    <row r="252" spans="1:38" x14ac:dyDescent="0.35">
      <c r="A252" s="1"/>
      <c r="B252" s="10" t="s">
        <v>244</v>
      </c>
      <c r="C252" s="17">
        <v>-1.7500000000000002E-2</v>
      </c>
      <c r="D252" s="38">
        <f t="shared" si="48"/>
        <v>0.32467322647295255</v>
      </c>
      <c r="E252" s="32">
        <f t="shared" si="63"/>
        <v>267571.05786753295</v>
      </c>
      <c r="F252" s="49">
        <v>70259.22</v>
      </c>
      <c r="G252" s="19">
        <v>2.29E-2</v>
      </c>
      <c r="H252" s="38">
        <f t="shared" si="49"/>
        <v>6.7604735977943795E-2</v>
      </c>
      <c r="I252" s="32">
        <f t="shared" si="56"/>
        <v>55714.697879409607</v>
      </c>
      <c r="J252" s="49">
        <v>1992.08</v>
      </c>
      <c r="K252" s="17">
        <v>-4.4999999999999998E-2</v>
      </c>
      <c r="L252" s="38">
        <f t="shared" si="50"/>
        <v>0.162301196700359</v>
      </c>
      <c r="M252" s="32">
        <f t="shared" si="57"/>
        <v>133756.34130983503</v>
      </c>
      <c r="N252" s="49">
        <v>1671.55</v>
      </c>
      <c r="O252" s="18">
        <v>4.9599999999999998E-2</v>
      </c>
      <c r="P252" s="38">
        <f t="shared" si="51"/>
        <v>0.31142745457563498</v>
      </c>
      <c r="Q252" s="31">
        <f t="shared" si="58"/>
        <v>256654.8969098244</v>
      </c>
      <c r="R252" s="48">
        <v>-33399.129999999997</v>
      </c>
      <c r="S252" s="17">
        <v>-5.6300000000000003E-2</v>
      </c>
      <c r="T252" s="38">
        <f t="shared" si="52"/>
        <v>0.10692052240138722</v>
      </c>
      <c r="U252" s="31">
        <f t="shared" si="59"/>
        <v>88115.788288048876</v>
      </c>
      <c r="V252" s="49">
        <v>7196.59</v>
      </c>
      <c r="W252" s="24">
        <v>-4.4200000000000003E-2</v>
      </c>
      <c r="X252" s="38">
        <f t="shared" si="53"/>
        <v>2.7072860560717206E-2</v>
      </c>
      <c r="Y252" s="31">
        <f t="shared" si="60"/>
        <v>22311.399120970575</v>
      </c>
      <c r="Z252" s="49">
        <v>2279.6799999999998</v>
      </c>
      <c r="AA252" s="26">
        <v>2.5000000000000001E-2</v>
      </c>
      <c r="AB252" s="38">
        <f t="shared" si="54"/>
        <v>3.3110049952709251E-9</v>
      </c>
      <c r="AC252" s="31">
        <f t="shared" si="61"/>
        <v>2.7286792902929159E-3</v>
      </c>
      <c r="AD252" s="47">
        <v>0</v>
      </c>
      <c r="AE252" s="37">
        <f t="shared" si="55"/>
        <v>824124.18410430092</v>
      </c>
      <c r="AF252" s="40">
        <f t="shared" si="62"/>
        <v>5.9141847147079041E-2</v>
      </c>
      <c r="AG252" s="1"/>
      <c r="AH252" s="1"/>
      <c r="AI252" s="1"/>
      <c r="AJ252" s="1"/>
      <c r="AK252" s="1"/>
      <c r="AL252" s="1"/>
    </row>
    <row r="253" spans="1:38" x14ac:dyDescent="0.35">
      <c r="A253" s="1"/>
      <c r="B253" s="11" t="s">
        <v>245</v>
      </c>
      <c r="C253" s="18">
        <v>6.5600000000000006E-2</v>
      </c>
      <c r="D253" s="38">
        <f t="shared" si="48"/>
        <v>0.32835046851869132</v>
      </c>
      <c r="E253" s="32">
        <f t="shared" si="63"/>
        <v>285123.71926364308</v>
      </c>
      <c r="F253" s="47">
        <v>0</v>
      </c>
      <c r="G253" s="19">
        <v>3.6600000000000001E-2</v>
      </c>
      <c r="H253" s="38">
        <f t="shared" si="49"/>
        <v>6.6509744144831504E-2</v>
      </c>
      <c r="I253" s="32">
        <f t="shared" si="56"/>
        <v>57753.855821796002</v>
      </c>
      <c r="J253" s="47">
        <v>0</v>
      </c>
      <c r="K253" s="19">
        <v>6.8000000000000005E-2</v>
      </c>
      <c r="L253" s="38">
        <f t="shared" si="50"/>
        <v>0.16450909996700727</v>
      </c>
      <c r="M253" s="32">
        <f t="shared" si="57"/>
        <v>142851.7725189038</v>
      </c>
      <c r="N253" s="47">
        <v>0</v>
      </c>
      <c r="O253" s="18">
        <v>3.5200000000000002E-2</v>
      </c>
      <c r="P253" s="38">
        <f t="shared" si="51"/>
        <v>0.30596948185183648</v>
      </c>
      <c r="Q253" s="31">
        <f t="shared" si="58"/>
        <v>265689.14928105019</v>
      </c>
      <c r="R253" s="47">
        <v>0</v>
      </c>
      <c r="S253" s="19">
        <v>6.3100000000000003E-2</v>
      </c>
      <c r="T253" s="38">
        <f t="shared" si="52"/>
        <v>0.10787781506550691</v>
      </c>
      <c r="U253" s="31">
        <f t="shared" si="59"/>
        <v>93675.894529024765</v>
      </c>
      <c r="V253" s="47">
        <v>0</v>
      </c>
      <c r="W253" s="25">
        <v>4.24E-2</v>
      </c>
      <c r="X253" s="38">
        <f t="shared" si="53"/>
        <v>2.6783387256025894E-2</v>
      </c>
      <c r="Y253" s="31">
        <f t="shared" si="60"/>
        <v>23257.402443699728</v>
      </c>
      <c r="Z253" s="47">
        <v>0</v>
      </c>
      <c r="AA253" s="26">
        <v>1.7100000000000001E-2</v>
      </c>
      <c r="AB253" s="38">
        <f t="shared" si="54"/>
        <v>3.1961006091272386E-9</v>
      </c>
      <c r="AC253" s="31">
        <f t="shared" si="61"/>
        <v>2.775339706156925E-3</v>
      </c>
      <c r="AD253" s="47">
        <v>0</v>
      </c>
      <c r="AE253" s="37">
        <f t="shared" si="55"/>
        <v>868351.7966334573</v>
      </c>
      <c r="AF253" s="40">
        <f t="shared" si="62"/>
        <v>5.3666199078024945E-2</v>
      </c>
      <c r="AG253" s="1"/>
      <c r="AH253" s="1"/>
      <c r="AI253" s="1"/>
      <c r="AJ253" s="1"/>
      <c r="AK253" s="1"/>
      <c r="AL253" s="1"/>
    </row>
    <row r="254" spans="1:38" x14ac:dyDescent="0.35">
      <c r="A254" s="1"/>
      <c r="B254" s="10" t="s">
        <v>246</v>
      </c>
      <c r="C254" s="18">
        <v>9.3799999999999994E-2</v>
      </c>
      <c r="D254" s="38">
        <f t="shared" si="48"/>
        <v>0.335917131023863</v>
      </c>
      <c r="E254" s="32">
        <f t="shared" si="63"/>
        <v>311868.32413057279</v>
      </c>
      <c r="F254" s="47">
        <v>0</v>
      </c>
      <c r="G254" s="19">
        <v>7.7399999999999997E-2</v>
      </c>
      <c r="H254" s="38">
        <f t="shared" si="49"/>
        <v>6.7022225007666261E-2</v>
      </c>
      <c r="I254" s="32">
        <f t="shared" si="56"/>
        <v>62224.00426240301</v>
      </c>
      <c r="J254" s="47">
        <v>0</v>
      </c>
      <c r="K254" s="19">
        <v>4.24E-2</v>
      </c>
      <c r="L254" s="38">
        <f t="shared" si="50"/>
        <v>0.16039134236324951</v>
      </c>
      <c r="M254" s="32">
        <f t="shared" si="57"/>
        <v>148908.68767370534</v>
      </c>
      <c r="N254" s="47">
        <v>0</v>
      </c>
      <c r="O254" s="18">
        <v>5.6899999999999999E-2</v>
      </c>
      <c r="P254" s="38">
        <f t="shared" si="51"/>
        <v>0.30246045562940455</v>
      </c>
      <c r="Q254" s="31">
        <f t="shared" si="58"/>
        <v>280806.86187514197</v>
      </c>
      <c r="R254" s="47">
        <v>0</v>
      </c>
      <c r="S254" s="19">
        <v>6.3799999999999996E-2</v>
      </c>
      <c r="T254" s="38">
        <f t="shared" si="52"/>
        <v>0.10733681907959217</v>
      </c>
      <c r="U254" s="31">
        <f t="shared" si="59"/>
        <v>99652.416599976539</v>
      </c>
      <c r="V254" s="47">
        <v>0</v>
      </c>
      <c r="W254" s="25">
        <v>7.2700000000000001E-2</v>
      </c>
      <c r="X254" s="38">
        <f t="shared" si="53"/>
        <v>2.6872023737376308E-2</v>
      </c>
      <c r="Y254" s="31">
        <f t="shared" si="60"/>
        <v>24948.215601356696</v>
      </c>
      <c r="Z254" s="47">
        <v>0</v>
      </c>
      <c r="AA254" s="26">
        <v>5.67E-2</v>
      </c>
      <c r="AB254" s="38">
        <f t="shared" si="54"/>
        <v>3.1588480999380917E-9</v>
      </c>
      <c r="AC254" s="31">
        <f t="shared" si="61"/>
        <v>2.9327014674960226E-3</v>
      </c>
      <c r="AD254" s="47">
        <v>0</v>
      </c>
      <c r="AE254" s="37">
        <f t="shared" si="55"/>
        <v>928408.51307585789</v>
      </c>
      <c r="AF254" s="40">
        <f t="shared" si="62"/>
        <v>6.9161734535745145E-2</v>
      </c>
      <c r="AG254" s="1"/>
      <c r="AH254" s="1"/>
      <c r="AI254" s="1"/>
      <c r="AJ254" s="1"/>
      <c r="AK254" s="1"/>
      <c r="AL254" s="1"/>
    </row>
    <row r="255" spans="1:38" x14ac:dyDescent="0.35">
      <c r="A255" s="1"/>
      <c r="B255" s="11" t="s">
        <v>247</v>
      </c>
      <c r="C255" s="18">
        <v>3.1800000000000002E-2</v>
      </c>
      <c r="D255" s="38">
        <f t="shared" si="48"/>
        <v>0.34118210708859609</v>
      </c>
      <c r="E255" s="32">
        <f t="shared" si="63"/>
        <v>335276.17102592497</v>
      </c>
      <c r="F255" s="49">
        <v>13074.66</v>
      </c>
      <c r="G255" s="19">
        <v>2.8899999999999999E-2</v>
      </c>
      <c r="H255" s="38">
        <f t="shared" si="49"/>
        <v>0.17497191713006038</v>
      </c>
      <c r="I255" s="32">
        <f t="shared" si="56"/>
        <v>171943.11540258647</v>
      </c>
      <c r="J255" s="49">
        <v>104889.53</v>
      </c>
      <c r="K255" s="19">
        <v>0.12570000000000001</v>
      </c>
      <c r="L255" s="38">
        <f t="shared" si="50"/>
        <v>0.12762230082399451</v>
      </c>
      <c r="M255" s="32">
        <f t="shared" si="57"/>
        <v>125413.13119529012</v>
      </c>
      <c r="N255" s="48">
        <v>-37499.67</v>
      </c>
      <c r="O255" s="18">
        <v>7.3400000000000007E-2</v>
      </c>
      <c r="P255" s="38">
        <f t="shared" si="51"/>
        <v>0.25352703618251327</v>
      </c>
      <c r="Q255" s="31">
        <f t="shared" si="58"/>
        <v>249138.42835477737</v>
      </c>
      <c r="R255" s="48">
        <v>-48704.73</v>
      </c>
      <c r="S255" s="19">
        <v>0.1012</v>
      </c>
      <c r="T255" s="38">
        <f t="shared" si="52"/>
        <v>7.2826077731851332E-2</v>
      </c>
      <c r="U255" s="31">
        <f t="shared" si="59"/>
        <v>71565.442575894151</v>
      </c>
      <c r="V255" s="48">
        <v>-34663.82</v>
      </c>
      <c r="W255" s="25">
        <v>5.3900000000000003E-2</v>
      </c>
      <c r="X255" s="38">
        <f t="shared" si="53"/>
        <v>2.9870557997443634E-2</v>
      </c>
      <c r="Y255" s="31">
        <f t="shared" si="60"/>
        <v>29353.492178269822</v>
      </c>
      <c r="Z255" s="49">
        <v>2904.04</v>
      </c>
      <c r="AA255" s="26">
        <v>2.0500000000000001E-2</v>
      </c>
      <c r="AB255" s="38">
        <f t="shared" si="54"/>
        <v>3.0455408178085778E-9</v>
      </c>
      <c r="AC255" s="31">
        <f t="shared" si="61"/>
        <v>2.992821847579691E-3</v>
      </c>
      <c r="AD255" s="47">
        <v>0</v>
      </c>
      <c r="AE255" s="37">
        <f t="shared" si="55"/>
        <v>982689.78372556472</v>
      </c>
      <c r="AF255" s="40">
        <f t="shared" si="62"/>
        <v>5.8467010895743021E-2</v>
      </c>
      <c r="AG255" s="1"/>
      <c r="AH255" s="1"/>
      <c r="AI255" s="1"/>
      <c r="AJ255" s="1"/>
      <c r="AK255" s="1"/>
      <c r="AL255" s="1"/>
    </row>
    <row r="256" spans="1:38" x14ac:dyDescent="0.35">
      <c r="A256" s="1"/>
      <c r="B256" s="10" t="s">
        <v>248</v>
      </c>
      <c r="C256" s="18">
        <v>2.5999999999999999E-2</v>
      </c>
      <c r="D256" s="38">
        <f t="shared" si="48"/>
        <v>0.34299610037380313</v>
      </c>
      <c r="E256" s="32">
        <f t="shared" si="63"/>
        <v>343993.35147259902</v>
      </c>
      <c r="F256" s="47">
        <v>0</v>
      </c>
      <c r="G256" s="19">
        <v>1.29E-2</v>
      </c>
      <c r="H256" s="38">
        <f t="shared" si="49"/>
        <v>0.17365628104896999</v>
      </c>
      <c r="I256" s="32">
        <f t="shared" si="56"/>
        <v>174161.18159127983</v>
      </c>
      <c r="J256" s="47">
        <v>0</v>
      </c>
      <c r="K256" s="17">
        <v>-1.38E-2</v>
      </c>
      <c r="L256" s="38">
        <f t="shared" si="50"/>
        <v>0.12332386945251718</v>
      </c>
      <c r="M256" s="32">
        <f t="shared" si="57"/>
        <v>123682.42998479512</v>
      </c>
      <c r="N256" s="47">
        <v>0</v>
      </c>
      <c r="O256" s="18">
        <v>2.58E-2</v>
      </c>
      <c r="P256" s="38">
        <f t="shared" si="51"/>
        <v>0.25482530271491616</v>
      </c>
      <c r="Q256" s="31">
        <f t="shared" si="58"/>
        <v>255566.19980633061</v>
      </c>
      <c r="R256" s="47">
        <v>0</v>
      </c>
      <c r="S256" s="19">
        <v>5.5500000000000001E-2</v>
      </c>
      <c r="T256" s="38">
        <f t="shared" si="52"/>
        <v>7.5318338778595534E-2</v>
      </c>
      <c r="U256" s="31">
        <f t="shared" si="59"/>
        <v>75537.324638856269</v>
      </c>
      <c r="V256" s="47">
        <v>0</v>
      </c>
      <c r="W256" s="25">
        <v>2.0899999999999998E-2</v>
      </c>
      <c r="X256" s="38">
        <f t="shared" si="53"/>
        <v>2.988010463720478E-2</v>
      </c>
      <c r="Y256" s="31">
        <f t="shared" si="60"/>
        <v>29966.980164795663</v>
      </c>
      <c r="Z256" s="47">
        <v>0</v>
      </c>
      <c r="AA256" s="26">
        <v>3.3E-3</v>
      </c>
      <c r="AB256" s="38">
        <f t="shared" si="54"/>
        <v>2.9939932122517866E-9</v>
      </c>
      <c r="AC256" s="31">
        <f t="shared" si="61"/>
        <v>3.002698159676704E-3</v>
      </c>
      <c r="AD256" s="47">
        <v>0</v>
      </c>
      <c r="AE256" s="37">
        <f t="shared" si="55"/>
        <v>1002907.4706613547</v>
      </c>
      <c r="AF256" s="40">
        <f t="shared" si="62"/>
        <v>2.0573824283733666E-2</v>
      </c>
      <c r="AG256" s="1"/>
      <c r="AH256" s="1"/>
      <c r="AI256" s="1"/>
      <c r="AJ256" s="1"/>
      <c r="AK256" s="1"/>
      <c r="AL256" s="1"/>
    </row>
    <row r="257" spans="1:38" x14ac:dyDescent="0.35">
      <c r="A257" s="1"/>
      <c r="B257" s="11" t="s">
        <v>249</v>
      </c>
      <c r="C257" s="17">
        <v>-1.52E-2</v>
      </c>
      <c r="D257" s="38">
        <f t="shared" si="48"/>
        <v>0.33874349672164689</v>
      </c>
      <c r="E257" s="32">
        <f t="shared" si="63"/>
        <v>338764.65253021551</v>
      </c>
      <c r="F257" s="47">
        <v>0</v>
      </c>
      <c r="G257" s="19">
        <v>2.07E-2</v>
      </c>
      <c r="H257" s="38">
        <f t="shared" si="49"/>
        <v>0.17775521656673651</v>
      </c>
      <c r="I257" s="32">
        <f t="shared" si="56"/>
        <v>177766.31805021933</v>
      </c>
      <c r="J257" s="47">
        <v>0</v>
      </c>
      <c r="K257" s="17">
        <v>-3.1199999999999999E-2</v>
      </c>
      <c r="L257" s="38">
        <f t="shared" si="50"/>
        <v>0.11981605520486754</v>
      </c>
      <c r="M257" s="32">
        <f t="shared" si="57"/>
        <v>119823.53816926951</v>
      </c>
      <c r="N257" s="47">
        <v>0</v>
      </c>
      <c r="O257" s="18">
        <v>1.5900000000000001E-2</v>
      </c>
      <c r="P257" s="38">
        <f t="shared" si="51"/>
        <v>0.25961348854204519</v>
      </c>
      <c r="Q257" s="31">
        <f t="shared" si="58"/>
        <v>259629.70238325128</v>
      </c>
      <c r="R257" s="47">
        <v>0</v>
      </c>
      <c r="S257" s="17">
        <v>-1.15E-2</v>
      </c>
      <c r="T257" s="38">
        <f t="shared" si="52"/>
        <v>7.4663982358298089E-2</v>
      </c>
      <c r="U257" s="31">
        <f t="shared" si="59"/>
        <v>74668.645405509422</v>
      </c>
      <c r="V257" s="47">
        <v>0</v>
      </c>
      <c r="W257" s="24">
        <v>-1.8599999999999998E-2</v>
      </c>
      <c r="X257" s="38">
        <f t="shared" si="53"/>
        <v>2.9407757708382574E-2</v>
      </c>
      <c r="Y257" s="31">
        <f t="shared" si="60"/>
        <v>29409.594333730463</v>
      </c>
      <c r="Z257" s="47">
        <v>0</v>
      </c>
      <c r="AA257" s="27">
        <v>-3.4799999999999998E-2</v>
      </c>
      <c r="AB257" s="38">
        <f t="shared" si="54"/>
        <v>2.89802327123996E-9</v>
      </c>
      <c r="AC257" s="31">
        <f t="shared" si="61"/>
        <v>2.8982042637199549E-3</v>
      </c>
      <c r="AD257" s="47">
        <v>0</v>
      </c>
      <c r="AE257" s="37">
        <f t="shared" si="55"/>
        <v>1000062.4537703997</v>
      </c>
      <c r="AF257" s="40">
        <f t="shared" si="62"/>
        <v>-2.8367690681164737E-3</v>
      </c>
      <c r="AG257" s="1"/>
      <c r="AH257" s="1"/>
      <c r="AI257" s="1"/>
      <c r="AJ257" s="1"/>
      <c r="AK257" s="1"/>
      <c r="AL257" s="1"/>
    </row>
    <row r="258" spans="1:38" x14ac:dyDescent="0.35">
      <c r="A258" s="1"/>
      <c r="B258" s="10" t="s">
        <v>250</v>
      </c>
      <c r="C258" s="18">
        <v>5.04E-2</v>
      </c>
      <c r="D258" s="38">
        <f t="shared" si="48"/>
        <v>0.11920289228830797</v>
      </c>
      <c r="E258" s="32">
        <f t="shared" si="63"/>
        <v>126055.87015373839</v>
      </c>
      <c r="F258" s="48">
        <v>-218757.16</v>
      </c>
      <c r="G258" s="19">
        <v>2.8299999999999999E-2</v>
      </c>
      <c r="H258" s="38">
        <f t="shared" si="49"/>
        <v>0.17504236524090558</v>
      </c>
      <c r="I258" s="32">
        <f t="shared" si="56"/>
        <v>185105.55608704055</v>
      </c>
      <c r="J258" s="49">
        <v>2244.92</v>
      </c>
      <c r="K258" s="19">
        <v>4.5900000000000003E-2</v>
      </c>
      <c r="L258" s="38">
        <f t="shared" si="50"/>
        <v>6.923712430787618E-2</v>
      </c>
      <c r="M258" s="32">
        <f t="shared" si="57"/>
        <v>73217.568668238979</v>
      </c>
      <c r="N258" s="48">
        <v>-49819.17</v>
      </c>
      <c r="O258" s="18">
        <v>0.105</v>
      </c>
      <c r="P258" s="38">
        <f t="shared" si="51"/>
        <v>0.36574733276457283</v>
      </c>
      <c r="Q258" s="31">
        <f t="shared" si="58"/>
        <v>386774.15793349268</v>
      </c>
      <c r="R258" s="49">
        <v>90392.16</v>
      </c>
      <c r="S258" s="19">
        <v>2.53E-2</v>
      </c>
      <c r="T258" s="38">
        <f t="shared" si="52"/>
        <v>0.24240512243741813</v>
      </c>
      <c r="U258" s="31">
        <f t="shared" si="59"/>
        <v>256341.00022226881</v>
      </c>
      <c r="V258" s="49">
        <v>175346.96</v>
      </c>
      <c r="W258" s="24">
        <v>-2.0000000000000001E-4</v>
      </c>
      <c r="X258" s="38">
        <f t="shared" si="53"/>
        <v>2.836516005364351E-2</v>
      </c>
      <c r="Y258" s="31">
        <f t="shared" si="60"/>
        <v>29995.873958863715</v>
      </c>
      <c r="Z258" s="49">
        <v>592.28</v>
      </c>
      <c r="AA258" s="26">
        <v>6.08E-2</v>
      </c>
      <c r="AB258" s="38">
        <f t="shared" si="54"/>
        <v>2.9072757146174186E-9</v>
      </c>
      <c r="AC258" s="31">
        <f t="shared" si="61"/>
        <v>3.074415082954128E-3</v>
      </c>
      <c r="AD258" s="47">
        <v>0</v>
      </c>
      <c r="AE258" s="37">
        <f t="shared" si="55"/>
        <v>1057490.0300980583</v>
      </c>
      <c r="AF258" s="40">
        <f t="shared" si="62"/>
        <v>5.7423989982972712E-2</v>
      </c>
      <c r="AG258" s="1"/>
      <c r="AH258" s="1"/>
      <c r="AI258" s="1"/>
      <c r="AJ258" s="1"/>
      <c r="AK258" s="1"/>
      <c r="AL258" s="1"/>
    </row>
    <row r="259" spans="1:38" x14ac:dyDescent="0.35">
      <c r="A259" s="1"/>
      <c r="B259" s="11" t="s">
        <v>251</v>
      </c>
      <c r="C259" s="18">
        <v>0.10299999999999999</v>
      </c>
      <c r="D259" s="38">
        <f t="shared" si="48"/>
        <v>0.12500836750150757</v>
      </c>
      <c r="E259" s="32">
        <f t="shared" si="63"/>
        <v>139039.62477957344</v>
      </c>
      <c r="F259" s="47">
        <v>0</v>
      </c>
      <c r="G259" s="19">
        <v>1.5299999999999999E-2</v>
      </c>
      <c r="H259" s="38">
        <f t="shared" si="49"/>
        <v>0.16897184160909981</v>
      </c>
      <c r="I259" s="32">
        <f t="shared" si="56"/>
        <v>187937.67109517226</v>
      </c>
      <c r="J259" s="47">
        <v>0</v>
      </c>
      <c r="K259" s="19">
        <v>0.1588</v>
      </c>
      <c r="L259" s="38">
        <f t="shared" si="50"/>
        <v>7.6282389103438306E-2</v>
      </c>
      <c r="M259" s="32">
        <f t="shared" si="57"/>
        <v>84844.518572755333</v>
      </c>
      <c r="N259" s="47">
        <v>0</v>
      </c>
      <c r="O259" s="18">
        <v>7.7999999999999996E-3</v>
      </c>
      <c r="P259" s="38">
        <f t="shared" si="51"/>
        <v>0.35045503179162818</v>
      </c>
      <c r="Q259" s="31">
        <f t="shared" si="58"/>
        <v>389790.9963653739</v>
      </c>
      <c r="R259" s="47">
        <v>0</v>
      </c>
      <c r="S259" s="19">
        <v>8.77E-2</v>
      </c>
      <c r="T259" s="38">
        <f t="shared" si="52"/>
        <v>0.25068462564085298</v>
      </c>
      <c r="U259" s="31">
        <f t="shared" si="59"/>
        <v>278822.10594176175</v>
      </c>
      <c r="V259" s="47">
        <v>0</v>
      </c>
      <c r="W259" s="25">
        <v>6.0400000000000002E-2</v>
      </c>
      <c r="X259" s="38">
        <f t="shared" si="53"/>
        <v>2.8597741470455646E-2</v>
      </c>
      <c r="Y259" s="31">
        <f t="shared" si="60"/>
        <v>31807.624745979083</v>
      </c>
      <c r="Z259" s="47">
        <v>0</v>
      </c>
      <c r="AA259" s="26">
        <v>4.2999999999999997E-2</v>
      </c>
      <c r="AB259" s="38">
        <f t="shared" si="54"/>
        <v>2.8830176896040378E-9</v>
      </c>
      <c r="AC259" s="31">
        <f t="shared" si="61"/>
        <v>3.2066149315211553E-3</v>
      </c>
      <c r="AD259" s="47">
        <v>0</v>
      </c>
      <c r="AE259" s="37">
        <f t="shared" si="55"/>
        <v>1112242.5447072305</v>
      </c>
      <c r="AF259" s="40">
        <f t="shared" si="62"/>
        <v>5.1775915659550087E-2</v>
      </c>
      <c r="AG259" s="1"/>
      <c r="AH259" s="1"/>
      <c r="AI259" s="1"/>
      <c r="AJ259" s="1"/>
      <c r="AK259" s="1"/>
      <c r="AL259" s="1"/>
    </row>
    <row r="260" spans="1:38" x14ac:dyDescent="0.35">
      <c r="A260" s="1"/>
      <c r="B260" s="10" t="s">
        <v>252</v>
      </c>
      <c r="C260" s="18">
        <v>1.4E-3</v>
      </c>
      <c r="D260" s="38">
        <f t="shared" si="48"/>
        <v>0.12749048002364277</v>
      </c>
      <c r="E260" s="32">
        <f t="shared" si="63"/>
        <v>139234.28025426483</v>
      </c>
      <c r="F260" s="47">
        <v>0</v>
      </c>
      <c r="G260" s="17">
        <v>-7.1000000000000004E-3</v>
      </c>
      <c r="H260" s="38">
        <f t="shared" si="49"/>
        <v>0.17086414340848299</v>
      </c>
      <c r="I260" s="32">
        <f t="shared" si="56"/>
        <v>186603.31363039653</v>
      </c>
      <c r="J260" s="47">
        <v>0</v>
      </c>
      <c r="K260" s="17">
        <v>-6.1699999999999998E-2</v>
      </c>
      <c r="L260" s="38">
        <f t="shared" si="50"/>
        <v>7.2894890549852751E-2</v>
      </c>
      <c r="M260" s="32">
        <f t="shared" si="57"/>
        <v>79609.611776816324</v>
      </c>
      <c r="N260" s="47">
        <v>0</v>
      </c>
      <c r="O260" s="18">
        <v>1.7000000000000001E-2</v>
      </c>
      <c r="P260" s="38">
        <f t="shared" si="51"/>
        <v>0.36298137243375611</v>
      </c>
      <c r="Q260" s="31">
        <f t="shared" si="58"/>
        <v>396417.44330358523</v>
      </c>
      <c r="R260" s="47">
        <v>0</v>
      </c>
      <c r="S260" s="17">
        <v>-6.7900000000000002E-2</v>
      </c>
      <c r="T260" s="38">
        <f t="shared" si="52"/>
        <v>0.23796949733168332</v>
      </c>
      <c r="U260" s="31">
        <f t="shared" si="59"/>
        <v>259890.08494831613</v>
      </c>
      <c r="V260" s="47">
        <v>0</v>
      </c>
      <c r="W260" s="24">
        <v>-4.5499999999999999E-2</v>
      </c>
      <c r="X260" s="38">
        <f t="shared" si="53"/>
        <v>2.7799613248312233E-2</v>
      </c>
      <c r="Y260" s="31">
        <f t="shared" si="60"/>
        <v>30360.377820037036</v>
      </c>
      <c r="Z260" s="47">
        <v>0</v>
      </c>
      <c r="AA260" s="26">
        <v>2.3199999999999998E-2</v>
      </c>
      <c r="AB260" s="38">
        <f t="shared" si="54"/>
        <v>3.0042697448511286E-9</v>
      </c>
      <c r="AC260" s="31">
        <f t="shared" si="61"/>
        <v>3.2810083979324463E-3</v>
      </c>
      <c r="AD260" s="47">
        <v>0</v>
      </c>
      <c r="AE260" s="37">
        <f t="shared" si="55"/>
        <v>1092115.1150144245</v>
      </c>
      <c r="AF260" s="40">
        <f t="shared" si="62"/>
        <v>-1.8096259479180477E-2</v>
      </c>
      <c r="AG260" s="1"/>
      <c r="AH260" s="1"/>
      <c r="AI260" s="1"/>
      <c r="AJ260" s="1"/>
      <c r="AK260" s="1"/>
      <c r="AL260" s="1"/>
    </row>
    <row r="261" spans="1:38" x14ac:dyDescent="0.35">
      <c r="A261" s="1"/>
      <c r="B261" s="9" t="s">
        <v>253</v>
      </c>
      <c r="C261" s="17">
        <v>-2.35E-2</v>
      </c>
      <c r="D261" s="38">
        <f t="shared" si="48"/>
        <v>0.17811830978444929</v>
      </c>
      <c r="E261" s="32">
        <f t="shared" si="63"/>
        <v>191961.07332828961</v>
      </c>
      <c r="F261" s="49">
        <v>57346.44</v>
      </c>
      <c r="G261" s="17">
        <v>-2.87E-2</v>
      </c>
      <c r="H261" s="38">
        <f t="shared" si="49"/>
        <v>6.8899373681669762E-2</v>
      </c>
      <c r="I261" s="32">
        <f t="shared" si="56"/>
        <v>74254.00420420416</v>
      </c>
      <c r="J261" s="48">
        <v>-110155.25</v>
      </c>
      <c r="K261" s="17">
        <v>-2.5399999999999999E-2</v>
      </c>
      <c r="L261" s="38">
        <f t="shared" si="50"/>
        <v>0.24690519860330998</v>
      </c>
      <c r="M261" s="32">
        <f t="shared" si="57"/>
        <v>266093.8507196852</v>
      </c>
      <c r="N261" s="49">
        <v>193419.17</v>
      </c>
      <c r="O261" s="18">
        <v>1.3599999999999999E-2</v>
      </c>
      <c r="P261" s="38">
        <f t="shared" si="51"/>
        <v>0.35949964286969427</v>
      </c>
      <c r="Q261" s="31">
        <f t="shared" si="58"/>
        <v>387438.76129251398</v>
      </c>
      <c r="R261" s="48">
        <v>-14177.15</v>
      </c>
      <c r="S261" s="17">
        <v>-3.3500000000000002E-2</v>
      </c>
      <c r="T261" s="38">
        <f t="shared" si="52"/>
        <v>0.1175295089984182</v>
      </c>
      <c r="U261" s="31">
        <f t="shared" si="59"/>
        <v>126663.51214754755</v>
      </c>
      <c r="V261" s="48">
        <v>-128836.27</v>
      </c>
      <c r="W261" s="24">
        <v>-4.4499999999999998E-2</v>
      </c>
      <c r="X261" s="38">
        <f t="shared" si="53"/>
        <v>2.9047963157485271E-2</v>
      </c>
      <c r="Y261" s="31">
        <f t="shared" si="60"/>
        <v>31305.474392045388</v>
      </c>
      <c r="Z261" s="49">
        <v>2403.0700000000002</v>
      </c>
      <c r="AA261" s="27">
        <v>-4.58E-2</v>
      </c>
      <c r="AB261" s="38">
        <f t="shared" si="54"/>
        <v>2.9049733326828295E-9</v>
      </c>
      <c r="AC261" s="31">
        <f t="shared" si="61"/>
        <v>3.1307382133071403E-3</v>
      </c>
      <c r="AD261" s="47">
        <v>0</v>
      </c>
      <c r="AE261" s="37">
        <f t="shared" si="55"/>
        <v>1077716.679215024</v>
      </c>
      <c r="AF261" s="40">
        <f t="shared" si="62"/>
        <v>-1.3183990956127767E-2</v>
      </c>
      <c r="AG261" s="1"/>
      <c r="AH261" s="1"/>
      <c r="AI261" s="1"/>
      <c r="AJ261" s="1"/>
      <c r="AK261" s="1"/>
      <c r="AL261" s="1"/>
    </row>
    <row r="262" spans="1:38" x14ac:dyDescent="0.35">
      <c r="A262" s="1"/>
      <c r="B262" s="10" t="s">
        <v>254</v>
      </c>
      <c r="C262" s="17">
        <v>-1.9900000000000001E-2</v>
      </c>
      <c r="D262" s="38">
        <f t="shared" si="48"/>
        <v>0.17577912199043438</v>
      </c>
      <c r="E262" s="32">
        <f t="shared" si="63"/>
        <v>188141.04796905664</v>
      </c>
      <c r="F262" s="47">
        <v>0</v>
      </c>
      <c r="G262" s="19">
        <v>5.5999999999999999E-3</v>
      </c>
      <c r="H262" s="38">
        <f t="shared" si="49"/>
        <v>6.9763598669664945E-2</v>
      </c>
      <c r="I262" s="32">
        <f t="shared" si="56"/>
        <v>74669.826627747709</v>
      </c>
      <c r="J262" s="47">
        <v>0</v>
      </c>
      <c r="K262" s="17">
        <v>-5.7700000000000001E-2</v>
      </c>
      <c r="L262" s="38">
        <f t="shared" si="50"/>
        <v>0.23426519053376604</v>
      </c>
      <c r="M262" s="32">
        <f t="shared" si="57"/>
        <v>250740.23553315937</v>
      </c>
      <c r="N262" s="47">
        <v>0</v>
      </c>
      <c r="O262" s="22">
        <v>1.54E-2</v>
      </c>
      <c r="P262" s="38">
        <f t="shared" si="51"/>
        <v>0.36755637416149051</v>
      </c>
      <c r="Q262" s="31">
        <f t="shared" si="58"/>
        <v>393405.31821641867</v>
      </c>
      <c r="R262" s="47">
        <v>0</v>
      </c>
      <c r="S262" s="19">
        <v>3.1E-2</v>
      </c>
      <c r="T262" s="38">
        <f t="shared" si="52"/>
        <v>0.12200957755298117</v>
      </c>
      <c r="U262" s="31">
        <f t="shared" si="59"/>
        <v>130590.08102412152</v>
      </c>
      <c r="V262" s="47">
        <v>0</v>
      </c>
      <c r="W262" s="25">
        <v>4.7100000000000003E-2</v>
      </c>
      <c r="X262" s="38">
        <f t="shared" si="53"/>
        <v>3.0626134184474504E-2</v>
      </c>
      <c r="Y262" s="31">
        <f t="shared" si="60"/>
        <v>32779.962235910723</v>
      </c>
      <c r="Z262" s="47">
        <v>0</v>
      </c>
      <c r="AA262" s="27">
        <v>-6.1000000000000004E-3</v>
      </c>
      <c r="AB262" s="38">
        <f t="shared" si="54"/>
        <v>2.9071883987786369E-9</v>
      </c>
      <c r="AC262" s="31">
        <f t="shared" si="61"/>
        <v>3.1116407102059667E-3</v>
      </c>
      <c r="AD262" s="47">
        <v>0</v>
      </c>
      <c r="AE262" s="37">
        <f t="shared" si="55"/>
        <v>1070326.4747180555</v>
      </c>
      <c r="AF262" s="40">
        <f t="shared" si="62"/>
        <v>-6.8572795053625235E-3</v>
      </c>
      <c r="AG262" s="1"/>
      <c r="AH262" s="1"/>
      <c r="AI262" s="1"/>
      <c r="AJ262" s="1"/>
      <c r="AK262" s="1"/>
      <c r="AL262" s="1"/>
    </row>
    <row r="263" spans="1:38" x14ac:dyDescent="0.35">
      <c r="A263" s="1"/>
      <c r="B263" s="11" t="s">
        <v>255</v>
      </c>
      <c r="C263" s="17">
        <v>-7.0699999999999999E-2</v>
      </c>
      <c r="D263" s="38">
        <f t="shared" si="48"/>
        <v>0.16507872655843434</v>
      </c>
      <c r="E263" s="32">
        <f t="shared" si="63"/>
        <v>174839.47587764435</v>
      </c>
      <c r="F263" s="47">
        <v>0</v>
      </c>
      <c r="G263" s="17">
        <v>-2.8E-3</v>
      </c>
      <c r="H263" s="38">
        <f t="shared" si="49"/>
        <v>7.0303836765971545E-2</v>
      </c>
      <c r="I263" s="32">
        <f t="shared" si="56"/>
        <v>74460.75111319001</v>
      </c>
      <c r="J263" s="47">
        <v>0</v>
      </c>
      <c r="K263" s="17">
        <v>-8.3599999999999994E-2</v>
      </c>
      <c r="L263" s="38">
        <f t="shared" si="50"/>
        <v>0.21695053432564224</v>
      </c>
      <c r="M263" s="32">
        <f t="shared" si="57"/>
        <v>229778.35184258726</v>
      </c>
      <c r="N263" s="47">
        <v>0</v>
      </c>
      <c r="O263" s="18">
        <v>7.7899999999999997E-2</v>
      </c>
      <c r="P263" s="38">
        <f t="shared" si="51"/>
        <v>0.40037809844996841</v>
      </c>
      <c r="Q263" s="31">
        <f t="shared" si="58"/>
        <v>424051.59250547766</v>
      </c>
      <c r="R263" s="47">
        <v>0</v>
      </c>
      <c r="S263" s="17">
        <v>-4.9200000000000001E-2</v>
      </c>
      <c r="T263" s="38">
        <f t="shared" si="52"/>
        <v>0.11723329685887962</v>
      </c>
      <c r="U263" s="31">
        <f t="shared" si="59"/>
        <v>124165.04903773475</v>
      </c>
      <c r="V263" s="47">
        <v>0</v>
      </c>
      <c r="W263" s="24">
        <v>-2.8899999999999999E-2</v>
      </c>
      <c r="X263" s="38">
        <f t="shared" si="53"/>
        <v>3.0055504143719984E-2</v>
      </c>
      <c r="Y263" s="31">
        <f t="shared" si="60"/>
        <v>31832.621327292902</v>
      </c>
      <c r="Z263" s="47">
        <v>0</v>
      </c>
      <c r="AA263" s="27">
        <v>-1.38E-2</v>
      </c>
      <c r="AB263" s="38">
        <f t="shared" si="54"/>
        <v>2.897383997173553E-9</v>
      </c>
      <c r="AC263" s="31">
        <f t="shared" si="61"/>
        <v>3.0687000684051242E-3</v>
      </c>
      <c r="AD263" s="47">
        <v>0</v>
      </c>
      <c r="AE263" s="37">
        <f t="shared" si="55"/>
        <v>1059127.8447726269</v>
      </c>
      <c r="AF263" s="40">
        <f t="shared" si="62"/>
        <v>-1.0462816916098849E-2</v>
      </c>
      <c r="AG263" s="1"/>
      <c r="AH263" s="1"/>
      <c r="AI263" s="1"/>
      <c r="AJ263" s="1"/>
      <c r="AK263" s="1"/>
      <c r="AL263" s="1"/>
    </row>
    <row r="264" spans="1:38" x14ac:dyDescent="0.35">
      <c r="A264" s="1"/>
      <c r="B264" s="10" t="s">
        <v>256</v>
      </c>
      <c r="C264" s="17">
        <v>-3.15E-2</v>
      </c>
      <c r="D264" s="38">
        <f t="shared" si="48"/>
        <v>9.7872466712681447E-2</v>
      </c>
      <c r="E264" s="32">
        <f t="shared" si="63"/>
        <v>102576.52343749856</v>
      </c>
      <c r="F264" s="48">
        <v>-68926.7</v>
      </c>
      <c r="G264" s="17">
        <v>-2.2700000000000001E-2</v>
      </c>
      <c r="H264" s="38">
        <f t="shared" si="49"/>
        <v>0.34566617354750384</v>
      </c>
      <c r="I264" s="32">
        <f t="shared" si="56"/>
        <v>362279.97048992058</v>
      </c>
      <c r="J264" s="49">
        <v>296233.99</v>
      </c>
      <c r="K264" s="17">
        <v>-4.6699999999999998E-2</v>
      </c>
      <c r="L264" s="38">
        <f t="shared" si="50"/>
        <v>2.8900934180061028E-2</v>
      </c>
      <c r="M264" s="32">
        <f t="shared" si="57"/>
        <v>30290.003428538417</v>
      </c>
      <c r="N264" s="48">
        <v>-198004.51</v>
      </c>
      <c r="O264" s="18">
        <v>2.7699999999999999E-2</v>
      </c>
      <c r="P264" s="38">
        <f t="shared" si="51"/>
        <v>0.36349240549372286</v>
      </c>
      <c r="Q264" s="31">
        <f t="shared" si="58"/>
        <v>380962.98687287944</v>
      </c>
      <c r="R264" s="48">
        <v>-53356.85</v>
      </c>
      <c r="S264" s="17">
        <v>-4.7899999999999998E-2</v>
      </c>
      <c r="T264" s="38">
        <f t="shared" si="52"/>
        <v>9.6215155743376982E-2</v>
      </c>
      <c r="U264" s="31">
        <f t="shared" si="59"/>
        <v>100839.55692182724</v>
      </c>
      <c r="V264" s="48">
        <v>-18252.27</v>
      </c>
      <c r="W264" s="24">
        <v>-4.0800000000000003E-2</v>
      </c>
      <c r="X264" s="38">
        <f t="shared" si="53"/>
        <v>6.7852861465538247E-2</v>
      </c>
      <c r="Y264" s="31">
        <f t="shared" si="60"/>
        <v>71114.08211313936</v>
      </c>
      <c r="Z264" s="49">
        <v>42306.33</v>
      </c>
      <c r="AA264" s="27">
        <v>-2.4199999999999999E-2</v>
      </c>
      <c r="AB264" s="38">
        <f t="shared" si="54"/>
        <v>2.8571156180643032E-9</v>
      </c>
      <c r="AC264" s="31">
        <f t="shared" si="61"/>
        <v>2.9944375267497202E-3</v>
      </c>
      <c r="AD264" s="47">
        <v>0</v>
      </c>
      <c r="AE264" s="37">
        <f t="shared" si="55"/>
        <v>1048063.1262582411</v>
      </c>
      <c r="AF264" s="40">
        <f t="shared" si="62"/>
        <v>-1.0447009366240545E-2</v>
      </c>
      <c r="AG264" s="1"/>
      <c r="AH264" s="1"/>
      <c r="AI264" s="1"/>
      <c r="AJ264" s="1"/>
      <c r="AK264" s="1"/>
      <c r="AL264" s="1"/>
    </row>
    <row r="265" spans="1:38" x14ac:dyDescent="0.35">
      <c r="A265" s="1"/>
      <c r="B265" s="11" t="s">
        <v>257</v>
      </c>
      <c r="C265" s="18">
        <v>7.0300000000000001E-2</v>
      </c>
      <c r="D265" s="38">
        <f t="shared" si="48"/>
        <v>0.10185095359008829</v>
      </c>
      <c r="E265" s="32">
        <f t="shared" si="63"/>
        <v>109787.65303515471</v>
      </c>
      <c r="F265" s="47">
        <v>0</v>
      </c>
      <c r="G265" s="19">
        <v>4.8800000000000003E-2</v>
      </c>
      <c r="H265" s="38">
        <f t="shared" si="49"/>
        <v>0.3524914609395276</v>
      </c>
      <c r="I265" s="32">
        <f t="shared" si="56"/>
        <v>379959.23304982873</v>
      </c>
      <c r="J265" s="47">
        <v>0</v>
      </c>
      <c r="K265" s="19">
        <v>6.1100000000000002E-2</v>
      </c>
      <c r="L265" s="38">
        <f t="shared" si="50"/>
        <v>2.9817225883395779E-2</v>
      </c>
      <c r="M265" s="32">
        <f t="shared" si="57"/>
        <v>32140.722638022115</v>
      </c>
      <c r="N265" s="47">
        <v>0</v>
      </c>
      <c r="O265" s="18">
        <v>8.2000000000000007E-3</v>
      </c>
      <c r="P265" s="38">
        <f t="shared" si="51"/>
        <v>0.35632071777386531</v>
      </c>
      <c r="Q265" s="31">
        <f t="shared" si="58"/>
        <v>384086.88336523704</v>
      </c>
      <c r="R265" s="47">
        <v>0</v>
      </c>
      <c r="S265" s="19">
        <v>1.95E-2</v>
      </c>
      <c r="T265" s="38">
        <f t="shared" si="52"/>
        <v>9.5373947258559258E-2</v>
      </c>
      <c r="U265" s="31">
        <f t="shared" si="59"/>
        <v>102805.92828180287</v>
      </c>
      <c r="V265" s="47">
        <v>0</v>
      </c>
      <c r="W265" s="24">
        <v>-2.7699999999999999E-2</v>
      </c>
      <c r="X265" s="38">
        <f t="shared" si="53"/>
        <v>6.4145691752985512E-2</v>
      </c>
      <c r="Y265" s="31">
        <f t="shared" si="60"/>
        <v>69144.222038605396</v>
      </c>
      <c r="Z265" s="47">
        <v>0</v>
      </c>
      <c r="AA265" s="26">
        <v>8.5000000000000006E-3</v>
      </c>
      <c r="AB265" s="38">
        <f t="shared" si="54"/>
        <v>2.8015782536695792E-9</v>
      </c>
      <c r="AC265" s="31">
        <f t="shared" si="61"/>
        <v>3.0198902457270927E-3</v>
      </c>
      <c r="AD265" s="47">
        <v>0</v>
      </c>
      <c r="AE265" s="37">
        <f t="shared" si="55"/>
        <v>1077924.6454285411</v>
      </c>
      <c r="AF265" s="40">
        <f t="shared" si="62"/>
        <v>2.8492099781155966E-2</v>
      </c>
      <c r="AG265" s="1"/>
      <c r="AH265" s="1"/>
      <c r="AI265" s="1"/>
      <c r="AJ265" s="1"/>
      <c r="AK265" s="1"/>
      <c r="AL265" s="1"/>
    </row>
    <row r="266" spans="1:38" x14ac:dyDescent="0.35">
      <c r="A266" s="1"/>
      <c r="B266" s="10" t="s">
        <v>258</v>
      </c>
      <c r="C266" s="18">
        <v>1.47E-2</v>
      </c>
      <c r="D266" s="38">
        <f t="shared" si="48"/>
        <v>0.10374713719820867</v>
      </c>
      <c r="E266" s="32">
        <f t="shared" si="63"/>
        <v>111401.53153477149</v>
      </c>
      <c r="F266" s="47">
        <v>0</v>
      </c>
      <c r="G266" s="19">
        <v>2.4500000000000001E-2</v>
      </c>
      <c r="H266" s="38">
        <f t="shared" si="49"/>
        <v>0.36252163098874901</v>
      </c>
      <c r="I266" s="32">
        <f t="shared" si="56"/>
        <v>389268.23425954953</v>
      </c>
      <c r="J266" s="47">
        <v>0</v>
      </c>
      <c r="K266" s="19">
        <v>1.7299999999999999E-2</v>
      </c>
      <c r="L266" s="38">
        <f t="shared" si="50"/>
        <v>3.0450164393350434E-2</v>
      </c>
      <c r="M266" s="32">
        <f t="shared" si="57"/>
        <v>32696.757139659898</v>
      </c>
      <c r="N266" s="47">
        <v>0</v>
      </c>
      <c r="O266" s="17">
        <v>-2.9000000000000001E-2</v>
      </c>
      <c r="P266" s="38">
        <f t="shared" si="51"/>
        <v>0.34732309806259204</v>
      </c>
      <c r="Q266" s="31">
        <f t="shared" si="58"/>
        <v>372948.36374764517</v>
      </c>
      <c r="R266" s="47">
        <v>0</v>
      </c>
      <c r="S266" s="17">
        <v>-3.61E-2</v>
      </c>
      <c r="T266" s="38">
        <f t="shared" si="52"/>
        <v>9.2285846304484359E-2</v>
      </c>
      <c r="U266" s="31">
        <f t="shared" si="59"/>
        <v>99094.634270829789</v>
      </c>
      <c r="V266" s="47">
        <v>0</v>
      </c>
      <c r="W266" s="24">
        <v>-1.12E-2</v>
      </c>
      <c r="X266" s="38">
        <f t="shared" si="53"/>
        <v>6.3672120334155674E-2</v>
      </c>
      <c r="Y266" s="31">
        <f t="shared" si="60"/>
        <v>68369.806751773009</v>
      </c>
      <c r="Z266" s="47">
        <v>0</v>
      </c>
      <c r="AA266" s="27">
        <v>-3.3399999999999999E-2</v>
      </c>
      <c r="AB266" s="38">
        <f t="shared" si="54"/>
        <v>2.7184597694067313E-9</v>
      </c>
      <c r="AC266" s="31">
        <f t="shared" si="61"/>
        <v>2.9190259115198076E-3</v>
      </c>
      <c r="AD266" s="47">
        <v>0</v>
      </c>
      <c r="AE266" s="37">
        <f t="shared" si="55"/>
        <v>1073779.3306232549</v>
      </c>
      <c r="AF266" s="40">
        <f t="shared" si="62"/>
        <v>-3.8456443341067237E-3</v>
      </c>
      <c r="AG266" s="1"/>
      <c r="AH266" s="1"/>
      <c r="AI266" s="1"/>
      <c r="AJ266" s="1"/>
      <c r="AK266" s="1"/>
      <c r="AL266" s="1"/>
    </row>
    <row r="267" spans="1:38" x14ac:dyDescent="0.35">
      <c r="A267" s="1"/>
      <c r="B267" s="11" t="s">
        <v>259</v>
      </c>
      <c r="C267" s="18">
        <v>4.0099999999999997E-2</v>
      </c>
      <c r="D267" s="38">
        <f t="shared" si="48"/>
        <v>0.18329027294593631</v>
      </c>
      <c r="E267" s="32">
        <f t="shared" si="63"/>
        <v>201030.82082431583</v>
      </c>
      <c r="F267" s="49">
        <v>81878.75</v>
      </c>
      <c r="G267" s="19">
        <v>2.4799999999999999E-2</v>
      </c>
      <c r="H267" s="38">
        <f t="shared" si="49"/>
        <v>0.27089107727598194</v>
      </c>
      <c r="I267" s="32">
        <f t="shared" si="56"/>
        <v>297110.45078118634</v>
      </c>
      <c r="J267" s="48">
        <v>-99347.81</v>
      </c>
      <c r="K267" s="19">
        <v>3.5000000000000003E-2</v>
      </c>
      <c r="L267" s="38">
        <f t="shared" si="50"/>
        <v>3.0398585736634638E-2</v>
      </c>
      <c r="M267" s="32">
        <f t="shared" si="57"/>
        <v>33340.845339547996</v>
      </c>
      <c r="N267" s="48">
        <v>-483.38</v>
      </c>
      <c r="O267" s="18">
        <v>1.3899999999999999E-2</v>
      </c>
      <c r="P267" s="38">
        <f t="shared" si="51"/>
        <v>0.34742013811691136</v>
      </c>
      <c r="Q267" s="31">
        <f t="shared" si="58"/>
        <v>381046.71030273743</v>
      </c>
      <c r="R267" s="49">
        <v>2874.41</v>
      </c>
      <c r="S267" s="19">
        <v>1.9E-2</v>
      </c>
      <c r="T267" s="38">
        <f t="shared" si="52"/>
        <v>6.9833537525689771E-2</v>
      </c>
      <c r="U267" s="31">
        <f t="shared" si="59"/>
        <v>76592.680801975555</v>
      </c>
      <c r="V267" s="48">
        <v>-23930.080000000002</v>
      </c>
      <c r="W267" s="25">
        <v>2.7000000000000001E-3</v>
      </c>
      <c r="X267" s="38">
        <f t="shared" si="53"/>
        <v>9.8166385688713914E-2</v>
      </c>
      <c r="Y267" s="31">
        <f t="shared" si="60"/>
        <v>107667.84715400281</v>
      </c>
      <c r="Z267" s="49">
        <v>39008.120000000003</v>
      </c>
      <c r="AA267" s="26">
        <v>1.83E-2</v>
      </c>
      <c r="AB267" s="38">
        <f t="shared" si="54"/>
        <v>2.7101321357123048E-9</v>
      </c>
      <c r="AC267" s="31">
        <f t="shared" si="61"/>
        <v>2.9724440857006201E-3</v>
      </c>
      <c r="AD267" s="47">
        <v>0</v>
      </c>
      <c r="AE267" s="37">
        <f t="shared" si="55"/>
        <v>1096789.35817621</v>
      </c>
      <c r="AF267" s="40">
        <f t="shared" si="62"/>
        <v>2.1429009570895108E-2</v>
      </c>
      <c r="AG267" s="1"/>
      <c r="AH267" s="1"/>
      <c r="AI267" s="1"/>
      <c r="AJ267" s="1"/>
      <c r="AK267" s="1"/>
      <c r="AL267" s="1"/>
    </row>
    <row r="268" spans="1:38" x14ac:dyDescent="0.35">
      <c r="A268" s="1"/>
      <c r="B268" s="10" t="s">
        <v>260</v>
      </c>
      <c r="C268" s="17">
        <v>-1.0200000000000001E-2</v>
      </c>
      <c r="D268" s="38">
        <f t="shared" si="48"/>
        <v>0.18105932050495821</v>
      </c>
      <c r="E268" s="32">
        <f t="shared" si="63"/>
        <v>198980.30645190782</v>
      </c>
      <c r="F268" s="47">
        <v>0</v>
      </c>
      <c r="G268" s="17">
        <v>-2.7000000000000001E-3</v>
      </c>
      <c r="H268" s="38">
        <f t="shared" si="49"/>
        <v>0.2696215109218863</v>
      </c>
      <c r="I268" s="32">
        <f t="shared" si="56"/>
        <v>296308.25256407715</v>
      </c>
      <c r="J268" s="47">
        <v>0</v>
      </c>
      <c r="K268" s="19">
        <v>4.1200000000000001E-2</v>
      </c>
      <c r="L268" s="38">
        <f t="shared" si="50"/>
        <v>3.1587958383262733E-2</v>
      </c>
      <c r="M268" s="32">
        <f t="shared" si="57"/>
        <v>34714.488167537376</v>
      </c>
      <c r="N268" s="47">
        <v>0</v>
      </c>
      <c r="O268" s="18">
        <v>1.77E-2</v>
      </c>
      <c r="P268" s="38">
        <f t="shared" si="51"/>
        <v>0.35286516105333304</v>
      </c>
      <c r="Q268" s="31">
        <f t="shared" si="58"/>
        <v>387791.23707509588</v>
      </c>
      <c r="R268" s="47">
        <v>0</v>
      </c>
      <c r="S268" s="19">
        <v>5.1000000000000004E-3</v>
      </c>
      <c r="T268" s="38">
        <f t="shared" si="52"/>
        <v>7.0049870089079203E-2</v>
      </c>
      <c r="U268" s="31">
        <f t="shared" si="59"/>
        <v>76983.303474065629</v>
      </c>
      <c r="V268" s="47">
        <v>0</v>
      </c>
      <c r="W268" s="24">
        <v>-3.2199999999999999E-2</v>
      </c>
      <c r="X268" s="38">
        <f t="shared" si="53"/>
        <v>9.4816176419831991E-2</v>
      </c>
      <c r="Y268" s="31">
        <f t="shared" si="60"/>
        <v>104200.94247564393</v>
      </c>
      <c r="Z268" s="47">
        <v>0</v>
      </c>
      <c r="AA268" s="27">
        <v>-2.8500000000000001E-2</v>
      </c>
      <c r="AB268" s="38">
        <f t="shared" si="54"/>
        <v>2.6276486230561774E-9</v>
      </c>
      <c r="AC268" s="31">
        <f t="shared" si="61"/>
        <v>2.8877294292581524E-3</v>
      </c>
      <c r="AD268" s="47">
        <v>0</v>
      </c>
      <c r="AE268" s="37">
        <f t="shared" si="55"/>
        <v>1098978.5330960571</v>
      </c>
      <c r="AF268" s="40">
        <f t="shared" si="62"/>
        <v>1.9959848292907534E-3</v>
      </c>
      <c r="AG268" s="1"/>
      <c r="AH268" s="1"/>
      <c r="AI268" s="1"/>
      <c r="AJ268" s="1"/>
      <c r="AK268" s="1"/>
      <c r="AL268" s="1"/>
    </row>
    <row r="269" spans="1:38" x14ac:dyDescent="0.35">
      <c r="A269" s="1"/>
      <c r="B269" s="11" t="s">
        <v>261</v>
      </c>
      <c r="C269" s="18">
        <v>1.7500000000000002E-2</v>
      </c>
      <c r="D269" s="38">
        <f t="shared" si="48"/>
        <v>0.17503482159234393</v>
      </c>
      <c r="E269" s="32">
        <f t="shared" si="63"/>
        <v>202462.4618148162</v>
      </c>
      <c r="F269" s="47">
        <v>0</v>
      </c>
      <c r="G269" s="19">
        <v>5.2499999999999998E-2</v>
      </c>
      <c r="H269" s="38">
        <f t="shared" si="49"/>
        <v>0.26961608288318312</v>
      </c>
      <c r="I269" s="32">
        <f t="shared" si="56"/>
        <v>311864.43582369119</v>
      </c>
      <c r="J269" s="47">
        <v>0</v>
      </c>
      <c r="K269" s="19">
        <v>1.11E-2</v>
      </c>
      <c r="L269" s="38">
        <f t="shared" si="50"/>
        <v>3.0344837749685851E-2</v>
      </c>
      <c r="M269" s="32">
        <f t="shared" si="57"/>
        <v>35099.818986197039</v>
      </c>
      <c r="N269" s="47">
        <v>0</v>
      </c>
      <c r="O269" s="18">
        <v>0.10009999999999999</v>
      </c>
      <c r="P269" s="38">
        <f t="shared" si="51"/>
        <v>0.36881629327150822</v>
      </c>
      <c r="Q269" s="31">
        <f t="shared" si="58"/>
        <v>426609.13990631298</v>
      </c>
      <c r="R269" s="47">
        <v>0</v>
      </c>
      <c r="S269" s="17">
        <v>-2.5999999999999999E-2</v>
      </c>
      <c r="T269" s="38">
        <f t="shared" si="52"/>
        <v>6.4823942883092123E-2</v>
      </c>
      <c r="U269" s="31">
        <f t="shared" si="59"/>
        <v>74981.737583739916</v>
      </c>
      <c r="V269" s="47">
        <v>0</v>
      </c>
      <c r="W269" s="25">
        <v>1.4200000000000001E-2</v>
      </c>
      <c r="X269" s="38">
        <f t="shared" si="53"/>
        <v>9.136401916734796E-2</v>
      </c>
      <c r="Y269" s="31">
        <f t="shared" si="60"/>
        <v>105680.59585879807</v>
      </c>
      <c r="Z269" s="47">
        <v>0</v>
      </c>
      <c r="AA269" s="27">
        <v>-1.7500000000000002E-2</v>
      </c>
      <c r="AB269" s="38">
        <f t="shared" si="54"/>
        <v>2.4528387628511975E-9</v>
      </c>
      <c r="AC269" s="31">
        <f t="shared" si="61"/>
        <v>2.8371941642461348E-3</v>
      </c>
      <c r="AD269" s="47">
        <v>0</v>
      </c>
      <c r="AE269" s="37">
        <f t="shared" si="55"/>
        <v>1156698.1928107496</v>
      </c>
      <c r="AF269" s="40">
        <f t="shared" si="62"/>
        <v>5.2521189428590409E-2</v>
      </c>
      <c r="AG269" s="1"/>
      <c r="AH269" s="1"/>
      <c r="AI269" s="1"/>
      <c r="AJ269" s="1"/>
      <c r="AK269" s="1"/>
      <c r="AL269" s="1"/>
    </row>
    <row r="270" spans="1:38" x14ac:dyDescent="0.35">
      <c r="A270" s="1"/>
      <c r="B270" s="10" t="s">
        <v>262</v>
      </c>
      <c r="C270" s="18">
        <v>3.4099999999999998E-2</v>
      </c>
      <c r="D270" s="38">
        <f t="shared" si="48"/>
        <v>0.11955684987434215</v>
      </c>
      <c r="E270" s="32">
        <f t="shared" si="63"/>
        <v>143536.99077470144</v>
      </c>
      <c r="F270" s="48">
        <v>-63658.68</v>
      </c>
      <c r="G270" s="19">
        <v>4.7100000000000003E-2</v>
      </c>
      <c r="H270" s="38">
        <f t="shared" si="49"/>
        <v>0.25220799420242201</v>
      </c>
      <c r="I270" s="32">
        <f t="shared" si="56"/>
        <v>302794.66693198704</v>
      </c>
      <c r="J270" s="48">
        <v>-22689.89</v>
      </c>
      <c r="K270" s="19">
        <v>2.9000000000000001E-2</v>
      </c>
      <c r="L270" s="38">
        <f t="shared" si="50"/>
        <v>0.17845082145802799</v>
      </c>
      <c r="M270" s="32">
        <f t="shared" si="57"/>
        <v>214243.63338679675</v>
      </c>
      <c r="N270" s="49">
        <v>173105.85</v>
      </c>
      <c r="O270" s="18">
        <v>4.9000000000000002E-2</v>
      </c>
      <c r="P270" s="38">
        <f t="shared" si="51"/>
        <v>0.35373189337144256</v>
      </c>
      <c r="Q270" s="31">
        <f t="shared" si="58"/>
        <v>424681.74403172231</v>
      </c>
      <c r="R270" s="48">
        <v>-21764.77</v>
      </c>
      <c r="S270" s="17">
        <v>-1.3599999999999999E-2</v>
      </c>
      <c r="T270" s="38">
        <f t="shared" si="52"/>
        <v>6.652452088705256E-2</v>
      </c>
      <c r="U270" s="31">
        <f t="shared" si="59"/>
        <v>79867.690984601053</v>
      </c>
      <c r="V270" s="49">
        <v>5987.13</v>
      </c>
      <c r="W270" s="25">
        <v>2.1600000000000001E-2</v>
      </c>
      <c r="X270" s="38">
        <f t="shared" si="53"/>
        <v>2.9527917816812913E-2</v>
      </c>
      <c r="Y270" s="31">
        <f t="shared" si="60"/>
        <v>35450.486289348119</v>
      </c>
      <c r="Z270" s="48">
        <v>-70979.649999999994</v>
      </c>
      <c r="AA270" s="26">
        <v>1.1299999999999999E-2</v>
      </c>
      <c r="AB270" s="38">
        <f t="shared" si="54"/>
        <v>2.3898997928760676E-9</v>
      </c>
      <c r="AC270" s="31">
        <f t="shared" si="61"/>
        <v>2.8692544583021162E-3</v>
      </c>
      <c r="AD270" s="47">
        <v>0</v>
      </c>
      <c r="AE270" s="37">
        <f t="shared" si="55"/>
        <v>1200575.2152684112</v>
      </c>
      <c r="AF270" s="40">
        <f t="shared" si="62"/>
        <v>3.7932991276697248E-2</v>
      </c>
      <c r="AG270" s="1"/>
      <c r="AH270" s="1"/>
      <c r="AI270" s="1"/>
      <c r="AJ270" s="1"/>
      <c r="AK270" s="1"/>
      <c r="AL270" s="1"/>
    </row>
    <row r="271" spans="1:38" x14ac:dyDescent="0.35">
      <c r="A271" s="1"/>
      <c r="B271" s="11" t="s">
        <v>263</v>
      </c>
      <c r="C271" s="17">
        <v>-3.5999999999999999E-3</v>
      </c>
      <c r="D271" s="38">
        <f t="shared" si="48"/>
        <v>0.11757343765417255</v>
      </c>
      <c r="E271" s="32">
        <f t="shared" si="63"/>
        <v>143020.2576079125</v>
      </c>
      <c r="F271" s="47">
        <v>0</v>
      </c>
      <c r="G271" s="17">
        <v>-2.2499999999999999E-2</v>
      </c>
      <c r="H271" s="38">
        <f t="shared" si="49"/>
        <v>0.24331935037705749</v>
      </c>
      <c r="I271" s="32">
        <f t="shared" si="56"/>
        <v>295981.78692601732</v>
      </c>
      <c r="J271" s="47">
        <v>0</v>
      </c>
      <c r="K271" s="19">
        <v>5.3E-3</v>
      </c>
      <c r="L271" s="38">
        <f t="shared" si="50"/>
        <v>0.17705788331562095</v>
      </c>
      <c r="M271" s="32">
        <f t="shared" si="57"/>
        <v>215379.12464374676</v>
      </c>
      <c r="N271" s="47">
        <v>0</v>
      </c>
      <c r="O271" s="18">
        <v>4.8800000000000003E-2</v>
      </c>
      <c r="P271" s="38">
        <f t="shared" si="51"/>
        <v>0.36615749759742405</v>
      </c>
      <c r="Q271" s="31">
        <f t="shared" si="58"/>
        <v>445406.21314047038</v>
      </c>
      <c r="R271" s="47">
        <v>0</v>
      </c>
      <c r="S271" s="19">
        <v>1.9199999999999998E-2</v>
      </c>
      <c r="T271" s="38">
        <f t="shared" si="52"/>
        <v>6.6917884719102816E-2</v>
      </c>
      <c r="U271" s="31">
        <f t="shared" si="59"/>
        <v>81401.150651505392</v>
      </c>
      <c r="V271" s="47">
        <v>0</v>
      </c>
      <c r="W271" s="24">
        <v>-5.7999999999999996E-3</v>
      </c>
      <c r="X271" s="38">
        <f t="shared" si="53"/>
        <v>2.8973943990379995E-2</v>
      </c>
      <c r="Y271" s="31">
        <f t="shared" si="60"/>
        <v>35244.873468869897</v>
      </c>
      <c r="Z271" s="47">
        <v>0</v>
      </c>
      <c r="AA271" s="27">
        <v>-5.3E-3</v>
      </c>
      <c r="AB271" s="38">
        <f t="shared" si="54"/>
        <v>2.3462422092902874E-9</v>
      </c>
      <c r="AC271" s="31">
        <f t="shared" si="61"/>
        <v>2.8540474096731151E-3</v>
      </c>
      <c r="AD271" s="47">
        <v>0</v>
      </c>
      <c r="AE271" s="37">
        <f t="shared" si="55"/>
        <v>1216433.4092925696</v>
      </c>
      <c r="AF271" s="40">
        <f t="shared" si="62"/>
        <v>1.3208830086179235E-2</v>
      </c>
      <c r="AG271" s="1"/>
      <c r="AH271" s="1"/>
      <c r="AI271" s="1"/>
      <c r="AJ271" s="1"/>
      <c r="AK271" s="1"/>
      <c r="AL271" s="1"/>
    </row>
    <row r="272" spans="1:38" x14ac:dyDescent="0.35">
      <c r="A272" s="1"/>
      <c r="B272" s="10" t="s">
        <v>264</v>
      </c>
      <c r="C272" s="18">
        <v>2.1999999999999999E-2</v>
      </c>
      <c r="D272" s="38">
        <f t="shared" si="48"/>
        <v>0.11688094925102312</v>
      </c>
      <c r="E272" s="32">
        <f t="shared" si="63"/>
        <v>146166.70327528656</v>
      </c>
      <c r="F272" s="47">
        <v>0</v>
      </c>
      <c r="G272" s="19">
        <v>2.9899999999999999E-2</v>
      </c>
      <c r="H272" s="38">
        <f t="shared" si="49"/>
        <v>0.24375600545023127</v>
      </c>
      <c r="I272" s="32">
        <f t="shared" si="56"/>
        <v>304831.64235510526</v>
      </c>
      <c r="J272" s="47">
        <v>0</v>
      </c>
      <c r="K272" s="19">
        <v>1.1900000000000001E-2</v>
      </c>
      <c r="L272" s="38">
        <f t="shared" si="50"/>
        <v>0.17427555792944646</v>
      </c>
      <c r="M272" s="32">
        <f t="shared" si="57"/>
        <v>217942.13622700734</v>
      </c>
      <c r="N272" s="47">
        <v>0</v>
      </c>
      <c r="O272" s="18">
        <v>4.6600000000000003E-2</v>
      </c>
      <c r="P272" s="38">
        <f t="shared" si="51"/>
        <v>0.37276255480615939</v>
      </c>
      <c r="Q272" s="31">
        <f t="shared" si="58"/>
        <v>466162.14267281629</v>
      </c>
      <c r="R272" s="47">
        <v>0</v>
      </c>
      <c r="S272" s="17">
        <v>-9.4000000000000004E-3</v>
      </c>
      <c r="T272" s="38">
        <f t="shared" si="52"/>
        <v>6.4479868915119989E-2</v>
      </c>
      <c r="U272" s="31">
        <f t="shared" si="59"/>
        <v>80635.979835381237</v>
      </c>
      <c r="V272" s="47">
        <v>0</v>
      </c>
      <c r="W272" s="24">
        <v>-1.2E-2</v>
      </c>
      <c r="X272" s="38">
        <f t="shared" si="53"/>
        <v>2.7845061322899638E-2</v>
      </c>
      <c r="Y272" s="31">
        <f t="shared" si="60"/>
        <v>34821.934987243461</v>
      </c>
      <c r="Z272" s="47">
        <v>0</v>
      </c>
      <c r="AA272" s="26">
        <v>1.8800000000000001E-2</v>
      </c>
      <c r="AB272" s="38">
        <f t="shared" si="54"/>
        <v>2.3251201383012884E-9</v>
      </c>
      <c r="AC272" s="31">
        <f t="shared" si="61"/>
        <v>2.9077035009749696E-3</v>
      </c>
      <c r="AD272" s="47">
        <v>0</v>
      </c>
      <c r="AE272" s="37">
        <f t="shared" si="55"/>
        <v>1250560.5422605437</v>
      </c>
      <c r="AF272" s="40">
        <f t="shared" si="62"/>
        <v>2.8055077004026874E-2</v>
      </c>
      <c r="AG272" s="1"/>
      <c r="AH272" s="1"/>
      <c r="AI272" s="1"/>
      <c r="AJ272" s="1"/>
      <c r="AK272" s="1"/>
      <c r="AL272" s="1"/>
    </row>
    <row r="273" spans="1:38" x14ac:dyDescent="0.35">
      <c r="A273" s="1"/>
      <c r="B273" s="9" t="s">
        <v>265</v>
      </c>
      <c r="C273" s="17">
        <v>-3.95E-2</v>
      </c>
      <c r="D273" s="38">
        <f t="shared" si="48"/>
        <v>0.11279762469304849</v>
      </c>
      <c r="E273" s="32">
        <f t="shared" si="63"/>
        <v>144139.60637591273</v>
      </c>
      <c r="F273" s="49">
        <v>3900.56</v>
      </c>
      <c r="G273" s="19">
        <v>2.3599999999999999E-2</v>
      </c>
      <c r="H273" s="38">
        <f t="shared" si="49"/>
        <v>0.18031179456492671</v>
      </c>
      <c r="I273" s="32">
        <f t="shared" si="56"/>
        <v>230413.28365068574</v>
      </c>
      <c r="J273" s="48">
        <v>-79730.740000000005</v>
      </c>
      <c r="K273" s="17">
        <v>-5.0000000000000001E-4</v>
      </c>
      <c r="L273" s="38">
        <f t="shared" si="50"/>
        <v>0.24453675921535398</v>
      </c>
      <c r="M273" s="32">
        <f t="shared" si="57"/>
        <v>312483.81615889387</v>
      </c>
      <c r="N273" s="49">
        <v>94698</v>
      </c>
      <c r="O273" s="18">
        <v>7.4200000000000002E-2</v>
      </c>
      <c r="P273" s="38">
        <f t="shared" si="51"/>
        <v>0.36793791204741344</v>
      </c>
      <c r="Q273" s="31">
        <f t="shared" si="58"/>
        <v>470173.25016913924</v>
      </c>
      <c r="R273" s="48">
        <v>-28465.95</v>
      </c>
      <c r="S273" s="17">
        <v>-2.7699999999999999E-2</v>
      </c>
      <c r="T273" s="38">
        <f t="shared" si="52"/>
        <v>6.6606970247578542E-2</v>
      </c>
      <c r="U273" s="31">
        <f t="shared" si="59"/>
        <v>85114.402891941165</v>
      </c>
      <c r="V273" s="49">
        <v>6903.26</v>
      </c>
      <c r="W273" s="24">
        <v>-5.28E-2</v>
      </c>
      <c r="X273" s="38">
        <f t="shared" si="53"/>
        <v>2.7808937069094004E-2</v>
      </c>
      <c r="Y273" s="31">
        <f t="shared" si="60"/>
        <v>35535.936627917006</v>
      </c>
      <c r="Z273" s="49">
        <v>2694.89</v>
      </c>
      <c r="AA273" s="27">
        <v>-4.9599999999999998E-2</v>
      </c>
      <c r="AB273" s="38">
        <f t="shared" si="54"/>
        <v>2.1625849165766512E-9</v>
      </c>
      <c r="AC273" s="31">
        <f t="shared" si="61"/>
        <v>2.7634814073266112E-3</v>
      </c>
      <c r="AD273" s="47">
        <v>0</v>
      </c>
      <c r="AE273" s="37">
        <f t="shared" si="55"/>
        <v>1277860.298637971</v>
      </c>
      <c r="AF273" s="40">
        <f t="shared" si="62"/>
        <v>2.1830015784825241E-2</v>
      </c>
      <c r="AG273" s="1"/>
      <c r="AH273" s="1"/>
      <c r="AI273" s="1"/>
      <c r="AJ273" s="1"/>
      <c r="AK273" s="1"/>
      <c r="AL273" s="1"/>
    </row>
    <row r="274" spans="1:38" x14ac:dyDescent="0.35">
      <c r="A274" s="1"/>
      <c r="B274" s="10" t="s">
        <v>266</v>
      </c>
      <c r="C274" s="17">
        <v>-1.8800000000000001E-2</v>
      </c>
      <c r="D274" s="38">
        <f t="shared" si="48"/>
        <v>0.10701209596323989</v>
      </c>
      <c r="E274" s="32">
        <f t="shared" si="63"/>
        <v>141429.78177604557</v>
      </c>
      <c r="F274" s="47">
        <v>0</v>
      </c>
      <c r="G274" s="19">
        <v>4.8099999999999997E-2</v>
      </c>
      <c r="H274" s="38">
        <f t="shared" si="49"/>
        <v>0.18272679347844961</v>
      </c>
      <c r="I274" s="32">
        <f t="shared" si="56"/>
        <v>241496.16259428373</v>
      </c>
      <c r="J274" s="47">
        <v>0</v>
      </c>
      <c r="K274" s="17">
        <v>-3.5000000000000001E-3</v>
      </c>
      <c r="L274" s="38">
        <f t="shared" si="50"/>
        <v>0.23561168860526918</v>
      </c>
      <c r="M274" s="32">
        <f t="shared" si="57"/>
        <v>311390.12280233775</v>
      </c>
      <c r="N274" s="47">
        <v>0</v>
      </c>
      <c r="O274" s="18">
        <v>6.7400000000000002E-2</v>
      </c>
      <c r="P274" s="38">
        <f t="shared" si="51"/>
        <v>0.37973192813257384</v>
      </c>
      <c r="Q274" s="31">
        <f t="shared" si="58"/>
        <v>501862.92723053921</v>
      </c>
      <c r="R274" s="47">
        <v>0</v>
      </c>
      <c r="S274" s="19">
        <v>4.3099999999999999E-2</v>
      </c>
      <c r="T274" s="38">
        <f t="shared" si="52"/>
        <v>6.7177061265577806E-2</v>
      </c>
      <c r="U274" s="31">
        <f t="shared" si="59"/>
        <v>88782.833656583825</v>
      </c>
      <c r="V274" s="47">
        <v>0</v>
      </c>
      <c r="W274" s="25">
        <v>3.1699999999999999E-2</v>
      </c>
      <c r="X274" s="38">
        <f t="shared" si="53"/>
        <v>2.7740430485871329E-2</v>
      </c>
      <c r="Y274" s="31">
        <f t="shared" si="60"/>
        <v>36662.425819021977</v>
      </c>
      <c r="Z274" s="47">
        <v>0</v>
      </c>
      <c r="AA274" s="27">
        <v>-1.0500000000000001E-2</v>
      </c>
      <c r="AB274" s="38">
        <f t="shared" si="54"/>
        <v>2.0690183604505521E-9</v>
      </c>
      <c r="AC274" s="31">
        <f t="shared" si="61"/>
        <v>2.7344648525496817E-3</v>
      </c>
      <c r="AD274" s="47">
        <v>0</v>
      </c>
      <c r="AE274" s="37">
        <f t="shared" si="55"/>
        <v>1321624.2566132769</v>
      </c>
      <c r="AF274" s="40">
        <f t="shared" si="62"/>
        <v>3.4247842289139463E-2</v>
      </c>
      <c r="AG274" s="1"/>
      <c r="AH274" s="1"/>
      <c r="AI274" s="1"/>
      <c r="AJ274" s="1"/>
      <c r="AK274" s="1"/>
      <c r="AL274" s="1"/>
    </row>
    <row r="275" spans="1:38" x14ac:dyDescent="0.35">
      <c r="A275" s="1"/>
      <c r="B275" s="11" t="s">
        <v>267</v>
      </c>
      <c r="C275" s="17">
        <v>-2.9700000000000001E-2</v>
      </c>
      <c r="D275" s="38">
        <f t="shared" si="48"/>
        <v>0.1109048477246531</v>
      </c>
      <c r="E275" s="32">
        <f t="shared" si="63"/>
        <v>137229.31725729702</v>
      </c>
      <c r="F275" s="47">
        <v>0</v>
      </c>
      <c r="G275" s="17">
        <v>-7.22E-2</v>
      </c>
      <c r="H275" s="38">
        <f t="shared" si="49"/>
        <v>0.18107905924364956</v>
      </c>
      <c r="I275" s="32">
        <f t="shared" si="56"/>
        <v>224060.13965497643</v>
      </c>
      <c r="J275" s="47">
        <v>0</v>
      </c>
      <c r="K275" s="17">
        <v>-3.0099999999999998E-2</v>
      </c>
      <c r="L275" s="38">
        <f t="shared" si="50"/>
        <v>0.24408181232561924</v>
      </c>
      <c r="M275" s="32">
        <f t="shared" si="57"/>
        <v>302017.28010598739</v>
      </c>
      <c r="N275" s="47">
        <v>0</v>
      </c>
      <c r="O275" s="17">
        <v>-9.5100000000000004E-2</v>
      </c>
      <c r="P275" s="38">
        <f t="shared" si="51"/>
        <v>0.36701966192010432</v>
      </c>
      <c r="Q275" s="31">
        <f t="shared" si="58"/>
        <v>454135.76285091491</v>
      </c>
      <c r="R275" s="47">
        <v>0</v>
      </c>
      <c r="S275" s="17">
        <v>-5.2299999999999999E-2</v>
      </c>
      <c r="T275" s="38">
        <f t="shared" si="52"/>
        <v>6.799915407361283E-2</v>
      </c>
      <c r="U275" s="31">
        <f t="shared" si="59"/>
        <v>84139.491456344491</v>
      </c>
      <c r="V275" s="47">
        <v>0</v>
      </c>
      <c r="W275" s="24">
        <v>-2.41E-2</v>
      </c>
      <c r="X275" s="38">
        <f t="shared" si="53"/>
        <v>2.8915462452499797E-2</v>
      </c>
      <c r="Y275" s="31">
        <f t="shared" si="60"/>
        <v>35778.861356783549</v>
      </c>
      <c r="Z275" s="47">
        <v>0</v>
      </c>
      <c r="AA275" s="26">
        <v>2.2599999999999999E-2</v>
      </c>
      <c r="AB275" s="38">
        <f t="shared" si="54"/>
        <v>2.2598611761771054E-9</v>
      </c>
      <c r="AC275" s="31">
        <f t="shared" si="61"/>
        <v>2.7962637582173047E-3</v>
      </c>
      <c r="AD275" s="47">
        <v>0</v>
      </c>
      <c r="AE275" s="37">
        <f t="shared" si="55"/>
        <v>1237360.8554785675</v>
      </c>
      <c r="AF275" s="40">
        <f t="shared" si="62"/>
        <v>-6.3757456563818038E-2</v>
      </c>
      <c r="AG275" s="1"/>
      <c r="AH275" s="1"/>
      <c r="AI275" s="1"/>
      <c r="AJ275" s="1"/>
      <c r="AK275" s="1"/>
      <c r="AL275" s="1"/>
    </row>
    <row r="276" spans="1:38" x14ac:dyDescent="0.35">
      <c r="A276" s="1"/>
      <c r="B276" s="10" t="s">
        <v>268</v>
      </c>
      <c r="C276" s="18">
        <v>0.05</v>
      </c>
      <c r="D276" s="38">
        <f t="shared" si="48"/>
        <v>0.10339642552697909</v>
      </c>
      <c r="E276" s="32">
        <f t="shared" si="63"/>
        <v>129922.89162016187</v>
      </c>
      <c r="F276" s="48">
        <v>-13493.23</v>
      </c>
      <c r="G276" s="19">
        <v>7.1499999999999994E-2</v>
      </c>
      <c r="H276" s="38">
        <f t="shared" si="49"/>
        <v>0.28488668909770448</v>
      </c>
      <c r="I276" s="32">
        <f t="shared" si="56"/>
        <v>357974.68087530724</v>
      </c>
      <c r="J276" s="49">
        <v>110027.29</v>
      </c>
      <c r="K276" s="19">
        <v>6.5799999999999997E-2</v>
      </c>
      <c r="L276" s="38">
        <f t="shared" si="50"/>
        <v>0.18891412608753466</v>
      </c>
      <c r="M276" s="32">
        <f t="shared" si="57"/>
        <v>237380.25182296132</v>
      </c>
      <c r="N276" s="48">
        <v>-79292.33</v>
      </c>
      <c r="O276" s="17">
        <v>-6.0299999999999999E-2</v>
      </c>
      <c r="P276" s="38">
        <f t="shared" si="51"/>
        <v>0.32387206831896115</v>
      </c>
      <c r="Q276" s="31">
        <f t="shared" si="58"/>
        <v>406961.8017890047</v>
      </c>
      <c r="R276" s="48">
        <v>-21059.46</v>
      </c>
      <c r="S276" s="19">
        <v>3.27E-2</v>
      </c>
      <c r="T276" s="38">
        <f t="shared" si="52"/>
        <v>7.1184992737018615E-2</v>
      </c>
      <c r="U276" s="31">
        <f t="shared" si="59"/>
        <v>89447.580505966966</v>
      </c>
      <c r="V276" s="49">
        <v>2475.77</v>
      </c>
      <c r="W276" s="24">
        <v>-6.08E-2</v>
      </c>
      <c r="X276" s="38">
        <f t="shared" si="53"/>
        <v>2.7745696115718511E-2</v>
      </c>
      <c r="Y276" s="31">
        <f t="shared" si="60"/>
        <v>34863.884810291114</v>
      </c>
      <c r="Z276" s="49">
        <v>1341.97</v>
      </c>
      <c r="AA276" s="27">
        <v>-4.9099999999999998E-2</v>
      </c>
      <c r="AB276" s="38">
        <f t="shared" si="54"/>
        <v>2.1160836357633373E-9</v>
      </c>
      <c r="AC276" s="31">
        <f t="shared" si="61"/>
        <v>2.6589672076888352E-3</v>
      </c>
      <c r="AD276" s="47">
        <v>0</v>
      </c>
      <c r="AE276" s="37">
        <f t="shared" si="55"/>
        <v>1256551.0940826603</v>
      </c>
      <c r="AF276" s="40">
        <f t="shared" si="62"/>
        <v>1.5509007351514059E-2</v>
      </c>
      <c r="AG276" s="1"/>
      <c r="AH276" s="1"/>
      <c r="AI276" s="1"/>
      <c r="AJ276" s="1"/>
      <c r="AK276" s="1"/>
      <c r="AL276" s="1"/>
    </row>
    <row r="277" spans="1:38" x14ac:dyDescent="0.35">
      <c r="A277" s="1"/>
      <c r="B277" s="11" t="s">
        <v>269</v>
      </c>
      <c r="C277" s="18">
        <v>6.1699999999999998E-2</v>
      </c>
      <c r="D277" s="38">
        <f t="shared" si="48"/>
        <v>0.10571439277954818</v>
      </c>
      <c r="E277" s="32">
        <f t="shared" si="63"/>
        <v>137939.13403312585</v>
      </c>
      <c r="F277" s="47">
        <v>0</v>
      </c>
      <c r="G277" s="19">
        <v>8.2500000000000004E-2</v>
      </c>
      <c r="H277" s="38">
        <f t="shared" si="49"/>
        <v>0.29697975181525171</v>
      </c>
      <c r="I277" s="32">
        <f t="shared" si="56"/>
        <v>387507.5920475201</v>
      </c>
      <c r="J277" s="47">
        <v>0</v>
      </c>
      <c r="K277" s="19">
        <v>5.5E-2</v>
      </c>
      <c r="L277" s="38">
        <f t="shared" si="50"/>
        <v>0.19193035660079877</v>
      </c>
      <c r="M277" s="32">
        <f t="shared" si="57"/>
        <v>250436.1656732242</v>
      </c>
      <c r="N277" s="47">
        <v>0</v>
      </c>
      <c r="O277" s="17">
        <v>-7.4000000000000003E-3</v>
      </c>
      <c r="P277" s="38">
        <f t="shared" si="51"/>
        <v>0.30958117385391104</v>
      </c>
      <c r="Q277" s="31">
        <f t="shared" si="58"/>
        <v>403950.28445576609</v>
      </c>
      <c r="R277" s="47">
        <v>0</v>
      </c>
      <c r="S277" s="19">
        <v>3.2000000000000002E-3</v>
      </c>
      <c r="T277" s="38">
        <f t="shared" si="52"/>
        <v>6.877058925002448E-2</v>
      </c>
      <c r="U277" s="31">
        <f t="shared" si="59"/>
        <v>89733.812763586058</v>
      </c>
      <c r="V277" s="47">
        <v>0</v>
      </c>
      <c r="W277" s="25">
        <v>1.14E-2</v>
      </c>
      <c r="X277" s="38">
        <f t="shared" si="53"/>
        <v>2.7023733642297137E-2</v>
      </c>
      <c r="Y277" s="31">
        <f t="shared" si="60"/>
        <v>35261.33309712843</v>
      </c>
      <c r="Z277" s="47">
        <v>0</v>
      </c>
      <c r="AA277" s="26">
        <v>0.01</v>
      </c>
      <c r="AB277" s="38">
        <f t="shared" si="54"/>
        <v>2.058168748190002E-9</v>
      </c>
      <c r="AC277" s="31">
        <f t="shared" si="61"/>
        <v>2.6855568797657238E-3</v>
      </c>
      <c r="AD277" s="47">
        <v>0</v>
      </c>
      <c r="AE277" s="37">
        <f t="shared" si="55"/>
        <v>1304828.3247559075</v>
      </c>
      <c r="AF277" s="40">
        <f t="shared" si="62"/>
        <v>3.8420427868467888E-2</v>
      </c>
      <c r="AG277" s="1"/>
      <c r="AH277" s="1"/>
      <c r="AI277" s="1"/>
      <c r="AJ277" s="1"/>
      <c r="AK277" s="1"/>
      <c r="AL277" s="1"/>
    </row>
    <row r="278" spans="1:3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x14ac:dyDescent="0.35">
      <c r="A280" s="1"/>
      <c r="B280" s="138" t="s">
        <v>330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x14ac:dyDescent="0.35">
      <c r="A281" s="1"/>
      <c r="B281" s="121" t="s">
        <v>331</v>
      </c>
      <c r="C281" s="139" t="s">
        <v>270</v>
      </c>
      <c r="D281" s="140"/>
      <c r="E281" s="140"/>
      <c r="F281" s="139" t="s">
        <v>335</v>
      </c>
      <c r="G281" s="140"/>
      <c r="H281" s="140"/>
      <c r="I281" s="139" t="s">
        <v>336</v>
      </c>
      <c r="J281" s="140"/>
      <c r="K281" s="140"/>
      <c r="L281" s="139" t="s">
        <v>271</v>
      </c>
      <c r="M281" s="140"/>
      <c r="N281" s="140"/>
      <c r="O281" s="139" t="s">
        <v>329</v>
      </c>
      <c r="P281" s="140"/>
      <c r="Q281" s="140"/>
      <c r="R281" s="139" t="s">
        <v>337</v>
      </c>
      <c r="S281" s="140"/>
      <c r="T281" s="140"/>
      <c r="U281" s="141" t="s">
        <v>281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x14ac:dyDescent="0.35">
      <c r="A282" s="1"/>
      <c r="B282" s="121"/>
      <c r="C282" s="13" t="s">
        <v>332</v>
      </c>
      <c r="D282" s="13" t="s">
        <v>333</v>
      </c>
      <c r="E282" s="13" t="s">
        <v>334</v>
      </c>
      <c r="F282" s="13" t="s">
        <v>332</v>
      </c>
      <c r="G282" s="13" t="s">
        <v>333</v>
      </c>
      <c r="H282" s="13" t="s">
        <v>334</v>
      </c>
      <c r="I282" s="13" t="s">
        <v>332</v>
      </c>
      <c r="J282" s="13" t="s">
        <v>333</v>
      </c>
      <c r="K282" s="13" t="s">
        <v>334</v>
      </c>
      <c r="L282" s="13" t="s">
        <v>332</v>
      </c>
      <c r="M282" s="13" t="s">
        <v>333</v>
      </c>
      <c r="N282" s="13" t="s">
        <v>334</v>
      </c>
      <c r="O282" s="13" t="s">
        <v>332</v>
      </c>
      <c r="P282" s="13" t="s">
        <v>333</v>
      </c>
      <c r="Q282" s="13" t="s">
        <v>334</v>
      </c>
      <c r="R282" s="13" t="s">
        <v>332</v>
      </c>
      <c r="S282" s="13" t="s">
        <v>333</v>
      </c>
      <c r="T282" s="13" t="s">
        <v>334</v>
      </c>
      <c r="U282" s="14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x14ac:dyDescent="0.35">
      <c r="A283" s="1"/>
      <c r="B283" s="58">
        <v>38718</v>
      </c>
      <c r="C283" s="25">
        <v>3.2500000000000001E-2</v>
      </c>
      <c r="D283" s="63" t="s">
        <v>338</v>
      </c>
      <c r="E283" s="64">
        <v>0.18</v>
      </c>
      <c r="F283" s="25">
        <v>0.2145</v>
      </c>
      <c r="G283" s="63" t="s">
        <v>338</v>
      </c>
      <c r="H283" s="66">
        <v>0.37</v>
      </c>
      <c r="I283" s="61">
        <v>3.2099999999999997E-2</v>
      </c>
      <c r="J283" s="68" t="s">
        <v>339</v>
      </c>
      <c r="K283" s="64">
        <v>0.1</v>
      </c>
      <c r="L283" s="25">
        <v>0.16739999999999999</v>
      </c>
      <c r="M283" s="63" t="s">
        <v>338</v>
      </c>
      <c r="N283" s="66">
        <v>0.25</v>
      </c>
      <c r="O283" s="62">
        <v>-2.0000000000000001E-4</v>
      </c>
      <c r="P283" s="68" t="s">
        <v>339</v>
      </c>
      <c r="Q283" s="66">
        <v>7.0000000000000007E-2</v>
      </c>
      <c r="R283" s="24">
        <v>-6.3600000000000004E-2</v>
      </c>
      <c r="S283" s="68" t="s">
        <v>339</v>
      </c>
      <c r="T283" s="66">
        <v>0.03</v>
      </c>
      <c r="U283" s="69">
        <v>0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x14ac:dyDescent="0.35">
      <c r="A284" s="1"/>
      <c r="B284" s="58">
        <v>38808</v>
      </c>
      <c r="C284" s="26">
        <v>4.2299999999999997E-2</v>
      </c>
      <c r="D284" s="63" t="s">
        <v>338</v>
      </c>
      <c r="E284" s="65">
        <v>7.0000000000000007E-2</v>
      </c>
      <c r="F284" s="26">
        <v>0.15529999999999999</v>
      </c>
      <c r="G284" s="63" t="s">
        <v>338</v>
      </c>
      <c r="H284" s="65">
        <v>0.33</v>
      </c>
      <c r="I284" s="26">
        <v>0.12670000000000001</v>
      </c>
      <c r="J284" s="68" t="s">
        <v>339</v>
      </c>
      <c r="K284" s="65">
        <v>0.1</v>
      </c>
      <c r="L284" s="26">
        <v>0.2157</v>
      </c>
      <c r="M284" s="63" t="s">
        <v>338</v>
      </c>
      <c r="N284" s="65">
        <v>0.35</v>
      </c>
      <c r="O284" s="26">
        <v>0.10639999999999999</v>
      </c>
      <c r="P284" s="63" t="s">
        <v>338</v>
      </c>
      <c r="Q284" s="65">
        <v>0.12</v>
      </c>
      <c r="R284" s="27">
        <v>-6.6400000000000001E-2</v>
      </c>
      <c r="S284" s="68" t="s">
        <v>339</v>
      </c>
      <c r="T284" s="65">
        <v>0.03</v>
      </c>
      <c r="U284" s="69">
        <v>0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x14ac:dyDescent="0.35">
      <c r="A285" s="1"/>
      <c r="B285" s="58">
        <v>38899</v>
      </c>
      <c r="C285" s="70">
        <v>-4.8952017731541231E-2</v>
      </c>
      <c r="D285" s="68" t="s">
        <v>339</v>
      </c>
      <c r="E285" s="65">
        <v>7.0000000000000007E-2</v>
      </c>
      <c r="F285" s="59">
        <v>-5.4081469337018406E-3</v>
      </c>
      <c r="G285" s="68" t="s">
        <v>339</v>
      </c>
      <c r="H285" s="65">
        <v>0.1</v>
      </c>
      <c r="I285" s="60">
        <v>4.9059394048698302E-3</v>
      </c>
      <c r="J285" s="68" t="s">
        <v>339</v>
      </c>
      <c r="K285" s="65">
        <v>0.1</v>
      </c>
      <c r="L285" s="71">
        <v>0.11490176094950599</v>
      </c>
      <c r="M285" s="63" t="s">
        <v>338</v>
      </c>
      <c r="N285" s="65">
        <v>0.35</v>
      </c>
      <c r="O285" s="71">
        <v>4.0311183356096736E-2</v>
      </c>
      <c r="P285" s="63" t="s">
        <v>338</v>
      </c>
      <c r="Q285" s="65">
        <v>0.3</v>
      </c>
      <c r="R285" s="72">
        <v>-0.14247990001777189</v>
      </c>
      <c r="S285" s="68" t="s">
        <v>339</v>
      </c>
      <c r="T285" s="65">
        <v>0.03</v>
      </c>
      <c r="U285" s="69">
        <v>0.05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x14ac:dyDescent="0.35">
      <c r="A286" s="1"/>
      <c r="B286" s="58">
        <v>38991</v>
      </c>
      <c r="C286" s="73">
        <v>2.6343684011878254E-2</v>
      </c>
      <c r="D286" s="63" t="s">
        <v>338</v>
      </c>
      <c r="E286" s="65">
        <v>0.32</v>
      </c>
      <c r="F286" s="59">
        <v>-2.7596171425040894E-2</v>
      </c>
      <c r="G286" s="68" t="s">
        <v>339</v>
      </c>
      <c r="H286" s="65">
        <v>7.0000000000000007E-2</v>
      </c>
      <c r="I286" s="59">
        <v>-5.7128593984417497E-2</v>
      </c>
      <c r="J286" s="63" t="s">
        <v>338</v>
      </c>
      <c r="K286" s="65">
        <v>0.03</v>
      </c>
      <c r="L286" s="71">
        <v>1.9645047642504743E-2</v>
      </c>
      <c r="M286" s="68" t="s">
        <v>339</v>
      </c>
      <c r="N286" s="65">
        <v>0.1</v>
      </c>
      <c r="O286" s="71">
        <v>5.2905275486332393E-2</v>
      </c>
      <c r="P286" s="63" t="s">
        <v>338</v>
      </c>
      <c r="Q286" s="65">
        <v>0.3</v>
      </c>
      <c r="R286" s="71">
        <v>2.3712869341580234E-2</v>
      </c>
      <c r="S286" s="63" t="s">
        <v>338</v>
      </c>
      <c r="T286" s="65">
        <v>0.18</v>
      </c>
      <c r="U286" s="69">
        <v>0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x14ac:dyDescent="0.35">
      <c r="A287" s="1"/>
      <c r="B287" s="58">
        <v>39083</v>
      </c>
      <c r="C287" s="73">
        <v>9.7648040846092021E-2</v>
      </c>
      <c r="D287" s="63" t="s">
        <v>338</v>
      </c>
      <c r="E287" s="65">
        <v>0.18</v>
      </c>
      <c r="F287" s="60">
        <v>0.19541016728846272</v>
      </c>
      <c r="G287" s="63" t="s">
        <v>338</v>
      </c>
      <c r="H287" s="74">
        <v>0.35</v>
      </c>
      <c r="I287" s="60">
        <v>6.9599989957677577E-2</v>
      </c>
      <c r="J287" s="68" t="s">
        <v>339</v>
      </c>
      <c r="K287" s="65">
        <v>0.1</v>
      </c>
      <c r="L287" s="71">
        <v>1.8227012427091793E-2</v>
      </c>
      <c r="M287" s="63" t="s">
        <v>338</v>
      </c>
      <c r="N287" s="65">
        <v>0.05</v>
      </c>
      <c r="O287" s="71">
        <v>0.14188991130278938</v>
      </c>
      <c r="P287" s="63" t="s">
        <v>338</v>
      </c>
      <c r="Q287" s="65">
        <v>0.25</v>
      </c>
      <c r="R287" s="71">
        <v>3.1201490859136927E-2</v>
      </c>
      <c r="S287" s="68" t="s">
        <v>339</v>
      </c>
      <c r="T287" s="65">
        <v>7.0000000000000007E-2</v>
      </c>
      <c r="U287" s="69">
        <v>0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x14ac:dyDescent="0.35">
      <c r="A288" s="1"/>
      <c r="B288" s="58">
        <v>39173</v>
      </c>
      <c r="C288" s="70">
        <v>-2.1800696565296152E-3</v>
      </c>
      <c r="D288" s="68" t="s">
        <v>339</v>
      </c>
      <c r="E288" s="65">
        <v>7.0000000000000007E-2</v>
      </c>
      <c r="F288" s="73">
        <v>0.12944000122814736</v>
      </c>
      <c r="G288" s="63" t="s">
        <v>338</v>
      </c>
      <c r="H288" s="74">
        <v>0.4</v>
      </c>
      <c r="I288" s="60">
        <v>3.6064411067938895E-2</v>
      </c>
      <c r="J288" s="63" t="s">
        <v>338</v>
      </c>
      <c r="K288" s="65">
        <v>0.28000000000000003</v>
      </c>
      <c r="L288" s="71">
        <v>4.0572440928113851E-2</v>
      </c>
      <c r="M288" s="68" t="s">
        <v>339</v>
      </c>
      <c r="N288" s="74">
        <v>0.1</v>
      </c>
      <c r="O288" s="71">
        <v>3.552366927835604E-2</v>
      </c>
      <c r="P288" s="63" t="s">
        <v>338</v>
      </c>
      <c r="Q288" s="65">
        <v>0.12</v>
      </c>
      <c r="R288" s="72">
        <v>-7.3490789292850356E-2</v>
      </c>
      <c r="S288" s="68" t="s">
        <v>339</v>
      </c>
      <c r="T288" s="65">
        <v>0.03</v>
      </c>
      <c r="U288" s="69">
        <v>0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x14ac:dyDescent="0.35">
      <c r="A289" s="1"/>
      <c r="B289" s="58">
        <v>39264</v>
      </c>
      <c r="C289" s="70">
        <v>-4.4612122409856236E-2</v>
      </c>
      <c r="D289" s="68" t="s">
        <v>339</v>
      </c>
      <c r="E289" s="65">
        <v>0.1</v>
      </c>
      <c r="F289" s="73">
        <v>3.9269244792714098E-2</v>
      </c>
      <c r="G289" s="63" t="s">
        <v>338</v>
      </c>
      <c r="H289" s="74">
        <v>0.4</v>
      </c>
      <c r="I289" s="70">
        <v>-4.178461473417816E-2</v>
      </c>
      <c r="J289" s="68" t="s">
        <v>339</v>
      </c>
      <c r="K289" s="65">
        <v>0.1</v>
      </c>
      <c r="L289" s="72">
        <v>-8.0553989230045864E-2</v>
      </c>
      <c r="M289" s="68" t="s">
        <v>339</v>
      </c>
      <c r="N289" s="74">
        <v>0.1</v>
      </c>
      <c r="O289" s="72">
        <v>-0.16962085121662018</v>
      </c>
      <c r="P289" s="68" t="s">
        <v>339</v>
      </c>
      <c r="Q289" s="65">
        <v>0.03</v>
      </c>
      <c r="R289" s="72">
        <v>-0.13205584801136949</v>
      </c>
      <c r="S289" s="68" t="s">
        <v>339</v>
      </c>
      <c r="T289" s="65">
        <v>7.0000000000000007E-2</v>
      </c>
      <c r="U289" s="69">
        <v>0.2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x14ac:dyDescent="0.35">
      <c r="A290" s="1"/>
      <c r="B290" s="58">
        <v>39356</v>
      </c>
      <c r="C290" s="70">
        <v>-2.8254304895952376E-2</v>
      </c>
      <c r="D290" s="68" t="s">
        <v>339</v>
      </c>
      <c r="E290" s="65">
        <v>0.1</v>
      </c>
      <c r="F290" s="73">
        <v>0.16013475418478218</v>
      </c>
      <c r="G290" s="63" t="s">
        <v>338</v>
      </c>
      <c r="H290" s="74">
        <v>0.4</v>
      </c>
      <c r="I290" s="70">
        <v>-8.9599913473269122E-2</v>
      </c>
      <c r="J290" s="68" t="s">
        <v>339</v>
      </c>
      <c r="K290" s="65">
        <v>0.1</v>
      </c>
      <c r="L290" s="71">
        <v>1.4175300700931093E-2</v>
      </c>
      <c r="M290" s="63" t="s">
        <v>338</v>
      </c>
      <c r="N290" s="74">
        <v>0.3</v>
      </c>
      <c r="O290" s="72">
        <v>-0.185628529959597</v>
      </c>
      <c r="P290" s="68" t="s">
        <v>339</v>
      </c>
      <c r="Q290" s="65">
        <v>0.03</v>
      </c>
      <c r="R290" s="72">
        <v>-9.1320612444244165E-2</v>
      </c>
      <c r="S290" s="68" t="s">
        <v>339</v>
      </c>
      <c r="T290" s="65">
        <v>7.0000000000000007E-2</v>
      </c>
      <c r="U290" s="69">
        <v>0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x14ac:dyDescent="0.35">
      <c r="A291" s="1"/>
      <c r="B291" s="58">
        <v>39448</v>
      </c>
      <c r="C291" s="70">
        <v>-9.357138444185864E-2</v>
      </c>
      <c r="D291" s="68" t="s">
        <v>339</v>
      </c>
      <c r="E291" s="65">
        <v>0.1</v>
      </c>
      <c r="F291" s="73">
        <v>5.9350411811516013E-2</v>
      </c>
      <c r="G291" s="63" t="s">
        <v>338</v>
      </c>
      <c r="H291" s="74">
        <v>0.35</v>
      </c>
      <c r="I291" s="70">
        <v>-0.15099109810298073</v>
      </c>
      <c r="J291" s="68" t="s">
        <v>339</v>
      </c>
      <c r="K291" s="65">
        <v>7.0000000000000007E-2</v>
      </c>
      <c r="L291" s="71">
        <v>0.19163168954164012</v>
      </c>
      <c r="M291" s="63" t="s">
        <v>338</v>
      </c>
      <c r="N291" s="74">
        <v>0.35</v>
      </c>
      <c r="O291" s="72">
        <v>-0.19619567192566423</v>
      </c>
      <c r="P291" s="68" t="s">
        <v>339</v>
      </c>
      <c r="Q291" s="65">
        <v>0.03</v>
      </c>
      <c r="R291" s="71">
        <v>1.3707360192160678E-2</v>
      </c>
      <c r="S291" s="68" t="s">
        <v>339</v>
      </c>
      <c r="T291" s="65">
        <v>0.1</v>
      </c>
      <c r="U291" s="69">
        <v>0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x14ac:dyDescent="0.35">
      <c r="A292" s="1"/>
      <c r="B292" s="58">
        <v>39539</v>
      </c>
      <c r="C292" s="70">
        <v>-0.17929054807820133</v>
      </c>
      <c r="D292" s="68" t="s">
        <v>339</v>
      </c>
      <c r="E292" s="65">
        <v>7.0000000000000007E-2</v>
      </c>
      <c r="F292" s="70">
        <v>-0.14825659937691593</v>
      </c>
      <c r="G292" s="68" t="s">
        <v>339</v>
      </c>
      <c r="H292" s="74">
        <v>0.1</v>
      </c>
      <c r="I292" s="70">
        <v>-0.1919483819578508</v>
      </c>
      <c r="J292" s="68" t="s">
        <v>339</v>
      </c>
      <c r="K292" s="65">
        <v>0.03</v>
      </c>
      <c r="L292" s="71">
        <v>0.16591290560600513</v>
      </c>
      <c r="M292" s="63" t="s">
        <v>338</v>
      </c>
      <c r="N292" s="74">
        <v>0.35</v>
      </c>
      <c r="O292" s="72">
        <v>-0.17302530446420628</v>
      </c>
      <c r="P292" s="68" t="s">
        <v>339</v>
      </c>
      <c r="Q292" s="65">
        <v>0.1</v>
      </c>
      <c r="R292" s="71">
        <v>2.3891473009235442E-2</v>
      </c>
      <c r="S292" s="63" t="s">
        <v>338</v>
      </c>
      <c r="T292" s="65">
        <v>0.3</v>
      </c>
      <c r="U292" s="69">
        <v>0.05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x14ac:dyDescent="0.35">
      <c r="A293" s="1"/>
      <c r="B293" s="58">
        <v>39630</v>
      </c>
      <c r="C293" s="70">
        <v>-0.22031189650073679</v>
      </c>
      <c r="D293" s="68" t="s">
        <v>339</v>
      </c>
      <c r="E293" s="65">
        <v>0.03</v>
      </c>
      <c r="F293" s="70">
        <v>-0.19221235282086813</v>
      </c>
      <c r="G293" s="68" t="s">
        <v>339</v>
      </c>
      <c r="H293" s="74">
        <v>7.0000000000000007E-2</v>
      </c>
      <c r="I293" s="70">
        <v>-0.18629902459764147</v>
      </c>
      <c r="J293" s="68" t="s">
        <v>339</v>
      </c>
      <c r="K293" s="65">
        <v>0.1</v>
      </c>
      <c r="L293" s="72">
        <v>-7.9260870714059628E-3</v>
      </c>
      <c r="M293" s="68" t="s">
        <v>339</v>
      </c>
      <c r="N293" s="74">
        <v>0.1</v>
      </c>
      <c r="O293" s="72">
        <v>-0.14979755063337263</v>
      </c>
      <c r="P293" s="68" t="s">
        <v>339</v>
      </c>
      <c r="Q293" s="65">
        <v>0.1</v>
      </c>
      <c r="R293" s="72">
        <v>-0.11219880750275313</v>
      </c>
      <c r="S293" s="68" t="s">
        <v>339</v>
      </c>
      <c r="T293" s="65">
        <v>0.1</v>
      </c>
      <c r="U293" s="69">
        <v>0.5</v>
      </c>
      <c r="V293" s="67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x14ac:dyDescent="0.35">
      <c r="A294" s="1"/>
      <c r="B294" s="58">
        <v>39722</v>
      </c>
      <c r="C294" s="70">
        <v>-8.6174181256435389E-3</v>
      </c>
      <c r="D294" s="63" t="s">
        <v>338</v>
      </c>
      <c r="E294" s="65">
        <v>7.0000000000000007E-2</v>
      </c>
      <c r="F294" s="70">
        <v>-0.14224998229944597</v>
      </c>
      <c r="G294" s="68" t="s">
        <v>339</v>
      </c>
      <c r="H294" s="74">
        <v>0.03</v>
      </c>
      <c r="I294" s="73">
        <v>0.1197374534392277</v>
      </c>
      <c r="J294" s="63" t="s">
        <v>338</v>
      </c>
      <c r="K294" s="65">
        <v>0.35</v>
      </c>
      <c r="L294" s="71">
        <v>6.8678087153177581E-2</v>
      </c>
      <c r="M294" s="63" t="s">
        <v>338</v>
      </c>
      <c r="N294" s="74">
        <v>0.12</v>
      </c>
      <c r="O294" s="71">
        <v>9.5661263961367426E-2</v>
      </c>
      <c r="P294" s="63" t="s">
        <v>338</v>
      </c>
      <c r="Q294" s="65">
        <v>0.18</v>
      </c>
      <c r="R294" s="71">
        <v>0.11266231436055518</v>
      </c>
      <c r="S294" s="63" t="s">
        <v>338</v>
      </c>
      <c r="T294" s="65">
        <v>0.25</v>
      </c>
      <c r="U294" s="69">
        <v>0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x14ac:dyDescent="0.35">
      <c r="A295" s="1"/>
      <c r="B295" s="58">
        <v>39814</v>
      </c>
      <c r="C295" s="73">
        <v>3.0474638202312221E-2</v>
      </c>
      <c r="D295" s="68" t="s">
        <v>339</v>
      </c>
      <c r="E295" s="65">
        <v>0.1</v>
      </c>
      <c r="F295" s="70">
        <v>-0.19395858665134347</v>
      </c>
      <c r="G295" s="68" t="s">
        <v>339</v>
      </c>
      <c r="H295" s="74">
        <v>0.03</v>
      </c>
      <c r="I295" s="73">
        <v>4.143429175538782E-2</v>
      </c>
      <c r="J295" s="68" t="s">
        <v>339</v>
      </c>
      <c r="K295" s="65">
        <v>0.1</v>
      </c>
      <c r="L295" s="71">
        <v>0.38981535665031619</v>
      </c>
      <c r="M295" s="63" t="s">
        <v>338</v>
      </c>
      <c r="N295" s="74">
        <v>0.35</v>
      </c>
      <c r="O295" s="72">
        <v>-8.8859016946033931E-2</v>
      </c>
      <c r="P295" s="68" t="s">
        <v>339</v>
      </c>
      <c r="Q295" s="65">
        <v>7.0000000000000007E-2</v>
      </c>
      <c r="R295" s="71">
        <v>0.88757655357590282</v>
      </c>
      <c r="S295" s="63" t="s">
        <v>338</v>
      </c>
      <c r="T295" s="65">
        <v>0.3</v>
      </c>
      <c r="U295" s="69">
        <v>0.05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x14ac:dyDescent="0.35">
      <c r="A296" s="1"/>
      <c r="B296" s="58">
        <v>39904</v>
      </c>
      <c r="C296" s="70">
        <v>-0.18714312163119196</v>
      </c>
      <c r="D296" s="68" t="s">
        <v>339</v>
      </c>
      <c r="E296" s="65">
        <v>0.1</v>
      </c>
      <c r="F296" s="70">
        <v>-0.1373429020044914</v>
      </c>
      <c r="G296" s="68" t="s">
        <v>339</v>
      </c>
      <c r="H296" s="74">
        <v>0.1</v>
      </c>
      <c r="I296" s="70">
        <v>-0.2653309483113816</v>
      </c>
      <c r="J296" s="68" t="s">
        <v>339</v>
      </c>
      <c r="K296" s="65">
        <v>7.0000000000000007E-2</v>
      </c>
      <c r="L296" s="71">
        <v>0.25261175250044876</v>
      </c>
      <c r="M296" s="63" t="s">
        <v>338</v>
      </c>
      <c r="N296" s="74">
        <v>0.35</v>
      </c>
      <c r="O296" s="72">
        <v>-0.52557550809470865</v>
      </c>
      <c r="P296" s="68" t="s">
        <v>339</v>
      </c>
      <c r="Q296" s="65">
        <v>0.03</v>
      </c>
      <c r="R296" s="71">
        <v>0.32380779618553635</v>
      </c>
      <c r="S296" s="63" t="s">
        <v>338</v>
      </c>
      <c r="T296" s="65">
        <v>0.3</v>
      </c>
      <c r="U296" s="69">
        <v>0.05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x14ac:dyDescent="0.35">
      <c r="A297" s="1"/>
      <c r="B297" s="58">
        <v>39995</v>
      </c>
      <c r="C297" s="70">
        <v>-0.14517496124340457</v>
      </c>
      <c r="D297" s="68" t="s">
        <v>339</v>
      </c>
      <c r="E297" s="65">
        <v>0.1</v>
      </c>
      <c r="F297" s="73">
        <v>8.3934467835407922E-2</v>
      </c>
      <c r="G297" s="63" t="s">
        <v>338</v>
      </c>
      <c r="H297" s="74">
        <v>0.4</v>
      </c>
      <c r="I297" s="70">
        <v>-0.12890441701727651</v>
      </c>
      <c r="J297" s="68" t="s">
        <v>339</v>
      </c>
      <c r="K297" s="65">
        <v>0.1</v>
      </c>
      <c r="L297" s="72">
        <v>-0.1159120932356642</v>
      </c>
      <c r="M297" s="68" t="s">
        <v>339</v>
      </c>
      <c r="N297" s="74">
        <v>0.1</v>
      </c>
      <c r="O297" s="72">
        <v>-0.28561413612015429</v>
      </c>
      <c r="P297" s="68" t="s">
        <v>339</v>
      </c>
      <c r="Q297" s="65">
        <v>7.0000000000000007E-2</v>
      </c>
      <c r="R297" s="72">
        <v>-0.33450991744695746</v>
      </c>
      <c r="S297" s="68" t="s">
        <v>339</v>
      </c>
      <c r="T297" s="65">
        <v>0.03</v>
      </c>
      <c r="U297" s="69">
        <v>0.2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x14ac:dyDescent="0.35">
      <c r="A298" s="1"/>
      <c r="B298" s="58">
        <v>40087</v>
      </c>
      <c r="C298" s="73">
        <v>1.6175343515334006E-2</v>
      </c>
      <c r="D298" s="63" t="s">
        <v>338</v>
      </c>
      <c r="E298" s="65">
        <v>0.12</v>
      </c>
      <c r="F298" s="73">
        <v>0.20293430486697206</v>
      </c>
      <c r="G298" s="63" t="s">
        <v>338</v>
      </c>
      <c r="H298" s="74">
        <v>0.25</v>
      </c>
      <c r="I298" s="73">
        <v>9.8784338021151274E-2</v>
      </c>
      <c r="J298" s="63" t="s">
        <v>338</v>
      </c>
      <c r="K298" s="65">
        <v>0.18</v>
      </c>
      <c r="L298" s="72">
        <v>-0.15817278273994539</v>
      </c>
      <c r="M298" s="68" t="s">
        <v>339</v>
      </c>
      <c r="N298" s="74">
        <v>0.1</v>
      </c>
      <c r="O298" s="71">
        <v>0.30941966707627522</v>
      </c>
      <c r="P298" s="63" t="s">
        <v>338</v>
      </c>
      <c r="Q298" s="65">
        <v>0.35</v>
      </c>
      <c r="R298" s="72">
        <v>-0.28413031018378176</v>
      </c>
      <c r="S298" s="68" t="s">
        <v>339</v>
      </c>
      <c r="T298" s="65">
        <v>0</v>
      </c>
      <c r="U298" s="69">
        <v>0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x14ac:dyDescent="0.35">
      <c r="A299" s="1"/>
      <c r="B299" s="58">
        <v>40179</v>
      </c>
      <c r="C299" s="73">
        <v>7.9609361965218728E-2</v>
      </c>
      <c r="D299" s="63" t="s">
        <v>338</v>
      </c>
      <c r="E299" s="65">
        <v>0.12</v>
      </c>
      <c r="F299" s="73">
        <v>0.14605388578422196</v>
      </c>
      <c r="G299" s="63" t="s">
        <v>338</v>
      </c>
      <c r="H299" s="74">
        <v>0.25</v>
      </c>
      <c r="I299" s="73">
        <v>8.8007360702240467E-2</v>
      </c>
      <c r="J299" s="63" t="s">
        <v>338</v>
      </c>
      <c r="K299" s="65">
        <v>0.18</v>
      </c>
      <c r="L299" s="71">
        <v>5.3725115127732703E-2</v>
      </c>
      <c r="M299" s="63" t="s">
        <v>338</v>
      </c>
      <c r="N299" s="74">
        <v>0.1</v>
      </c>
      <c r="O299" s="71">
        <v>0.2841891619694239</v>
      </c>
      <c r="P299" s="63" t="s">
        <v>338</v>
      </c>
      <c r="Q299" s="65">
        <v>0.35</v>
      </c>
      <c r="R299" s="72">
        <v>-0.15399128275859142</v>
      </c>
      <c r="S299" s="68" t="s">
        <v>339</v>
      </c>
      <c r="T299" s="65">
        <v>0</v>
      </c>
      <c r="U299" s="69">
        <v>0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x14ac:dyDescent="0.35">
      <c r="A300" s="1"/>
      <c r="B300" s="58">
        <v>40269</v>
      </c>
      <c r="C300" s="73">
        <v>0.10761747297944013</v>
      </c>
      <c r="D300" s="63" t="s">
        <v>338</v>
      </c>
      <c r="E300" s="65">
        <v>0.18</v>
      </c>
      <c r="F300" s="73">
        <v>8.3808246765531669E-2</v>
      </c>
      <c r="G300" s="63" t="s">
        <v>338</v>
      </c>
      <c r="H300" s="74">
        <v>7.0000000000000007E-2</v>
      </c>
      <c r="I300" s="73">
        <v>0.1267378636472507</v>
      </c>
      <c r="J300" s="63" t="s">
        <v>338</v>
      </c>
      <c r="K300" s="65">
        <v>0.25</v>
      </c>
      <c r="L300" s="71">
        <v>0.10721342518327148</v>
      </c>
      <c r="M300" s="63" t="s">
        <v>338</v>
      </c>
      <c r="N300" s="74">
        <v>0.12</v>
      </c>
      <c r="O300" s="71">
        <v>0.17897484290454302</v>
      </c>
      <c r="P300" s="63" t="s">
        <v>338</v>
      </c>
      <c r="Q300" s="65">
        <v>0.35</v>
      </c>
      <c r="R300" s="72">
        <v>-9.1892769466685009E-2</v>
      </c>
      <c r="S300" s="68" t="s">
        <v>339</v>
      </c>
      <c r="T300" s="65">
        <v>0.03</v>
      </c>
      <c r="U300" s="69">
        <v>0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x14ac:dyDescent="0.35">
      <c r="A301" s="1"/>
      <c r="B301" s="58">
        <v>40360</v>
      </c>
      <c r="C301" s="70">
        <v>-3.7330010741061348E-2</v>
      </c>
      <c r="D301" s="68" t="s">
        <v>339</v>
      </c>
      <c r="E301" s="65">
        <v>7.0000000000000007E-2</v>
      </c>
      <c r="F301" s="70">
        <v>-6.3526360598296083E-2</v>
      </c>
      <c r="G301" s="68" t="s">
        <v>339</v>
      </c>
      <c r="H301" s="74">
        <v>0.03</v>
      </c>
      <c r="I301" s="73">
        <v>1.9238038529036494E-2</v>
      </c>
      <c r="J301" s="68" t="s">
        <v>339</v>
      </c>
      <c r="K301" s="65">
        <v>0.1</v>
      </c>
      <c r="L301" s="71">
        <v>0.1798596618147339</v>
      </c>
      <c r="M301" s="63" t="s">
        <v>338</v>
      </c>
      <c r="N301" s="74">
        <v>0.35</v>
      </c>
      <c r="O301" s="71">
        <v>8.2228016196019382E-2</v>
      </c>
      <c r="P301" s="63" t="s">
        <v>338</v>
      </c>
      <c r="Q301" s="65">
        <v>0.18</v>
      </c>
      <c r="R301" s="71">
        <v>0.17865753762736403</v>
      </c>
      <c r="S301" s="63" t="s">
        <v>338</v>
      </c>
      <c r="T301" s="65">
        <v>0.27</v>
      </c>
      <c r="U301" s="69">
        <v>0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x14ac:dyDescent="0.35">
      <c r="A302" s="1"/>
      <c r="B302" s="58">
        <v>40452</v>
      </c>
      <c r="C302" s="70">
        <v>-7.2568680332751212E-2</v>
      </c>
      <c r="D302" s="68" t="s">
        <v>339</v>
      </c>
      <c r="E302" s="65">
        <v>0.03</v>
      </c>
      <c r="F302" s="73">
        <v>9.8971139276193831E-3</v>
      </c>
      <c r="G302" s="63" t="s">
        <v>338</v>
      </c>
      <c r="H302" s="74">
        <v>0.12</v>
      </c>
      <c r="I302" s="70">
        <v>-5.403504066022391E-2</v>
      </c>
      <c r="J302" s="63" t="s">
        <v>338</v>
      </c>
      <c r="K302" s="65">
        <v>7.0000000000000007E-2</v>
      </c>
      <c r="L302" s="71">
        <v>0.11604122562686525</v>
      </c>
      <c r="M302" s="63" t="s">
        <v>338</v>
      </c>
      <c r="N302" s="74">
        <v>0.3</v>
      </c>
      <c r="O302" s="71">
        <v>1.4041594320502782E-2</v>
      </c>
      <c r="P302" s="63" t="s">
        <v>338</v>
      </c>
      <c r="Q302" s="65">
        <v>0.18</v>
      </c>
      <c r="R302" s="71">
        <v>0.12021687137666759</v>
      </c>
      <c r="S302" s="63" t="s">
        <v>338</v>
      </c>
      <c r="T302" s="65">
        <v>0.3</v>
      </c>
      <c r="U302" s="69">
        <v>0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x14ac:dyDescent="0.35">
      <c r="A303" s="1"/>
      <c r="B303" s="58">
        <v>40544</v>
      </c>
      <c r="C303" s="73">
        <v>0.11797410845096823</v>
      </c>
      <c r="D303" s="63" t="s">
        <v>338</v>
      </c>
      <c r="E303" s="65">
        <v>0.18</v>
      </c>
      <c r="F303" s="73">
        <v>0.16939343050101563</v>
      </c>
      <c r="G303" s="63" t="s">
        <v>338</v>
      </c>
      <c r="H303" s="74">
        <v>0.25</v>
      </c>
      <c r="I303" s="73">
        <v>0.17274813229913955</v>
      </c>
      <c r="J303" s="63" t="s">
        <v>338</v>
      </c>
      <c r="K303" s="65">
        <v>0.35</v>
      </c>
      <c r="L303" s="71">
        <v>4.804004195245315E-2</v>
      </c>
      <c r="M303" s="63" t="s">
        <v>338</v>
      </c>
      <c r="N303" s="74">
        <v>7.0000000000000007E-2</v>
      </c>
      <c r="O303" s="71">
        <v>9.1188335186845437E-2</v>
      </c>
      <c r="P303" s="63" t="s">
        <v>338</v>
      </c>
      <c r="Q303" s="65">
        <v>0.12</v>
      </c>
      <c r="R303" s="72">
        <v>-0.15260939935445528</v>
      </c>
      <c r="S303" s="68" t="s">
        <v>339</v>
      </c>
      <c r="T303" s="65">
        <v>0.03</v>
      </c>
      <c r="U303" s="69">
        <v>0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x14ac:dyDescent="0.35">
      <c r="A304" s="1"/>
      <c r="B304" s="58">
        <v>40634</v>
      </c>
      <c r="C304" s="73">
        <v>0.11265351577643279</v>
      </c>
      <c r="D304" s="63" t="s">
        <v>338</v>
      </c>
      <c r="E304" s="65">
        <v>0.25</v>
      </c>
      <c r="F304" s="73">
        <v>4.0964357462629941E-2</v>
      </c>
      <c r="G304" s="63" t="s">
        <v>338</v>
      </c>
      <c r="H304" s="74">
        <v>7.0000000000000007E-2</v>
      </c>
      <c r="I304" s="73">
        <v>0.19420863411455747</v>
      </c>
      <c r="J304" s="63" t="s">
        <v>338</v>
      </c>
      <c r="K304" s="65">
        <v>0.35</v>
      </c>
      <c r="L304" s="71">
        <v>4.7554513963296019E-2</v>
      </c>
      <c r="M304" s="63" t="s">
        <v>338</v>
      </c>
      <c r="N304" s="74">
        <v>0.12</v>
      </c>
      <c r="O304" s="71">
        <v>7.5181914385781923E-2</v>
      </c>
      <c r="P304" s="63" t="s">
        <v>338</v>
      </c>
      <c r="Q304" s="65">
        <v>0.18</v>
      </c>
      <c r="R304" s="72">
        <v>-0.16373676131973536</v>
      </c>
      <c r="S304" s="68" t="s">
        <v>339</v>
      </c>
      <c r="T304" s="65">
        <v>0.03</v>
      </c>
      <c r="U304" s="69">
        <v>0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x14ac:dyDescent="0.35">
      <c r="A305" s="1"/>
      <c r="B305" s="58">
        <v>40725</v>
      </c>
      <c r="C305" s="70">
        <v>-8.6557500433876999E-3</v>
      </c>
      <c r="D305" s="68" t="s">
        <v>339</v>
      </c>
      <c r="E305" s="65">
        <v>0.1</v>
      </c>
      <c r="F305" s="70">
        <v>-5.6822602929549548E-2</v>
      </c>
      <c r="G305" s="68" t="s">
        <v>339</v>
      </c>
      <c r="H305" s="74">
        <v>0.03</v>
      </c>
      <c r="I305" s="70">
        <v>-8.6406650961401432E-4</v>
      </c>
      <c r="J305" s="63" t="s">
        <v>338</v>
      </c>
      <c r="K305" s="65">
        <v>0.4</v>
      </c>
      <c r="L305" s="72">
        <v>-3.3697820489764219E-3</v>
      </c>
      <c r="M305" s="63" t="s">
        <v>338</v>
      </c>
      <c r="N305" s="74">
        <v>0.3</v>
      </c>
      <c r="O305" s="71">
        <v>2.4603920533595725E-2</v>
      </c>
      <c r="P305" s="68" t="s">
        <v>339</v>
      </c>
      <c r="Q305" s="65">
        <v>0.1</v>
      </c>
      <c r="R305" s="72">
        <v>-5.6157191012484509E-2</v>
      </c>
      <c r="S305" s="68" t="s">
        <v>339</v>
      </c>
      <c r="T305" s="65">
        <v>7.0000000000000007E-2</v>
      </c>
      <c r="U305" s="69">
        <v>0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x14ac:dyDescent="0.35">
      <c r="A306" s="1"/>
      <c r="B306" s="58">
        <v>40817</v>
      </c>
      <c r="C306" s="70">
        <v>-4.3312287048646536E-2</v>
      </c>
      <c r="D306" s="68" t="s">
        <v>339</v>
      </c>
      <c r="E306" s="65">
        <v>0.1</v>
      </c>
      <c r="F306" s="70">
        <v>-0.19167337356050163</v>
      </c>
      <c r="G306" s="68" t="s">
        <v>339</v>
      </c>
      <c r="H306" s="74">
        <v>0.03</v>
      </c>
      <c r="I306" s="70">
        <v>-0.14367139780761573</v>
      </c>
      <c r="J306" s="68" t="s">
        <v>339</v>
      </c>
      <c r="K306" s="65">
        <v>7.0000000000000007E-2</v>
      </c>
      <c r="L306" s="71">
        <v>0.27256423010402542</v>
      </c>
      <c r="M306" s="63" t="s">
        <v>338</v>
      </c>
      <c r="N306" s="74">
        <v>0.35</v>
      </c>
      <c r="O306" s="72">
        <v>-2.474501013557906E-2</v>
      </c>
      <c r="P306" s="68" t="s">
        <v>339</v>
      </c>
      <c r="Q306" s="65">
        <v>0.1</v>
      </c>
      <c r="R306" s="71">
        <v>0.46978242680630244</v>
      </c>
      <c r="S306" s="63" t="s">
        <v>338</v>
      </c>
      <c r="T306" s="65">
        <v>0.3</v>
      </c>
      <c r="U306" s="69">
        <v>0.05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x14ac:dyDescent="0.35">
      <c r="A307" s="1"/>
      <c r="B307" s="58">
        <v>40909</v>
      </c>
      <c r="C307" s="73">
        <v>0.1329848931508224</v>
      </c>
      <c r="D307" s="63" t="s">
        <v>338</v>
      </c>
      <c r="E307" s="65">
        <v>0.12</v>
      </c>
      <c r="F307" s="70">
        <v>-5.1648765140066777E-2</v>
      </c>
      <c r="G307" s="68" t="s">
        <v>339</v>
      </c>
      <c r="H307" s="74">
        <v>0.03</v>
      </c>
      <c r="I307" s="73">
        <v>5.9580716466627992E-2</v>
      </c>
      <c r="J307" s="63" t="s">
        <v>338</v>
      </c>
      <c r="K307" s="65">
        <v>7.0000000000000007E-2</v>
      </c>
      <c r="L307" s="71">
        <v>0.24010846522945672</v>
      </c>
      <c r="M307" s="63" t="s">
        <v>338</v>
      </c>
      <c r="N307" s="74">
        <v>0.3</v>
      </c>
      <c r="O307" s="71">
        <v>0.14817307315754036</v>
      </c>
      <c r="P307" s="63" t="s">
        <v>338</v>
      </c>
      <c r="Q307" s="65">
        <v>0.18</v>
      </c>
      <c r="R307" s="71">
        <v>0.53305385192174071</v>
      </c>
      <c r="S307" s="63" t="s">
        <v>338</v>
      </c>
      <c r="T307" s="65">
        <v>0.3</v>
      </c>
      <c r="U307" s="69">
        <v>0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x14ac:dyDescent="0.35">
      <c r="A308" s="1"/>
      <c r="B308" s="58">
        <v>41000</v>
      </c>
      <c r="C308" s="73">
        <v>0.2430519818083845</v>
      </c>
      <c r="D308" s="63" t="s">
        <v>338</v>
      </c>
      <c r="E308" s="65">
        <v>0.18</v>
      </c>
      <c r="F308" s="73">
        <v>0.22195389232148832</v>
      </c>
      <c r="G308" s="63" t="s">
        <v>338</v>
      </c>
      <c r="H308" s="74">
        <v>0.12</v>
      </c>
      <c r="I308" s="73">
        <v>0.28591314661896594</v>
      </c>
      <c r="J308" s="63" t="s">
        <v>338</v>
      </c>
      <c r="K308" s="65">
        <v>0.35</v>
      </c>
      <c r="L308" s="71">
        <v>2.4951997874647747E-2</v>
      </c>
      <c r="M308" s="63" t="s">
        <v>338</v>
      </c>
      <c r="N308" s="74">
        <v>7.0000000000000007E-2</v>
      </c>
      <c r="O308" s="71">
        <v>0.24933758904023762</v>
      </c>
      <c r="P308" s="63" t="s">
        <v>338</v>
      </c>
      <c r="Q308" s="65">
        <v>0.25</v>
      </c>
      <c r="R308" s="72">
        <v>-7.262161905518838E-2</v>
      </c>
      <c r="S308" s="63" t="s">
        <v>338</v>
      </c>
      <c r="T308" s="65">
        <v>0.03</v>
      </c>
      <c r="U308" s="69">
        <v>0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x14ac:dyDescent="0.35">
      <c r="A309" s="1"/>
      <c r="B309" s="58">
        <v>41091</v>
      </c>
      <c r="C309" s="73">
        <v>0.20615105505181974</v>
      </c>
      <c r="D309" s="63" t="s">
        <v>338</v>
      </c>
      <c r="E309" s="65">
        <v>0.25</v>
      </c>
      <c r="F309" s="73">
        <v>0.14853391887095557</v>
      </c>
      <c r="G309" s="63" t="s">
        <v>338</v>
      </c>
      <c r="H309" s="74">
        <v>0.05</v>
      </c>
      <c r="I309" s="73">
        <v>0.20133655759737534</v>
      </c>
      <c r="J309" s="63" t="s">
        <v>338</v>
      </c>
      <c r="K309" s="65">
        <v>0.18</v>
      </c>
      <c r="L309" s="71">
        <v>0.13686637220696962</v>
      </c>
      <c r="M309" s="63" t="s">
        <v>338</v>
      </c>
      <c r="N309" s="74">
        <v>0.05</v>
      </c>
      <c r="O309" s="71">
        <v>0.25615033846725388</v>
      </c>
      <c r="P309" s="63" t="s">
        <v>338</v>
      </c>
      <c r="Q309" s="65">
        <v>0.35</v>
      </c>
      <c r="R309" s="71">
        <v>0.14976228570084893</v>
      </c>
      <c r="S309" s="63" t="s">
        <v>338</v>
      </c>
      <c r="T309" s="65">
        <v>0.12</v>
      </c>
      <c r="U309" s="69">
        <v>0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x14ac:dyDescent="0.35">
      <c r="A310" s="1"/>
      <c r="B310" s="58">
        <v>41183</v>
      </c>
      <c r="C310" s="73">
        <v>0.13796305038102319</v>
      </c>
      <c r="D310" s="63" t="s">
        <v>338</v>
      </c>
      <c r="E310" s="65">
        <v>0.18</v>
      </c>
      <c r="F310" s="73">
        <v>7.0548617060677943E-2</v>
      </c>
      <c r="G310" s="63" t="s">
        <v>338</v>
      </c>
      <c r="H310" s="74">
        <v>0.03</v>
      </c>
      <c r="I310" s="73">
        <v>0.12120493866805981</v>
      </c>
      <c r="J310" s="63" t="s">
        <v>338</v>
      </c>
      <c r="K310" s="65">
        <v>7.0000000000000007E-2</v>
      </c>
      <c r="L310" s="71">
        <v>0.18160575945104007</v>
      </c>
      <c r="M310" s="63" t="s">
        <v>338</v>
      </c>
      <c r="N310" s="74">
        <v>0.3</v>
      </c>
      <c r="O310" s="71">
        <v>0.13561501521763275</v>
      </c>
      <c r="P310" s="63" t="s">
        <v>338</v>
      </c>
      <c r="Q310" s="65">
        <v>0.12</v>
      </c>
      <c r="R310" s="71">
        <v>0.23178374192913243</v>
      </c>
      <c r="S310" s="63" t="s">
        <v>338</v>
      </c>
      <c r="T310" s="65">
        <v>0.3</v>
      </c>
      <c r="U310" s="69">
        <v>0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x14ac:dyDescent="0.35">
      <c r="A311" s="1"/>
      <c r="B311" s="58">
        <v>41275</v>
      </c>
      <c r="C311" s="73">
        <v>3.1940972740368556E-2</v>
      </c>
      <c r="D311" s="63" t="s">
        <v>338</v>
      </c>
      <c r="E311" s="65">
        <v>0.12</v>
      </c>
      <c r="F311" s="73">
        <v>0.11697787145701644</v>
      </c>
      <c r="G311" s="63" t="s">
        <v>338</v>
      </c>
      <c r="H311" s="74">
        <v>0.35</v>
      </c>
      <c r="I311" s="73">
        <v>4.4791140997689549E-2</v>
      </c>
      <c r="J311" s="63" t="s">
        <v>338</v>
      </c>
      <c r="K311" s="65">
        <v>0.25</v>
      </c>
      <c r="L311" s="71">
        <v>3.3317855028189625E-2</v>
      </c>
      <c r="M311" s="63" t="s">
        <v>338</v>
      </c>
      <c r="N311" s="74">
        <v>0.18</v>
      </c>
      <c r="O311" s="72">
        <v>-8.8052150645278049E-3</v>
      </c>
      <c r="P311" s="63" t="s">
        <v>338</v>
      </c>
      <c r="Q311" s="65">
        <v>7.0000000000000007E-2</v>
      </c>
      <c r="R311" s="72">
        <v>-4.5969714712943088E-2</v>
      </c>
      <c r="S311" s="68" t="s">
        <v>339</v>
      </c>
      <c r="T311" s="65">
        <v>0.03</v>
      </c>
      <c r="U311" s="69">
        <v>0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x14ac:dyDescent="0.35">
      <c r="A312" s="1"/>
      <c r="B312" s="58">
        <v>41365</v>
      </c>
      <c r="C312" s="73">
        <v>8.4795733925388195E-2</v>
      </c>
      <c r="D312" s="63" t="s">
        <v>338</v>
      </c>
      <c r="E312" s="65">
        <v>0.25</v>
      </c>
      <c r="F312" s="73">
        <v>3.0690141479435828E-2</v>
      </c>
      <c r="G312" s="63" t="s">
        <v>338</v>
      </c>
      <c r="H312" s="74">
        <v>0.12</v>
      </c>
      <c r="I312" s="73">
        <v>0.12729769219032083</v>
      </c>
      <c r="J312" s="63" t="s">
        <v>338</v>
      </c>
      <c r="K312" s="65">
        <v>0.35</v>
      </c>
      <c r="L312" s="72">
        <v>-0.10332961624270753</v>
      </c>
      <c r="M312" s="68" t="s">
        <v>339</v>
      </c>
      <c r="N312" s="74">
        <v>0.05</v>
      </c>
      <c r="O312" s="71">
        <v>8.1232915851591203E-2</v>
      </c>
      <c r="P312" s="63" t="s">
        <v>338</v>
      </c>
      <c r="Q312" s="65">
        <v>0.18</v>
      </c>
      <c r="R312" s="72">
        <v>-5.5866134939489775E-2</v>
      </c>
      <c r="S312" s="68" t="s">
        <v>339</v>
      </c>
      <c r="T312" s="65">
        <v>0.05</v>
      </c>
      <c r="U312" s="69">
        <v>0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x14ac:dyDescent="0.35">
      <c r="A313" s="1"/>
      <c r="B313" s="58">
        <v>41456</v>
      </c>
      <c r="C313" s="73">
        <v>0.20221278350936034</v>
      </c>
      <c r="D313" s="63" t="s">
        <v>338</v>
      </c>
      <c r="E313" s="65">
        <v>0.25</v>
      </c>
      <c r="F313" s="70">
        <v>-7.3374910359807366E-2</v>
      </c>
      <c r="G313" s="68" t="s">
        <v>339</v>
      </c>
      <c r="H313" s="74">
        <v>0.05</v>
      </c>
      <c r="I313" s="73">
        <v>0.22804757921691454</v>
      </c>
      <c r="J313" s="63" t="s">
        <v>338</v>
      </c>
      <c r="K313" s="65">
        <v>0.37</v>
      </c>
      <c r="L313" s="72">
        <v>-0.21306265050323914</v>
      </c>
      <c r="M313" s="68" t="s">
        <v>339</v>
      </c>
      <c r="N313" s="74">
        <v>0.05</v>
      </c>
      <c r="O313" s="71">
        <v>0.1149372650511109</v>
      </c>
      <c r="P313" s="63" t="s">
        <v>338</v>
      </c>
      <c r="Q313" s="65">
        <v>0.18</v>
      </c>
      <c r="R313" s="72">
        <v>-2.7132301878799003E-2</v>
      </c>
      <c r="S313" s="68" t="s">
        <v>339</v>
      </c>
      <c r="T313" s="65">
        <v>0.1</v>
      </c>
      <c r="U313" s="69">
        <v>0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x14ac:dyDescent="0.35">
      <c r="A314" s="1"/>
      <c r="B314" s="58">
        <v>41548</v>
      </c>
      <c r="C314" s="73">
        <v>0.19693441057717398</v>
      </c>
      <c r="D314" s="63" t="s">
        <v>338</v>
      </c>
      <c r="E314" s="65">
        <v>0.25</v>
      </c>
      <c r="F314" s="73">
        <v>6.4408820838459224E-2</v>
      </c>
      <c r="G314" s="63" t="s">
        <v>338</v>
      </c>
      <c r="H314" s="74">
        <v>0.18</v>
      </c>
      <c r="I314" s="73">
        <v>0.26120987141550045</v>
      </c>
      <c r="J314" s="63" t="s">
        <v>338</v>
      </c>
      <c r="K314" s="65">
        <v>0.35</v>
      </c>
      <c r="L314" s="72">
        <v>-7.0646799660354032E-2</v>
      </c>
      <c r="M314" s="68" t="s">
        <v>339</v>
      </c>
      <c r="N314" s="74">
        <v>0.05</v>
      </c>
      <c r="O314" s="71">
        <v>4.7464504615871261E-2</v>
      </c>
      <c r="P314" s="63" t="s">
        <v>338</v>
      </c>
      <c r="Q314" s="65">
        <v>0.12</v>
      </c>
      <c r="R314" s="71">
        <v>9.2442954262075272E-3</v>
      </c>
      <c r="S314" s="68" t="s">
        <v>339</v>
      </c>
      <c r="T314" s="65">
        <v>0.05</v>
      </c>
      <c r="U314" s="69">
        <v>0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35">
      <c r="A315" s="1"/>
      <c r="B315" s="58">
        <v>41640</v>
      </c>
      <c r="C315" s="73">
        <v>0.24393459168118481</v>
      </c>
      <c r="D315" s="63" t="s">
        <v>338</v>
      </c>
      <c r="E315" s="65">
        <v>0.25</v>
      </c>
      <c r="F315" s="73">
        <v>0.17346424315873521</v>
      </c>
      <c r="G315" s="63" t="s">
        <v>338</v>
      </c>
      <c r="H315" s="74">
        <v>0.18</v>
      </c>
      <c r="I315" s="73">
        <v>0.28571315719374546</v>
      </c>
      <c r="J315" s="63" t="s">
        <v>338</v>
      </c>
      <c r="K315" s="65">
        <v>0.37</v>
      </c>
      <c r="L315" s="71">
        <v>5.5186830039746226E-2</v>
      </c>
      <c r="M315" s="68" t="s">
        <v>339</v>
      </c>
      <c r="N315" s="74">
        <v>0.1</v>
      </c>
      <c r="O315" s="71">
        <v>1.5460100618664097E-2</v>
      </c>
      <c r="P315" s="63" t="s">
        <v>338</v>
      </c>
      <c r="Q315" s="65">
        <v>7.0000000000000007E-2</v>
      </c>
      <c r="R315" s="72">
        <v>-3.1134370272607459E-3</v>
      </c>
      <c r="S315" s="68" t="s">
        <v>339</v>
      </c>
      <c r="T315" s="65">
        <v>0.03</v>
      </c>
      <c r="U315" s="69">
        <v>0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35">
      <c r="A316" s="1"/>
      <c r="B316" s="58">
        <v>41730</v>
      </c>
      <c r="C316" s="73">
        <v>0.11685203940998967</v>
      </c>
      <c r="D316" s="63" t="s">
        <v>338</v>
      </c>
      <c r="E316" s="65">
        <v>0.35</v>
      </c>
      <c r="F316" s="73">
        <v>9.2073307401401294E-3</v>
      </c>
      <c r="G316" s="63" t="s">
        <v>338</v>
      </c>
      <c r="H316" s="74">
        <v>0.05</v>
      </c>
      <c r="I316" s="73">
        <v>9.4588454244701747E-2</v>
      </c>
      <c r="J316" s="63" t="s">
        <v>338</v>
      </c>
      <c r="K316" s="65">
        <v>0.25</v>
      </c>
      <c r="L316" s="72">
        <v>-3.1169081022631051E-2</v>
      </c>
      <c r="M316" s="68" t="s">
        <v>339</v>
      </c>
      <c r="N316" s="74">
        <v>0.05</v>
      </c>
      <c r="O316" s="71">
        <v>7.09407985987065E-2</v>
      </c>
      <c r="P316" s="63" t="s">
        <v>338</v>
      </c>
      <c r="Q316" s="65">
        <v>0.18</v>
      </c>
      <c r="R316" s="71">
        <v>2.8389463539145732E-2</v>
      </c>
      <c r="S316" s="63" t="s">
        <v>338</v>
      </c>
      <c r="T316" s="65">
        <v>0.12</v>
      </c>
      <c r="U316" s="69">
        <v>0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35">
      <c r="A317" s="1"/>
      <c r="B317" s="58">
        <v>41821</v>
      </c>
      <c r="C317" s="70">
        <v>-1.0545412573654378E-2</v>
      </c>
      <c r="D317" s="63" t="s">
        <v>338</v>
      </c>
      <c r="E317" s="65">
        <v>0.12</v>
      </c>
      <c r="F317" s="70">
        <v>-3.5038705595345832E-2</v>
      </c>
      <c r="G317" s="63" t="s">
        <v>338</v>
      </c>
      <c r="H317" s="74">
        <v>7.0000000000000007E-2</v>
      </c>
      <c r="I317" s="70">
        <v>-3.902967948100966E-2</v>
      </c>
      <c r="J317" s="63" t="s">
        <v>338</v>
      </c>
      <c r="K317" s="65">
        <v>0.03</v>
      </c>
      <c r="L317" s="71">
        <v>2.7069314207969875E-2</v>
      </c>
      <c r="M317" s="63" t="s">
        <v>338</v>
      </c>
      <c r="N317" s="74">
        <v>0.18</v>
      </c>
      <c r="O317" s="71">
        <v>8.1681686587753433E-2</v>
      </c>
      <c r="P317" s="63" t="s">
        <v>338</v>
      </c>
      <c r="Q317" s="65">
        <v>0.3</v>
      </c>
      <c r="R317" s="71">
        <v>3.9842973380139091E-2</v>
      </c>
      <c r="S317" s="63" t="s">
        <v>338</v>
      </c>
      <c r="T317" s="65">
        <v>0.3</v>
      </c>
      <c r="U317" s="69">
        <v>0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35">
      <c r="A318" s="1"/>
      <c r="B318" s="58">
        <v>41913</v>
      </c>
      <c r="C318" s="73">
        <v>0.13889484284687814</v>
      </c>
      <c r="D318" s="63" t="s">
        <v>338</v>
      </c>
      <c r="E318" s="65">
        <v>0.3</v>
      </c>
      <c r="F318" s="73">
        <v>9.5577183314953018E-2</v>
      </c>
      <c r="G318" s="63" t="s">
        <v>338</v>
      </c>
      <c r="H318" s="74">
        <v>0.12</v>
      </c>
      <c r="I318" s="73">
        <v>1.6196781185097375E-2</v>
      </c>
      <c r="J318" s="63" t="s">
        <v>338</v>
      </c>
      <c r="K318" s="65">
        <v>0.03</v>
      </c>
      <c r="L318" s="71">
        <v>1.9227455387407222E-2</v>
      </c>
      <c r="M318" s="63" t="s">
        <v>338</v>
      </c>
      <c r="N318" s="74">
        <v>7.0000000000000007E-2</v>
      </c>
      <c r="O318" s="71">
        <v>0.10005659154933544</v>
      </c>
      <c r="P318" s="63" t="s">
        <v>338</v>
      </c>
      <c r="Q318" s="65">
        <v>0.18</v>
      </c>
      <c r="R318" s="71">
        <v>0.15227707773846566</v>
      </c>
      <c r="S318" s="63" t="s">
        <v>338</v>
      </c>
      <c r="T318" s="65">
        <v>0.3</v>
      </c>
      <c r="U318" s="69">
        <v>0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35">
      <c r="A319" s="1"/>
      <c r="B319" s="58">
        <v>42005</v>
      </c>
      <c r="C319" s="73">
        <v>0.26660899114627123</v>
      </c>
      <c r="D319" s="63" t="s">
        <v>338</v>
      </c>
      <c r="E319" s="65">
        <v>0.18</v>
      </c>
      <c r="F319" s="73">
        <v>9.6036879477442882E-2</v>
      </c>
      <c r="G319" s="63" t="s">
        <v>338</v>
      </c>
      <c r="H319" s="74">
        <v>7.0000000000000007E-2</v>
      </c>
      <c r="I319" s="73">
        <v>0.21405581070272173</v>
      </c>
      <c r="J319" s="63" t="s">
        <v>338</v>
      </c>
      <c r="K319" s="65">
        <v>0.12</v>
      </c>
      <c r="L319" s="71">
        <v>7.6203235443178308E-2</v>
      </c>
      <c r="M319" s="63" t="s">
        <v>338</v>
      </c>
      <c r="N319" s="74">
        <v>0.05</v>
      </c>
      <c r="O319" s="71">
        <v>0.30531956730503595</v>
      </c>
      <c r="P319" s="63" t="s">
        <v>338</v>
      </c>
      <c r="Q319" s="65">
        <v>0.28000000000000003</v>
      </c>
      <c r="R319" s="71">
        <v>0.33769052816324852</v>
      </c>
      <c r="S319" s="63" t="s">
        <v>338</v>
      </c>
      <c r="T319" s="65">
        <v>0.3</v>
      </c>
      <c r="U319" s="69">
        <v>0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35">
      <c r="A320" s="1"/>
      <c r="B320" s="58">
        <v>42095</v>
      </c>
      <c r="C320" s="73">
        <v>0.38423932061823729</v>
      </c>
      <c r="D320" s="63" t="s">
        <v>338</v>
      </c>
      <c r="E320" s="65">
        <v>0.12</v>
      </c>
      <c r="F320" s="73">
        <v>0.27496933647058253</v>
      </c>
      <c r="G320" s="63" t="s">
        <v>338</v>
      </c>
      <c r="H320" s="74">
        <v>0.03</v>
      </c>
      <c r="I320" s="73">
        <v>0.50155082462928768</v>
      </c>
      <c r="J320" s="63" t="s">
        <v>338</v>
      </c>
      <c r="K320" s="65">
        <v>0.3</v>
      </c>
      <c r="L320" s="71">
        <v>0.29279063584696785</v>
      </c>
      <c r="M320" s="63" t="s">
        <v>338</v>
      </c>
      <c r="N320" s="74">
        <v>7.0000000000000007E-2</v>
      </c>
      <c r="O320" s="71">
        <v>0.54945442999015937</v>
      </c>
      <c r="P320" s="63" t="s">
        <v>338</v>
      </c>
      <c r="Q320" s="65">
        <v>0.3</v>
      </c>
      <c r="R320" s="71">
        <v>0.48417441502671532</v>
      </c>
      <c r="S320" s="63" t="s">
        <v>338</v>
      </c>
      <c r="T320" s="65">
        <v>0.18</v>
      </c>
      <c r="U320" s="69">
        <v>0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35">
      <c r="A321" s="1"/>
      <c r="B321" s="58">
        <v>42186</v>
      </c>
      <c r="C321" s="73">
        <v>0.17651182256488362</v>
      </c>
      <c r="D321" s="63" t="s">
        <v>338</v>
      </c>
      <c r="E321" s="65">
        <v>0.18</v>
      </c>
      <c r="F321" s="73">
        <v>0.18389853856331984</v>
      </c>
      <c r="G321" s="63" t="s">
        <v>338</v>
      </c>
      <c r="H321" s="74">
        <v>0.25</v>
      </c>
      <c r="I321" s="73">
        <v>0.22581313806281611</v>
      </c>
      <c r="J321" s="63" t="s">
        <v>338</v>
      </c>
      <c r="K321" s="65">
        <v>0.35</v>
      </c>
      <c r="L321" s="71">
        <v>0.16282162621747287</v>
      </c>
      <c r="M321" s="63" t="s">
        <v>338</v>
      </c>
      <c r="N321" s="74">
        <v>0.12</v>
      </c>
      <c r="O321" s="71">
        <v>8.2652298914452471E-2</v>
      </c>
      <c r="P321" s="63" t="s">
        <v>338</v>
      </c>
      <c r="Q321" s="65">
        <v>0.03</v>
      </c>
      <c r="R321" s="71">
        <v>9.5175879072219249E-2</v>
      </c>
      <c r="S321" s="63" t="s">
        <v>338</v>
      </c>
      <c r="T321" s="65">
        <v>7.0000000000000007E-2</v>
      </c>
      <c r="U321" s="69">
        <v>0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35">
      <c r="A322" s="1"/>
      <c r="B322" s="58">
        <v>42278</v>
      </c>
      <c r="C322" s="73">
        <v>0.1678946595670574</v>
      </c>
      <c r="D322" s="63" t="s">
        <v>338</v>
      </c>
      <c r="E322" s="65">
        <v>0.18</v>
      </c>
      <c r="F322" s="73">
        <v>2.7364088587523261E-2</v>
      </c>
      <c r="G322" s="63" t="s">
        <v>338</v>
      </c>
      <c r="H322" s="74">
        <v>0.03</v>
      </c>
      <c r="I322" s="73">
        <v>0.10462121587265405</v>
      </c>
      <c r="J322" s="63" t="s">
        <v>338</v>
      </c>
      <c r="K322" s="65">
        <v>7.0000000000000007E-2</v>
      </c>
      <c r="L322" s="71">
        <v>0.18469480318702791</v>
      </c>
      <c r="M322" s="63" t="s">
        <v>338</v>
      </c>
      <c r="N322" s="74">
        <v>0.3</v>
      </c>
      <c r="O322" s="71">
        <v>0.12694847771310802</v>
      </c>
      <c r="P322" s="63" t="s">
        <v>338</v>
      </c>
      <c r="Q322" s="65">
        <v>0.12</v>
      </c>
      <c r="R322" s="71">
        <v>0.18886744305624092</v>
      </c>
      <c r="S322" s="63" t="s">
        <v>338</v>
      </c>
      <c r="T322" s="65">
        <v>0.3</v>
      </c>
      <c r="U322" s="69">
        <v>0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35">
      <c r="A323" s="1"/>
      <c r="B323" s="58">
        <v>42370</v>
      </c>
      <c r="C323" s="73">
        <v>0.25758420409696869</v>
      </c>
      <c r="D323" s="63" t="s">
        <v>338</v>
      </c>
      <c r="E323" s="65">
        <v>0.18</v>
      </c>
      <c r="F323" s="73">
        <v>3.1323497241845022E-2</v>
      </c>
      <c r="G323" s="68" t="s">
        <v>339</v>
      </c>
      <c r="H323" s="74">
        <v>0.03</v>
      </c>
      <c r="I323" s="73">
        <v>0.14491372471558406</v>
      </c>
      <c r="J323" s="63" t="s">
        <v>338</v>
      </c>
      <c r="K323" s="65">
        <v>7.0000000000000007E-2</v>
      </c>
      <c r="L323" s="71">
        <v>0.14872586300466151</v>
      </c>
      <c r="M323" s="63" t="s">
        <v>338</v>
      </c>
      <c r="N323" s="74">
        <v>0.12</v>
      </c>
      <c r="O323" s="71">
        <v>0.35519528924655752</v>
      </c>
      <c r="P323" s="63" t="s">
        <v>338</v>
      </c>
      <c r="Q323" s="65">
        <v>0.3</v>
      </c>
      <c r="R323" s="71">
        <v>0.30311089724502072</v>
      </c>
      <c r="S323" s="63" t="s">
        <v>338</v>
      </c>
      <c r="T323" s="65">
        <v>0.3</v>
      </c>
      <c r="U323" s="69">
        <v>0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35">
      <c r="A324" s="1"/>
      <c r="B324" s="58">
        <v>42461</v>
      </c>
      <c r="C324" s="70">
        <v>-4.5249544412128473E-2</v>
      </c>
      <c r="D324" s="68" t="s">
        <v>339</v>
      </c>
      <c r="E324" s="65">
        <v>0.1</v>
      </c>
      <c r="F324" s="70">
        <v>-7.0111211297775644E-2</v>
      </c>
      <c r="G324" s="68" t="s">
        <v>339</v>
      </c>
      <c r="H324" s="74">
        <v>7.0000000000000007E-2</v>
      </c>
      <c r="I324" s="70">
        <v>-9.8406710370828154E-2</v>
      </c>
      <c r="J324" s="68" t="s">
        <v>339</v>
      </c>
      <c r="K324" s="65">
        <v>0.03</v>
      </c>
      <c r="L324" s="72">
        <v>-1.613695834657991E-2</v>
      </c>
      <c r="M324" s="63" t="s">
        <v>338</v>
      </c>
      <c r="N324" s="74">
        <v>0.35</v>
      </c>
      <c r="O324" s="72">
        <v>-1.2650917486621283E-2</v>
      </c>
      <c r="P324" s="63" t="s">
        <v>338</v>
      </c>
      <c r="Q324" s="65">
        <v>0.3</v>
      </c>
      <c r="R324" s="72">
        <v>-5.9078636894721925E-2</v>
      </c>
      <c r="S324" s="63" t="s">
        <v>338</v>
      </c>
      <c r="T324" s="65">
        <v>0.15</v>
      </c>
      <c r="U324" s="69">
        <v>0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35">
      <c r="A325" s="1"/>
      <c r="B325" s="58">
        <v>42552</v>
      </c>
      <c r="C325" s="70">
        <v>-0.16094470934653271</v>
      </c>
      <c r="D325" s="68" t="s">
        <v>339</v>
      </c>
      <c r="E325" s="65">
        <v>7.0000000000000007E-2</v>
      </c>
      <c r="F325" s="70">
        <v>-0.12786006703844532</v>
      </c>
      <c r="G325" s="68" t="s">
        <v>339</v>
      </c>
      <c r="H325" s="74">
        <v>0.1</v>
      </c>
      <c r="I325" s="70">
        <v>-0.16585023010271793</v>
      </c>
      <c r="J325" s="68" t="s">
        <v>339</v>
      </c>
      <c r="K325" s="65">
        <v>0.03</v>
      </c>
      <c r="L325" s="71">
        <v>1.7507012094807317E-2</v>
      </c>
      <c r="M325" s="68" t="s">
        <v>339</v>
      </c>
      <c r="N325" s="74">
        <v>0.1</v>
      </c>
      <c r="O325" s="72">
        <v>-9.1352675185837007E-2</v>
      </c>
      <c r="P325" s="68" t="s">
        <v>339</v>
      </c>
      <c r="Q325" s="65">
        <v>0.1</v>
      </c>
      <c r="R325" s="72">
        <v>-5.8818222847760615E-2</v>
      </c>
      <c r="S325" s="68" t="s">
        <v>339</v>
      </c>
      <c r="T325" s="65">
        <v>0.1</v>
      </c>
      <c r="U325" s="69">
        <v>0.5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35">
      <c r="A326" s="1"/>
      <c r="B326" s="58">
        <v>42644</v>
      </c>
      <c r="C326" s="70">
        <v>-5.1210429836299642E-2</v>
      </c>
      <c r="D326" s="68" t="s">
        <v>339</v>
      </c>
      <c r="E326" s="65">
        <v>7.0000000000000007E-2</v>
      </c>
      <c r="F326" s="70">
        <v>-1.4490728074282533E-2</v>
      </c>
      <c r="G326" s="63" t="s">
        <v>338</v>
      </c>
      <c r="H326" s="74">
        <v>0.4</v>
      </c>
      <c r="I326" s="73">
        <v>1.1982111005660823E-2</v>
      </c>
      <c r="J326" s="68" t="s">
        <v>339</v>
      </c>
      <c r="K326" s="65">
        <v>0.1</v>
      </c>
      <c r="L326" s="72">
        <v>-3.7528447055294012E-2</v>
      </c>
      <c r="M326" s="68" t="s">
        <v>339</v>
      </c>
      <c r="N326" s="74">
        <v>0.1</v>
      </c>
      <c r="O326" s="72">
        <v>-6.7030673116916462E-2</v>
      </c>
      <c r="P326" s="68" t="s">
        <v>339</v>
      </c>
      <c r="Q326" s="65">
        <v>0.03</v>
      </c>
      <c r="R326" s="72">
        <v>-5.0987904092589909E-2</v>
      </c>
      <c r="S326" s="68" t="s">
        <v>339</v>
      </c>
      <c r="T326" s="65">
        <v>0.1</v>
      </c>
      <c r="U326" s="69">
        <v>0.2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35">
      <c r="A327" s="1"/>
      <c r="B327" s="58">
        <v>42736</v>
      </c>
      <c r="C327" s="73">
        <v>7.2813895569204146E-2</v>
      </c>
      <c r="D327" s="63" t="s">
        <v>338</v>
      </c>
      <c r="E327" s="65">
        <v>0.3</v>
      </c>
      <c r="F327" s="73">
        <v>2.4629831434133553E-2</v>
      </c>
      <c r="G327" s="68" t="s">
        <v>339</v>
      </c>
      <c r="H327" s="74">
        <v>0.1</v>
      </c>
      <c r="I327" s="73">
        <v>0.1794468026558349</v>
      </c>
      <c r="J327" s="63" t="s">
        <v>338</v>
      </c>
      <c r="K327" s="65">
        <v>0.4</v>
      </c>
      <c r="L327" s="72">
        <v>-0.12427607191664547</v>
      </c>
      <c r="M327" s="68" t="s">
        <v>339</v>
      </c>
      <c r="N327" s="74">
        <v>7.0000000000000007E-2</v>
      </c>
      <c r="O327" s="72">
        <v>-6.3941689366761922E-2</v>
      </c>
      <c r="P327" s="68" t="s">
        <v>339</v>
      </c>
      <c r="Q327" s="65">
        <v>0.1</v>
      </c>
      <c r="R327" s="72">
        <v>-0.137458244369833</v>
      </c>
      <c r="S327" s="68" t="s">
        <v>339</v>
      </c>
      <c r="T327" s="65">
        <v>0.03</v>
      </c>
      <c r="U327" s="69">
        <v>0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35">
      <c r="A328" s="1"/>
      <c r="B328" s="58">
        <v>42826</v>
      </c>
      <c r="C328" s="73">
        <v>5.3858705442604293E-2</v>
      </c>
      <c r="D328" s="63" t="s">
        <v>338</v>
      </c>
      <c r="E328" s="65">
        <v>0.25</v>
      </c>
      <c r="F328" s="73">
        <v>1.7157704949879005E-2</v>
      </c>
      <c r="G328" s="63" t="s">
        <v>338</v>
      </c>
      <c r="H328" s="74">
        <v>0.18</v>
      </c>
      <c r="I328" s="73">
        <v>7.0447032312446423E-2</v>
      </c>
      <c r="J328" s="63" t="s">
        <v>338</v>
      </c>
      <c r="K328" s="65">
        <v>0.37</v>
      </c>
      <c r="L328" s="72">
        <v>-8.196937080079425E-2</v>
      </c>
      <c r="M328" s="68" t="s">
        <v>339</v>
      </c>
      <c r="N328" s="74">
        <v>7.0000000000000007E-2</v>
      </c>
      <c r="O328" s="72">
        <v>-7.9123726018191731E-2</v>
      </c>
      <c r="P328" s="68" t="s">
        <v>339</v>
      </c>
      <c r="Q328" s="65">
        <v>0.1</v>
      </c>
      <c r="R328" s="72">
        <v>-0.15112188253623982</v>
      </c>
      <c r="S328" s="68" t="s">
        <v>339</v>
      </c>
      <c r="T328" s="65">
        <v>0.03</v>
      </c>
      <c r="U328" s="69">
        <v>0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35">
      <c r="A329" s="1"/>
      <c r="B329" s="58">
        <v>42917</v>
      </c>
      <c r="C329" s="73">
        <v>9.8993625570586552E-2</v>
      </c>
      <c r="D329" s="63" t="s">
        <v>338</v>
      </c>
      <c r="E329" s="65">
        <v>0.25</v>
      </c>
      <c r="F329" s="73">
        <v>0.20033049317824592</v>
      </c>
      <c r="G329" s="63" t="s">
        <v>338</v>
      </c>
      <c r="H329" s="74">
        <v>0.35</v>
      </c>
      <c r="I329" s="73">
        <v>6.1063154527047026E-2</v>
      </c>
      <c r="J329" s="63" t="s">
        <v>338</v>
      </c>
      <c r="K329" s="65">
        <v>7.0000000000000007E-2</v>
      </c>
      <c r="L329" s="71">
        <v>9.5378850231250922E-2</v>
      </c>
      <c r="M329" s="63" t="s">
        <v>338</v>
      </c>
      <c r="N329" s="74">
        <v>0.18</v>
      </c>
      <c r="O329" s="71">
        <v>2.4046220656288364E-2</v>
      </c>
      <c r="P329" s="63" t="s">
        <v>338</v>
      </c>
      <c r="Q329" s="65">
        <v>0.03</v>
      </c>
      <c r="R329" s="71">
        <v>6.6474602344087641E-2</v>
      </c>
      <c r="S329" s="63" t="s">
        <v>338</v>
      </c>
      <c r="T329" s="65">
        <v>0.12</v>
      </c>
      <c r="U329" s="69">
        <v>0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35">
      <c r="A330" s="1"/>
      <c r="B330" s="58">
        <v>43009</v>
      </c>
      <c r="C330" s="73">
        <v>7.6645746158085837E-2</v>
      </c>
      <c r="D330" s="63" t="s">
        <v>338</v>
      </c>
      <c r="E330" s="65">
        <v>0.18</v>
      </c>
      <c r="F330" s="73">
        <v>0.14863305680701178</v>
      </c>
      <c r="G330" s="63" t="s">
        <v>338</v>
      </c>
      <c r="H330" s="74">
        <v>0.35</v>
      </c>
      <c r="I330" s="73">
        <v>8.8401175530932186E-2</v>
      </c>
      <c r="J330" s="63" t="s">
        <v>338</v>
      </c>
      <c r="K330" s="65">
        <v>0.25</v>
      </c>
      <c r="L330" s="71">
        <v>3.4855497671328006E-2</v>
      </c>
      <c r="M330" s="63" t="s">
        <v>338</v>
      </c>
      <c r="N330" s="74">
        <v>7.0000000000000007E-2</v>
      </c>
      <c r="O330" s="71">
        <v>1.5883060523673054E-2</v>
      </c>
      <c r="P330" s="68" t="s">
        <v>339</v>
      </c>
      <c r="Q330" s="65">
        <v>0.03</v>
      </c>
      <c r="R330" s="71">
        <v>4.3639405295672562E-2</v>
      </c>
      <c r="S330" s="63" t="s">
        <v>338</v>
      </c>
      <c r="T330" s="65">
        <v>0.12</v>
      </c>
      <c r="U330" s="69">
        <v>0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35">
      <c r="A331" s="1"/>
      <c r="B331" s="58">
        <v>43101</v>
      </c>
      <c r="C331" s="73">
        <v>0.10586721928886123</v>
      </c>
      <c r="D331" s="63" t="s">
        <v>338</v>
      </c>
      <c r="E331" s="65">
        <v>0.25</v>
      </c>
      <c r="F331" s="73">
        <v>0.14126034035769619</v>
      </c>
      <c r="G331" s="63" t="s">
        <v>338</v>
      </c>
      <c r="H331" s="74">
        <v>0.35</v>
      </c>
      <c r="I331" s="73">
        <v>8.4658588348770714E-2</v>
      </c>
      <c r="J331" s="63" t="s">
        <v>338</v>
      </c>
      <c r="K331" s="65">
        <v>0.18</v>
      </c>
      <c r="L331" s="71">
        <v>5.2118242309941998E-2</v>
      </c>
      <c r="M331" s="63" t="s">
        <v>338</v>
      </c>
      <c r="N331" s="74">
        <v>0.12</v>
      </c>
      <c r="O331" s="72">
        <v>-6.1381440149133049E-4</v>
      </c>
      <c r="P331" s="63" t="s">
        <v>338</v>
      </c>
      <c r="Q331" s="65">
        <v>0.03</v>
      </c>
      <c r="R331" s="71">
        <v>1.6443659573340819E-2</v>
      </c>
      <c r="S331" s="63" t="s">
        <v>338</v>
      </c>
      <c r="T331" s="65">
        <v>0.12</v>
      </c>
      <c r="U331" s="69">
        <v>0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35">
      <c r="A332" s="1"/>
      <c r="B332" s="58">
        <v>43191</v>
      </c>
      <c r="C332" s="73">
        <v>9.3764349807197833E-2</v>
      </c>
      <c r="D332" s="63" t="s">
        <v>338</v>
      </c>
      <c r="E332" s="65">
        <v>0.25</v>
      </c>
      <c r="F332" s="73">
        <v>0.12423594012407002</v>
      </c>
      <c r="G332" s="63" t="s">
        <v>338</v>
      </c>
      <c r="H332" s="74">
        <v>0.35</v>
      </c>
      <c r="I332" s="73">
        <v>6.9222218201085983E-2</v>
      </c>
      <c r="J332" s="63" t="s">
        <v>338</v>
      </c>
      <c r="K332" s="65">
        <v>0.12</v>
      </c>
      <c r="L332" s="71">
        <v>8.0402307849786636E-2</v>
      </c>
      <c r="M332" s="63" t="s">
        <v>338</v>
      </c>
      <c r="N332" s="74">
        <v>0.18</v>
      </c>
      <c r="O332" s="72">
        <v>-5.2243755315417362E-2</v>
      </c>
      <c r="P332" s="68" t="s">
        <v>339</v>
      </c>
      <c r="Q332" s="65">
        <v>0.03</v>
      </c>
      <c r="R332" s="71">
        <v>1.9677229177694766E-2</v>
      </c>
      <c r="S332" s="63" t="s">
        <v>338</v>
      </c>
      <c r="T332" s="65">
        <v>7.0000000000000007E-2</v>
      </c>
      <c r="U332" s="69">
        <v>0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35">
      <c r="A333" s="1"/>
      <c r="B333" s="58">
        <v>43282</v>
      </c>
      <c r="C333" s="73">
        <v>0.18548174337267032</v>
      </c>
      <c r="D333" s="63" t="s">
        <v>338</v>
      </c>
      <c r="E333" s="65">
        <v>0.25</v>
      </c>
      <c r="F333" s="73">
        <v>7.1991713480578756E-2</v>
      </c>
      <c r="G333" s="63" t="s">
        <v>338</v>
      </c>
      <c r="H333" s="74">
        <v>0.03</v>
      </c>
      <c r="I333" s="73">
        <v>0.25255664050033677</v>
      </c>
      <c r="J333" s="63" t="s">
        <v>338</v>
      </c>
      <c r="K333" s="65">
        <v>0.35</v>
      </c>
      <c r="L333" s="71">
        <v>0.12090720935782739</v>
      </c>
      <c r="M333" s="63" t="s">
        <v>338</v>
      </c>
      <c r="N333" s="74">
        <v>0.12</v>
      </c>
      <c r="O333" s="71">
        <v>0.14445240036510687</v>
      </c>
      <c r="P333" s="63" t="s">
        <v>338</v>
      </c>
      <c r="Q333" s="65">
        <v>0.18</v>
      </c>
      <c r="R333" s="71">
        <v>0.11882661607895639</v>
      </c>
      <c r="S333" s="63" t="s">
        <v>338</v>
      </c>
      <c r="T333" s="65">
        <v>7.0000000000000007E-2</v>
      </c>
      <c r="U333" s="69">
        <v>0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35">
      <c r="A334" s="1"/>
      <c r="B334" s="58">
        <v>43374</v>
      </c>
      <c r="C334" s="73">
        <v>0.33354674323958244</v>
      </c>
      <c r="D334" s="63" t="s">
        <v>338</v>
      </c>
      <c r="E334" s="65">
        <v>0.25</v>
      </c>
      <c r="F334" s="73">
        <v>7.4218689975976471E-2</v>
      </c>
      <c r="G334" s="63" t="s">
        <v>338</v>
      </c>
      <c r="H334" s="74">
        <v>0.03</v>
      </c>
      <c r="I334" s="73">
        <v>0.34158032307415853</v>
      </c>
      <c r="J334" s="63" t="s">
        <v>338</v>
      </c>
      <c r="K334" s="65">
        <v>0.35</v>
      </c>
      <c r="L334" s="71">
        <v>8.5721534303906832E-2</v>
      </c>
      <c r="M334" s="63" t="s">
        <v>338</v>
      </c>
      <c r="N334" s="74">
        <v>7.0000000000000007E-2</v>
      </c>
      <c r="O334" s="71">
        <v>0.29184054087208544</v>
      </c>
      <c r="P334" s="63" t="s">
        <v>338</v>
      </c>
      <c r="Q334" s="65">
        <v>0.18</v>
      </c>
      <c r="R334" s="71">
        <v>0.16268847029646749</v>
      </c>
      <c r="S334" s="63" t="s">
        <v>338</v>
      </c>
      <c r="T334" s="65">
        <v>0.12</v>
      </c>
      <c r="U334" s="69">
        <v>0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35">
      <c r="A335" s="1"/>
      <c r="B335" s="58">
        <v>43466</v>
      </c>
      <c r="C335" s="70">
        <v>-7.3299225074041408E-2</v>
      </c>
      <c r="D335" s="68" t="s">
        <v>339</v>
      </c>
      <c r="E335" s="65">
        <v>0.1</v>
      </c>
      <c r="F335" s="70">
        <v>-9.4095690177996127E-2</v>
      </c>
      <c r="G335" s="68" t="s">
        <v>339</v>
      </c>
      <c r="H335" s="74">
        <v>7.0000000000000007E-2</v>
      </c>
      <c r="I335" s="70">
        <v>-0.17843548592301717</v>
      </c>
      <c r="J335" s="68" t="s">
        <v>339</v>
      </c>
      <c r="K335" s="65">
        <v>0.03</v>
      </c>
      <c r="L335" s="71">
        <v>2.8798506386796152E-2</v>
      </c>
      <c r="M335" s="63" t="s">
        <v>338</v>
      </c>
      <c r="N335" s="74">
        <v>0.35</v>
      </c>
      <c r="O335" s="72">
        <v>-8.005751695405483E-2</v>
      </c>
      <c r="P335" s="68" t="s">
        <v>339</v>
      </c>
      <c r="Q335" s="65">
        <v>0.1</v>
      </c>
      <c r="R335" s="71">
        <v>3.0523989380599748E-3</v>
      </c>
      <c r="S335" s="63" t="s">
        <v>338</v>
      </c>
      <c r="T335" s="65">
        <v>0.3</v>
      </c>
      <c r="U335" s="69">
        <v>0.05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35">
      <c r="A336" s="1"/>
      <c r="B336" s="58">
        <v>43556</v>
      </c>
      <c r="C336" s="70">
        <v>-5.4575318835277553E-2</v>
      </c>
      <c r="D336" s="63" t="s">
        <v>338</v>
      </c>
      <c r="E336" s="65">
        <v>7.0000000000000007E-2</v>
      </c>
      <c r="F336" s="70">
        <v>-2.7908129165115203E-2</v>
      </c>
      <c r="G336" s="63" t="s">
        <v>338</v>
      </c>
      <c r="H336" s="74">
        <v>0.12</v>
      </c>
      <c r="I336" s="70">
        <v>-0.11714736327709419</v>
      </c>
      <c r="J336" s="68" t="s">
        <v>339</v>
      </c>
      <c r="K336" s="65">
        <v>0.03</v>
      </c>
      <c r="L336" s="71">
        <v>5.4933665056304148E-2</v>
      </c>
      <c r="M336" s="63" t="s">
        <v>338</v>
      </c>
      <c r="N336" s="74">
        <v>0.35</v>
      </c>
      <c r="O336" s="71">
        <v>4.7087242044586475E-2</v>
      </c>
      <c r="P336" s="63" t="s">
        <v>338</v>
      </c>
      <c r="Q336" s="65">
        <v>0.18</v>
      </c>
      <c r="R336" s="71">
        <v>4.791363289882522E-2</v>
      </c>
      <c r="S336" s="63" t="s">
        <v>338</v>
      </c>
      <c r="T336" s="65">
        <v>0.25</v>
      </c>
      <c r="U336" s="69">
        <v>0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35">
      <c r="A337" s="1"/>
      <c r="B337" s="58">
        <v>43647</v>
      </c>
      <c r="C337" s="73">
        <v>0.15495233632252625</v>
      </c>
      <c r="D337" s="63" t="s">
        <v>338</v>
      </c>
      <c r="E337" s="65">
        <v>0.35</v>
      </c>
      <c r="F337" s="73">
        <v>8.1203113991403342E-2</v>
      </c>
      <c r="G337" s="63" t="s">
        <v>338</v>
      </c>
      <c r="H337" s="74">
        <v>7.0000000000000007E-2</v>
      </c>
      <c r="I337" s="73">
        <v>0.14298901254356799</v>
      </c>
      <c r="J337" s="63" t="s">
        <v>338</v>
      </c>
      <c r="K337" s="65">
        <v>0.18</v>
      </c>
      <c r="L337" s="71">
        <v>8.1691080331500743E-2</v>
      </c>
      <c r="M337" s="63" t="s">
        <v>338</v>
      </c>
      <c r="N337" s="74">
        <v>0.12</v>
      </c>
      <c r="O337" s="71">
        <v>0.15354664481309577</v>
      </c>
      <c r="P337" s="63" t="s">
        <v>338</v>
      </c>
      <c r="Q337" s="65">
        <v>0.25</v>
      </c>
      <c r="R337" s="71">
        <v>7.5693967019200503E-2</v>
      </c>
      <c r="S337" s="63" t="s">
        <v>338</v>
      </c>
      <c r="T337" s="65">
        <v>0.03</v>
      </c>
      <c r="U337" s="69">
        <v>0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35">
      <c r="A338" s="1"/>
      <c r="B338" s="58">
        <v>43739</v>
      </c>
      <c r="C338" s="73">
        <v>0.12007992110369314</v>
      </c>
      <c r="D338" s="63" t="s">
        <v>338</v>
      </c>
      <c r="E338" s="65">
        <v>0.12</v>
      </c>
      <c r="F338" s="73">
        <v>1.5578277402953145E-2</v>
      </c>
      <c r="G338" s="63" t="s">
        <v>338</v>
      </c>
      <c r="H338" s="74">
        <v>0.03</v>
      </c>
      <c r="I338" s="73">
        <v>5.4303513973124051E-2</v>
      </c>
      <c r="J338" s="63" t="s">
        <v>338</v>
      </c>
      <c r="K338" s="65">
        <v>7.0000000000000007E-2</v>
      </c>
      <c r="L338" s="71">
        <v>0.21539823935554669</v>
      </c>
      <c r="M338" s="63" t="s">
        <v>338</v>
      </c>
      <c r="N338" s="74">
        <v>0.35</v>
      </c>
      <c r="O338" s="71">
        <v>0.14421275029116964</v>
      </c>
      <c r="P338" s="63" t="s">
        <v>338</v>
      </c>
      <c r="Q338" s="65">
        <v>0.18</v>
      </c>
      <c r="R338" s="71">
        <v>0.20681950663492854</v>
      </c>
      <c r="S338" s="63" t="s">
        <v>338</v>
      </c>
      <c r="T338" s="65">
        <v>0.25</v>
      </c>
      <c r="U338" s="69">
        <v>0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35">
      <c r="A339" s="1"/>
      <c r="B339" s="58">
        <v>43831</v>
      </c>
      <c r="C339" s="73">
        <v>0.15571123001902443</v>
      </c>
      <c r="D339" s="63" t="s">
        <v>338</v>
      </c>
      <c r="E339" s="65">
        <v>0.35</v>
      </c>
      <c r="F339" s="73">
        <v>0.10047284112911958</v>
      </c>
      <c r="G339" s="63" t="s">
        <v>338</v>
      </c>
      <c r="H339" s="74">
        <v>7.0000000000000007E-2</v>
      </c>
      <c r="I339" s="73">
        <v>0.12113581054214673</v>
      </c>
      <c r="J339" s="63" t="s">
        <v>338</v>
      </c>
      <c r="K339" s="65">
        <v>0.18</v>
      </c>
      <c r="L339" s="71">
        <v>0.13302516794860386</v>
      </c>
      <c r="M339" s="63" t="s">
        <v>338</v>
      </c>
      <c r="N339" s="74">
        <v>0.25</v>
      </c>
      <c r="O339" s="71">
        <v>0.11711169797719512</v>
      </c>
      <c r="P339" s="63" t="s">
        <v>338</v>
      </c>
      <c r="Q339" s="65">
        <v>0.12</v>
      </c>
      <c r="R339" s="71">
        <v>7.3526639435558039E-2</v>
      </c>
      <c r="S339" s="63" t="s">
        <v>338</v>
      </c>
      <c r="T339" s="65">
        <v>0.03</v>
      </c>
      <c r="U339" s="69">
        <v>0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35">
      <c r="A340" s="1"/>
      <c r="B340" s="58">
        <v>43922</v>
      </c>
      <c r="C340" s="73">
        <v>8.4012928406445253E-2</v>
      </c>
      <c r="D340" s="63" t="s">
        <v>338</v>
      </c>
      <c r="E340" s="65">
        <v>0.18</v>
      </c>
      <c r="F340" s="73">
        <v>4.2622182229825167E-2</v>
      </c>
      <c r="G340" s="63" t="s">
        <v>338</v>
      </c>
      <c r="H340" s="74">
        <v>0.12</v>
      </c>
      <c r="I340" s="70">
        <v>-5.5735021974493315E-2</v>
      </c>
      <c r="J340" s="68" t="s">
        <v>339</v>
      </c>
      <c r="K340" s="65">
        <v>7.0000000000000007E-2</v>
      </c>
      <c r="L340" s="71">
        <v>0.3356415203672809</v>
      </c>
      <c r="M340" s="63" t="s">
        <v>338</v>
      </c>
      <c r="N340" s="74">
        <v>0.3</v>
      </c>
      <c r="O340" s="72">
        <v>-6.4892371429134621E-2</v>
      </c>
      <c r="P340" s="68" t="s">
        <v>339</v>
      </c>
      <c r="Q340" s="65">
        <v>0.03</v>
      </c>
      <c r="R340" s="71">
        <v>0.43958862578731384</v>
      </c>
      <c r="S340" s="63" t="s">
        <v>338</v>
      </c>
      <c r="T340" s="65">
        <v>0.3</v>
      </c>
      <c r="U340" s="69">
        <v>0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35">
      <c r="A341" s="1"/>
      <c r="B341" s="58">
        <v>44013</v>
      </c>
      <c r="C341" s="73">
        <v>0.2901249164580928</v>
      </c>
      <c r="D341" s="63" t="s">
        <v>338</v>
      </c>
      <c r="E341" s="65">
        <v>0.18</v>
      </c>
      <c r="F341" s="73">
        <v>0.19821188943106982</v>
      </c>
      <c r="G341" s="63" t="s">
        <v>338</v>
      </c>
      <c r="H341" s="74">
        <v>0.12</v>
      </c>
      <c r="I341" s="73">
        <v>0.16185027278605979</v>
      </c>
      <c r="J341" s="63" t="s">
        <v>338</v>
      </c>
      <c r="K341" s="65">
        <v>7.0000000000000007E-2</v>
      </c>
      <c r="L341" s="71">
        <v>0.57895197604772353</v>
      </c>
      <c r="M341" s="63" t="s">
        <v>338</v>
      </c>
      <c r="N341" s="74">
        <v>0.3</v>
      </c>
      <c r="O341" s="71">
        <v>0.1376606707215553</v>
      </c>
      <c r="P341" s="63" t="s">
        <v>338</v>
      </c>
      <c r="Q341" s="65">
        <v>0.03</v>
      </c>
      <c r="R341" s="71">
        <v>0.62674056732748262</v>
      </c>
      <c r="S341" s="63" t="s">
        <v>338</v>
      </c>
      <c r="T341" s="65">
        <v>0.3</v>
      </c>
      <c r="U341" s="69">
        <v>0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35">
      <c r="A342" s="1"/>
      <c r="B342" s="58">
        <v>44105</v>
      </c>
      <c r="C342" s="73">
        <v>0.41092797532986625</v>
      </c>
      <c r="D342" s="63" t="s">
        <v>338</v>
      </c>
      <c r="E342" s="65">
        <v>0.25</v>
      </c>
      <c r="F342" s="73">
        <v>0.40087753631064471</v>
      </c>
      <c r="G342" s="63" t="s">
        <v>338</v>
      </c>
      <c r="H342" s="74">
        <v>0.18</v>
      </c>
      <c r="I342" s="73">
        <v>0.41899813731739166</v>
      </c>
      <c r="J342" s="63" t="s">
        <v>338</v>
      </c>
      <c r="K342" s="65">
        <v>0.35</v>
      </c>
      <c r="L342" s="71">
        <v>0.29795026576596362</v>
      </c>
      <c r="M342" s="63" t="s">
        <v>338</v>
      </c>
      <c r="N342" s="74">
        <v>7.0000000000000007E-2</v>
      </c>
      <c r="O342" s="71">
        <v>0.22583280280318752</v>
      </c>
      <c r="P342" s="63" t="s">
        <v>338</v>
      </c>
      <c r="Q342" s="65">
        <v>0.12</v>
      </c>
      <c r="R342" s="71">
        <v>7.3053398227868271E-2</v>
      </c>
      <c r="S342" s="63" t="s">
        <v>338</v>
      </c>
      <c r="T342" s="65">
        <v>0.03</v>
      </c>
      <c r="U342" s="69">
        <v>0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35">
      <c r="A343" s="1"/>
      <c r="B343" s="58">
        <v>44197</v>
      </c>
      <c r="C343" s="73">
        <v>0.16531293838642025</v>
      </c>
      <c r="D343" s="63" t="s">
        <v>338</v>
      </c>
      <c r="E343" s="65">
        <v>0.18</v>
      </c>
      <c r="F343" s="73">
        <v>0.242781323431708</v>
      </c>
      <c r="G343" s="63" t="s">
        <v>338</v>
      </c>
      <c r="H343" s="74">
        <v>0.25</v>
      </c>
      <c r="I343" s="73">
        <v>0.31707020807773656</v>
      </c>
      <c r="J343" s="63" t="s">
        <v>338</v>
      </c>
      <c r="K343" s="65">
        <v>0.35</v>
      </c>
      <c r="L343" s="71">
        <v>2.4467284161321823E-2</v>
      </c>
      <c r="M343" s="63" t="s">
        <v>338</v>
      </c>
      <c r="N343" s="74">
        <v>7.0000000000000007E-2</v>
      </c>
      <c r="O343" s="71">
        <v>4.0301185881969737E-2</v>
      </c>
      <c r="P343" s="63" t="s">
        <v>338</v>
      </c>
      <c r="Q343" s="65">
        <v>0.12</v>
      </c>
      <c r="R343" s="72">
        <v>-7.459223483377353E-2</v>
      </c>
      <c r="S343" s="68" t="s">
        <v>339</v>
      </c>
      <c r="T343" s="65">
        <v>0.03</v>
      </c>
      <c r="U343" s="69">
        <v>0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35">
      <c r="A344" s="1"/>
      <c r="B344" s="58">
        <v>44287</v>
      </c>
      <c r="C344" s="73">
        <v>0.21095240819165495</v>
      </c>
      <c r="D344" s="63" t="s">
        <v>338</v>
      </c>
      <c r="E344" s="65">
        <v>0.18</v>
      </c>
      <c r="F344" s="73">
        <v>0.23997705964531058</v>
      </c>
      <c r="G344" s="63" t="s">
        <v>338</v>
      </c>
      <c r="H344" s="74">
        <v>0.25</v>
      </c>
      <c r="I344" s="73">
        <v>0.51201273325619434</v>
      </c>
      <c r="J344" s="63" t="s">
        <v>338</v>
      </c>
      <c r="K344" s="65">
        <v>0.35</v>
      </c>
      <c r="L344" s="72">
        <v>-7.1629348537441628E-2</v>
      </c>
      <c r="M344" s="68" t="s">
        <v>339</v>
      </c>
      <c r="N344" s="74">
        <v>7.0000000000000007E-2</v>
      </c>
      <c r="O344" s="71">
        <v>0.19241220052751884</v>
      </c>
      <c r="P344" s="63" t="s">
        <v>338</v>
      </c>
      <c r="Q344" s="65">
        <v>0.12</v>
      </c>
      <c r="R344" s="72">
        <v>-0.14958923897524012</v>
      </c>
      <c r="S344" s="68" t="s">
        <v>339</v>
      </c>
      <c r="T344" s="65">
        <v>0.03</v>
      </c>
      <c r="U344" s="69">
        <v>0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35">
      <c r="A345" s="1"/>
      <c r="B345" s="58">
        <v>44378</v>
      </c>
      <c r="C345" s="73">
        <v>9.0802240818677271E-2</v>
      </c>
      <c r="D345" s="63" t="s">
        <v>338</v>
      </c>
      <c r="E345" s="65">
        <v>0.18</v>
      </c>
      <c r="F345" s="73">
        <v>1.7623176955842146E-2</v>
      </c>
      <c r="G345" s="68" t="s">
        <v>339</v>
      </c>
      <c r="H345" s="74">
        <v>0.1</v>
      </c>
      <c r="I345" s="73">
        <v>0.11538546366902014</v>
      </c>
      <c r="J345" s="63" t="s">
        <v>338</v>
      </c>
      <c r="K345" s="65">
        <v>0.32</v>
      </c>
      <c r="L345" s="72">
        <v>-0.11076088018787933</v>
      </c>
      <c r="M345" s="68" t="s">
        <v>339</v>
      </c>
      <c r="N345" s="74">
        <v>7.0000000000000007E-2</v>
      </c>
      <c r="O345" s="71">
        <v>0.14259321286695625</v>
      </c>
      <c r="P345" s="63" t="s">
        <v>338</v>
      </c>
      <c r="Q345" s="65">
        <v>0.3</v>
      </c>
      <c r="R345" s="72">
        <v>-0.12738325365390712</v>
      </c>
      <c r="S345" s="68" t="s">
        <v>339</v>
      </c>
      <c r="T345" s="65">
        <v>0.03</v>
      </c>
      <c r="U345" s="69">
        <v>0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35">
      <c r="A346" s="1"/>
      <c r="B346" s="58">
        <v>44470</v>
      </c>
      <c r="C346" s="73">
        <v>1.7054881835676605E-2</v>
      </c>
      <c r="D346" s="63" t="s">
        <v>338</v>
      </c>
      <c r="E346" s="65">
        <v>0.3</v>
      </c>
      <c r="F346" s="70">
        <v>-0.11407686609735734</v>
      </c>
      <c r="G346" s="68" t="s">
        <v>339</v>
      </c>
      <c r="H346" s="74">
        <v>0.03</v>
      </c>
      <c r="I346" s="70">
        <v>-7.1323830331839089E-2</v>
      </c>
      <c r="J346" s="63" t="s">
        <v>338</v>
      </c>
      <c r="K346" s="65">
        <v>7.0000000000000007E-2</v>
      </c>
      <c r="L346" s="72">
        <v>-3.4982681765938772E-2</v>
      </c>
      <c r="M346" s="68" t="s">
        <v>339</v>
      </c>
      <c r="N346" s="74">
        <v>0.12</v>
      </c>
      <c r="O346" s="71">
        <v>3.9344960371508808E-2</v>
      </c>
      <c r="P346" s="63" t="s">
        <v>338</v>
      </c>
      <c r="Q346" s="65">
        <v>0.3</v>
      </c>
      <c r="R346" s="72">
        <v>-4.4317469026533551E-4</v>
      </c>
      <c r="S346" s="63" t="s">
        <v>338</v>
      </c>
      <c r="T346" s="65">
        <v>0.18</v>
      </c>
      <c r="U346" s="69">
        <v>0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35">
      <c r="A347" s="1"/>
      <c r="B347" s="58">
        <v>44562</v>
      </c>
      <c r="C347" s="73">
        <v>0.24690652440121652</v>
      </c>
      <c r="D347" s="63" t="s">
        <v>338</v>
      </c>
      <c r="E347" s="65">
        <v>0.3</v>
      </c>
      <c r="F347" s="70">
        <v>-4.3263102261423825E-3</v>
      </c>
      <c r="G347" s="68" t="s">
        <v>339</v>
      </c>
      <c r="H347" s="74">
        <v>0.03</v>
      </c>
      <c r="I347" s="73">
        <v>9.0403995897009981E-2</v>
      </c>
      <c r="J347" s="63" t="s">
        <v>338</v>
      </c>
      <c r="K347" s="65">
        <v>7.0000000000000007E-2</v>
      </c>
      <c r="L347" s="71">
        <v>0.16198192802468769</v>
      </c>
      <c r="M347" s="63" t="s">
        <v>338</v>
      </c>
      <c r="N347" s="74">
        <v>0.12</v>
      </c>
      <c r="O347" s="71">
        <v>0.28144550541491498</v>
      </c>
      <c r="P347" s="63" t="s">
        <v>338</v>
      </c>
      <c r="Q347" s="65">
        <v>0.3</v>
      </c>
      <c r="R347" s="71">
        <v>0.15402678966872174</v>
      </c>
      <c r="S347" s="63" t="s">
        <v>338</v>
      </c>
      <c r="T347" s="65">
        <v>0.18</v>
      </c>
      <c r="U347" s="69">
        <v>0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35">
      <c r="A348" s="1"/>
      <c r="B348" s="58">
        <v>44652</v>
      </c>
      <c r="C348" s="70">
        <v>-7.3561314594289606E-2</v>
      </c>
      <c r="D348" s="68" t="s">
        <v>339</v>
      </c>
      <c r="E348" s="65">
        <v>0.1</v>
      </c>
      <c r="F348" s="70">
        <v>-0.2106005133783424</v>
      </c>
      <c r="G348" s="68" t="s">
        <v>339</v>
      </c>
      <c r="H348" s="74">
        <v>0.03</v>
      </c>
      <c r="I348" s="70">
        <v>-0.17339943957414583</v>
      </c>
      <c r="J348" s="68" t="s">
        <v>339</v>
      </c>
      <c r="K348" s="65">
        <v>0.1</v>
      </c>
      <c r="L348" s="72">
        <v>-2.8708486490648832E-2</v>
      </c>
      <c r="M348" s="68" t="s">
        <v>339</v>
      </c>
      <c r="N348" s="74">
        <v>0.1</v>
      </c>
      <c r="O348" s="72">
        <v>-6.2031591635047678E-2</v>
      </c>
      <c r="P348" s="68" t="s">
        <v>339</v>
      </c>
      <c r="Q348" s="65">
        <v>0.1</v>
      </c>
      <c r="R348" s="72">
        <v>-0.19381555178426579</v>
      </c>
      <c r="S348" s="68" t="s">
        <v>339</v>
      </c>
      <c r="T348" s="65">
        <v>7.0000000000000007E-2</v>
      </c>
      <c r="U348" s="69">
        <v>0.5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35">
      <c r="A349" s="1"/>
      <c r="B349" s="58">
        <v>44743</v>
      </c>
      <c r="C349" s="70">
        <v>-0.26123490882311795</v>
      </c>
      <c r="D349" s="68" t="s">
        <v>339</v>
      </c>
      <c r="E349" s="65">
        <v>0.1</v>
      </c>
      <c r="F349" s="70">
        <v>-0.23652352699975365</v>
      </c>
      <c r="G349" s="68" t="s">
        <v>339</v>
      </c>
      <c r="H349" s="74">
        <v>0.1</v>
      </c>
      <c r="I349" s="70">
        <v>-0.29179524682781455</v>
      </c>
      <c r="J349" s="68" t="s">
        <v>339</v>
      </c>
      <c r="K349" s="65">
        <v>7.0000000000000007E-2</v>
      </c>
      <c r="L349" s="72">
        <v>-8.0820037929522304E-2</v>
      </c>
      <c r="M349" s="68" t="s">
        <v>339</v>
      </c>
      <c r="N349" s="74">
        <v>0.1</v>
      </c>
      <c r="O349" s="72">
        <v>-0.26951575771636371</v>
      </c>
      <c r="P349" s="68" t="s">
        <v>339</v>
      </c>
      <c r="Q349" s="65">
        <v>0.03</v>
      </c>
      <c r="R349" s="72">
        <v>-0.27887545132388392</v>
      </c>
      <c r="S349" s="68" t="s">
        <v>339</v>
      </c>
      <c r="T349" s="65">
        <v>0.1</v>
      </c>
      <c r="U349" s="69">
        <v>0.5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35">
      <c r="A350" s="1"/>
      <c r="B350" s="58">
        <v>44835</v>
      </c>
      <c r="C350" s="70">
        <v>-0.10453971600955614</v>
      </c>
      <c r="D350" s="68" t="s">
        <v>339</v>
      </c>
      <c r="E350" s="65">
        <v>0.1</v>
      </c>
      <c r="F350" s="70">
        <v>-0.12599641246837656</v>
      </c>
      <c r="G350" s="68" t="s">
        <v>339</v>
      </c>
      <c r="H350" s="74">
        <v>7.0000000000000007E-2</v>
      </c>
      <c r="I350" s="70">
        <v>-9.0844173026267128E-2</v>
      </c>
      <c r="J350" s="68" t="s">
        <v>339</v>
      </c>
      <c r="K350" s="65">
        <v>0.1</v>
      </c>
      <c r="L350" s="72">
        <v>-2.9584860479437869E-2</v>
      </c>
      <c r="M350" s="68" t="s">
        <v>339</v>
      </c>
      <c r="N350" s="74">
        <v>0.1</v>
      </c>
      <c r="O350" s="72">
        <v>-0.16300220095757112</v>
      </c>
      <c r="P350" s="68" t="s">
        <v>339</v>
      </c>
      <c r="Q350" s="65">
        <v>0.03</v>
      </c>
      <c r="R350" s="72">
        <v>-0.1223861355900514</v>
      </c>
      <c r="S350" s="68" t="s">
        <v>339</v>
      </c>
      <c r="T350" s="65">
        <v>0.1</v>
      </c>
      <c r="U350" s="69">
        <v>0.5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35">
      <c r="A351" s="1"/>
      <c r="B351" s="58">
        <v>44927</v>
      </c>
      <c r="C351" s="73">
        <v>3.4626990945310965E-2</v>
      </c>
      <c r="D351" s="68" t="s">
        <v>339</v>
      </c>
      <c r="E351" s="65">
        <v>0.1</v>
      </c>
      <c r="F351" s="70">
        <v>-3.5919979885604025E-2</v>
      </c>
      <c r="G351" s="68" t="s">
        <v>339</v>
      </c>
      <c r="H351" s="74">
        <v>0.1</v>
      </c>
      <c r="I351" s="73">
        <v>5.0163092963630751E-2</v>
      </c>
      <c r="J351" s="68" t="s">
        <v>339</v>
      </c>
      <c r="K351" s="65">
        <v>0.1</v>
      </c>
      <c r="L351" s="71">
        <v>2.8711080024936608E-2</v>
      </c>
      <c r="M351" s="63" t="s">
        <v>338</v>
      </c>
      <c r="N351" s="74">
        <v>0.35</v>
      </c>
      <c r="O351" s="72">
        <v>-7.6468356716677177E-2</v>
      </c>
      <c r="P351" s="68" t="s">
        <v>339</v>
      </c>
      <c r="Q351" s="65">
        <v>7.0000000000000007E-2</v>
      </c>
      <c r="R351" s="72">
        <v>-0.11585752495964941</v>
      </c>
      <c r="S351" s="68" t="s">
        <v>339</v>
      </c>
      <c r="T351" s="65">
        <v>0.03</v>
      </c>
      <c r="U351" s="69">
        <v>0.25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35">
      <c r="A352" s="1"/>
      <c r="B352" s="58">
        <v>45017</v>
      </c>
      <c r="C352" s="73">
        <v>8.1667935362072397E-2</v>
      </c>
      <c r="D352" s="63" t="s">
        <v>338</v>
      </c>
      <c r="E352" s="65">
        <v>0.35</v>
      </c>
      <c r="F352" s="73">
        <v>6.7666890699599191E-2</v>
      </c>
      <c r="G352" s="68" t="s">
        <v>339</v>
      </c>
      <c r="H352" s="74">
        <v>0.1</v>
      </c>
      <c r="I352" s="73">
        <v>2.0902946731872873E-2</v>
      </c>
      <c r="J352" s="68" t="s">
        <v>339</v>
      </c>
      <c r="K352" s="65">
        <v>0.1</v>
      </c>
      <c r="L352" s="71">
        <v>0.11870570011406234</v>
      </c>
      <c r="M352" s="63" t="s">
        <v>338</v>
      </c>
      <c r="N352" s="74">
        <v>0.35</v>
      </c>
      <c r="O352" s="72">
        <v>-2.2367092530192423E-2</v>
      </c>
      <c r="P352" s="68" t="s">
        <v>339</v>
      </c>
      <c r="Q352" s="65">
        <v>0.03</v>
      </c>
      <c r="R352" s="72">
        <v>-2.0051556330921039E-2</v>
      </c>
      <c r="S352" s="68" t="s">
        <v>339</v>
      </c>
      <c r="T352" s="65">
        <v>7.0000000000000007E-2</v>
      </c>
      <c r="U352" s="69">
        <v>0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35">
      <c r="A353" s="1"/>
      <c r="B353" s="58">
        <v>45108</v>
      </c>
      <c r="C353" s="73">
        <v>6.4805974273475453E-2</v>
      </c>
      <c r="D353" s="63" t="s">
        <v>338</v>
      </c>
      <c r="E353" s="65">
        <v>0.45</v>
      </c>
      <c r="F353" s="70">
        <v>-4.108878012154582E-2</v>
      </c>
      <c r="G353" s="68" t="s">
        <v>339</v>
      </c>
      <c r="H353" s="74">
        <v>0.1</v>
      </c>
      <c r="I353" s="70">
        <v>-1.3289254503567216E-2</v>
      </c>
      <c r="J353" s="68" t="s">
        <v>339</v>
      </c>
      <c r="K353" s="65">
        <v>0.1</v>
      </c>
      <c r="L353" s="72">
        <v>-3.2691686340601045E-2</v>
      </c>
      <c r="M353" s="68" t="s">
        <v>339</v>
      </c>
      <c r="N353" s="74">
        <v>0.1</v>
      </c>
      <c r="O353" s="72">
        <v>-6.9375012047819595E-2</v>
      </c>
      <c r="P353" s="68" t="s">
        <v>339</v>
      </c>
      <c r="Q353" s="65">
        <v>0.03</v>
      </c>
      <c r="R353" s="72">
        <v>-5.0126271109365517E-2</v>
      </c>
      <c r="S353" s="68" t="s">
        <v>339</v>
      </c>
      <c r="T353" s="65">
        <v>7.0000000000000007E-2</v>
      </c>
      <c r="U353" s="69">
        <v>0.15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35">
      <c r="A354" s="1"/>
      <c r="B354" s="58">
        <v>45200</v>
      </c>
      <c r="C354" s="73">
        <v>3.0822301107341188E-2</v>
      </c>
      <c r="D354" s="63" t="s">
        <v>338</v>
      </c>
      <c r="E354" s="65">
        <v>0.45</v>
      </c>
      <c r="F354" s="70">
        <v>-4.9878043738008859E-2</v>
      </c>
      <c r="G354" s="68" t="s">
        <v>339</v>
      </c>
      <c r="H354" s="74">
        <v>0.1</v>
      </c>
      <c r="I354" s="70">
        <v>-2.139529616277569E-2</v>
      </c>
      <c r="J354" s="68" t="s">
        <v>339</v>
      </c>
      <c r="K354" s="65">
        <v>0.1</v>
      </c>
      <c r="L354" s="72">
        <v>-7.2597207779556694E-2</v>
      </c>
      <c r="M354" s="68" t="s">
        <v>339</v>
      </c>
      <c r="N354" s="74">
        <v>0.1</v>
      </c>
      <c r="O354" s="72">
        <v>-9.9879439139083259E-2</v>
      </c>
      <c r="P354" s="68" t="s">
        <v>339</v>
      </c>
      <c r="Q354" s="65">
        <v>7.0000000000000007E-2</v>
      </c>
      <c r="R354" s="72">
        <v>-0.17625684430961375</v>
      </c>
      <c r="S354" s="68" t="s">
        <v>339</v>
      </c>
      <c r="T354" s="65">
        <v>0.03</v>
      </c>
      <c r="U354" s="69">
        <v>0.15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35">
      <c r="A355" s="1"/>
      <c r="B355" s="58">
        <v>45292</v>
      </c>
      <c r="C355" s="73">
        <v>7.04543971399203E-2</v>
      </c>
      <c r="D355" s="63" t="s">
        <v>338</v>
      </c>
      <c r="E355" s="65">
        <v>0.25</v>
      </c>
      <c r="F355" s="73">
        <v>1.5242637893121858E-2</v>
      </c>
      <c r="G355" s="63" t="s">
        <v>338</v>
      </c>
      <c r="H355" s="74">
        <v>7.0000000000000007E-2</v>
      </c>
      <c r="I355" s="73">
        <v>7.0367589093634608E-2</v>
      </c>
      <c r="J355" s="63" t="s">
        <v>338</v>
      </c>
      <c r="K355" s="65">
        <v>0.18</v>
      </c>
      <c r="L355" s="71">
        <v>7.3295605763504801E-2</v>
      </c>
      <c r="M355" s="63" t="s">
        <v>338</v>
      </c>
      <c r="N355" s="74">
        <v>0.35</v>
      </c>
      <c r="O355" s="71">
        <v>5.6297774607300344E-2</v>
      </c>
      <c r="P355" s="63" t="s">
        <v>338</v>
      </c>
      <c r="Q355" s="65">
        <v>0.12</v>
      </c>
      <c r="R355" s="72">
        <v>-4.0697319536811771E-2</v>
      </c>
      <c r="S355" s="68" t="s">
        <v>339</v>
      </c>
      <c r="T355" s="65">
        <v>0.03</v>
      </c>
      <c r="U355" s="69">
        <v>0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35">
      <c r="A356" s="1"/>
      <c r="B356" s="58">
        <v>45383</v>
      </c>
      <c r="C356" s="73">
        <v>0.2156372379972693</v>
      </c>
      <c r="D356" s="63" t="s">
        <v>338</v>
      </c>
      <c r="E356" s="65">
        <v>0.35</v>
      </c>
      <c r="F356" s="73">
        <v>7.3909795753079655E-2</v>
      </c>
      <c r="G356" s="63" t="s">
        <v>338</v>
      </c>
      <c r="H356" s="74">
        <v>7.0000000000000007E-2</v>
      </c>
      <c r="I356" s="73">
        <v>0.1804168744251391</v>
      </c>
      <c r="J356" s="63" t="s">
        <v>338</v>
      </c>
      <c r="K356" s="65">
        <v>0.18</v>
      </c>
      <c r="L356" s="71">
        <v>0.19816451120351863</v>
      </c>
      <c r="M356" s="63" t="s">
        <v>338</v>
      </c>
      <c r="N356" s="74">
        <v>0.25</v>
      </c>
      <c r="O356" s="71">
        <v>0.13394427949871623</v>
      </c>
      <c r="P356" s="63" t="s">
        <v>338</v>
      </c>
      <c r="Q356" s="65">
        <v>0.12</v>
      </c>
      <c r="R356" s="71">
        <v>5.8219273084828549E-2</v>
      </c>
      <c r="S356" s="63" t="s">
        <v>338</v>
      </c>
      <c r="T356" s="65">
        <v>0.03</v>
      </c>
      <c r="U356" s="69">
        <v>0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35">
      <c r="A357" s="1"/>
      <c r="B357" s="58">
        <v>45474</v>
      </c>
      <c r="C357" s="73">
        <v>0.29845056034210216</v>
      </c>
      <c r="D357" s="63" t="s">
        <v>338</v>
      </c>
      <c r="E357" s="65">
        <v>0.35</v>
      </c>
      <c r="F357" s="73">
        <v>0.20132520818396693</v>
      </c>
      <c r="G357" s="63" t="s">
        <v>338</v>
      </c>
      <c r="H357" s="74">
        <v>0.18</v>
      </c>
      <c r="I357" s="73">
        <v>0.14660941066129607</v>
      </c>
      <c r="J357" s="63" t="s">
        <v>338</v>
      </c>
      <c r="K357" s="65">
        <v>0.12</v>
      </c>
      <c r="L357" s="71">
        <v>0.27915929334680989</v>
      </c>
      <c r="M357" s="63" t="s">
        <v>338</v>
      </c>
      <c r="N357" s="74">
        <v>0.25</v>
      </c>
      <c r="O357" s="71">
        <v>7.5117130718894476E-2</v>
      </c>
      <c r="P357" s="63" t="s">
        <v>338</v>
      </c>
      <c r="Q357" s="65">
        <v>7.0000000000000007E-2</v>
      </c>
      <c r="R357" s="71">
        <v>5.2618868448375267E-2</v>
      </c>
      <c r="S357" s="63" t="s">
        <v>338</v>
      </c>
      <c r="T357" s="65">
        <v>0.03</v>
      </c>
      <c r="U357" s="69">
        <v>0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35">
      <c r="A358" s="1"/>
      <c r="B358" s="58">
        <v>45566</v>
      </c>
      <c r="C358" s="73">
        <v>0.19386608248921355</v>
      </c>
      <c r="D358" s="63" t="s">
        <v>338</v>
      </c>
      <c r="E358" s="65">
        <v>0.12</v>
      </c>
      <c r="F358" s="73">
        <v>0.215232029152858</v>
      </c>
      <c r="G358" s="63" t="s">
        <v>338</v>
      </c>
      <c r="H358" s="74">
        <v>0.18</v>
      </c>
      <c r="I358" s="73">
        <v>0.14348591997410409</v>
      </c>
      <c r="J358" s="63" t="s">
        <v>338</v>
      </c>
      <c r="K358" s="65">
        <v>7.0000000000000007E-2</v>
      </c>
      <c r="L358" s="71">
        <v>0.28456838511485638</v>
      </c>
      <c r="M358" s="63" t="s">
        <v>338</v>
      </c>
      <c r="N358" s="74">
        <v>0.35</v>
      </c>
      <c r="O358" s="71">
        <v>0.22622219633166929</v>
      </c>
      <c r="P358" s="63" t="s">
        <v>338</v>
      </c>
      <c r="Q358" s="65">
        <v>0.25</v>
      </c>
      <c r="R358" s="71">
        <v>0.12851769068574526</v>
      </c>
      <c r="S358" s="63" t="s">
        <v>338</v>
      </c>
      <c r="T358" s="65">
        <v>0.03</v>
      </c>
      <c r="U358" s="69">
        <v>0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35">
      <c r="A359" s="1"/>
      <c r="B359" s="58">
        <v>45658</v>
      </c>
      <c r="C359" s="73">
        <v>0.20956367772519435</v>
      </c>
      <c r="D359" s="63" t="s">
        <v>338</v>
      </c>
      <c r="E359" s="65">
        <v>0.18</v>
      </c>
      <c r="F359" s="73">
        <v>0.10270053634295784</v>
      </c>
      <c r="G359" s="63" t="s">
        <v>338</v>
      </c>
      <c r="H359" s="74">
        <v>7.0000000000000007E-2</v>
      </c>
      <c r="I359" s="73">
        <v>0.2231005466488718</v>
      </c>
      <c r="J359" s="63" t="s">
        <v>338</v>
      </c>
      <c r="K359" s="65">
        <v>0.25</v>
      </c>
      <c r="L359" s="71">
        <v>0.26687227232649779</v>
      </c>
      <c r="M359" s="63" t="s">
        <v>338</v>
      </c>
      <c r="N359" s="74">
        <v>0.35</v>
      </c>
      <c r="O359" s="71">
        <v>0.19432825798034514</v>
      </c>
      <c r="P359" s="63" t="s">
        <v>338</v>
      </c>
      <c r="Q359" s="65">
        <v>0.12</v>
      </c>
      <c r="R359" s="71">
        <v>6.8531786916998794E-2</v>
      </c>
      <c r="S359" s="63" t="s">
        <v>338</v>
      </c>
      <c r="T359" s="65">
        <v>0.03</v>
      </c>
      <c r="U359" s="69">
        <v>0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35">
      <c r="A360" s="1"/>
      <c r="B360" s="58">
        <v>45748</v>
      </c>
      <c r="C360" s="73">
        <v>3.1897087219469489E-2</v>
      </c>
      <c r="D360" s="68" t="s">
        <v>339</v>
      </c>
      <c r="E360" s="65">
        <v>0.1</v>
      </c>
      <c r="F360" s="73">
        <v>9.6727980333091157E-3</v>
      </c>
      <c r="G360" s="63" t="s">
        <v>338</v>
      </c>
      <c r="H360" s="74">
        <v>0.35</v>
      </c>
      <c r="I360" s="70">
        <v>-4.2935858955330364E-2</v>
      </c>
      <c r="J360" s="68" t="s">
        <v>339</v>
      </c>
      <c r="K360" s="65">
        <v>0.03</v>
      </c>
      <c r="L360" s="71">
        <v>0.25643439816436819</v>
      </c>
      <c r="M360" s="63" t="s">
        <v>338</v>
      </c>
      <c r="N360" s="74">
        <v>0.35</v>
      </c>
      <c r="O360" s="72">
        <v>-1.5145008007286576E-2</v>
      </c>
      <c r="P360" s="68" t="s">
        <v>339</v>
      </c>
      <c r="Q360" s="65">
        <v>0.1</v>
      </c>
      <c r="R360" s="72">
        <v>-1.6800635174834322E-2</v>
      </c>
      <c r="S360" s="68" t="s">
        <v>339</v>
      </c>
      <c r="T360" s="65">
        <v>7.0000000000000007E-2</v>
      </c>
      <c r="U360" s="69">
        <v>0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35">
      <c r="A361" s="1"/>
      <c r="B361" s="58">
        <v>45839</v>
      </c>
      <c r="C361" s="70">
        <v>-6.4505184851484598E-2</v>
      </c>
      <c r="D361" s="63" t="s">
        <v>338</v>
      </c>
      <c r="E361" s="65">
        <v>0.18</v>
      </c>
      <c r="F361" s="73">
        <v>2.2806462560986507E-2</v>
      </c>
      <c r="G361" s="63" t="s">
        <v>338</v>
      </c>
      <c r="H361" s="74">
        <v>0.27</v>
      </c>
      <c r="I361" s="70">
        <v>-0.13396462758805083</v>
      </c>
      <c r="J361" s="68" t="s">
        <v>339</v>
      </c>
      <c r="K361" s="65">
        <v>0.03</v>
      </c>
      <c r="L361" s="71">
        <v>0.11612930839660729</v>
      </c>
      <c r="M361" s="63" t="s">
        <v>338</v>
      </c>
      <c r="N361" s="74">
        <v>0.35</v>
      </c>
      <c r="O361" s="72">
        <v>-0.1135556581990399</v>
      </c>
      <c r="P361" s="68" t="s">
        <v>339</v>
      </c>
      <c r="Q361" s="65">
        <v>7.0000000000000007E-2</v>
      </c>
      <c r="R361" s="72">
        <v>-0.1040150419927186</v>
      </c>
      <c r="S361" s="68" t="s">
        <v>339</v>
      </c>
      <c r="T361" s="65">
        <v>0.1</v>
      </c>
      <c r="U361" s="69">
        <v>0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35">
      <c r="A362" s="1"/>
      <c r="B362" s="58">
        <v>45931</v>
      </c>
      <c r="C362" s="73">
        <v>0.10179240572284587</v>
      </c>
      <c r="D362" s="63" t="s">
        <v>338</v>
      </c>
      <c r="E362" s="65">
        <v>0.12</v>
      </c>
      <c r="F362" s="73">
        <v>0.12958672656685133</v>
      </c>
      <c r="G362" s="63" t="s">
        <v>338</v>
      </c>
      <c r="H362" s="74">
        <v>0.25</v>
      </c>
      <c r="I362" s="73">
        <v>0.1212528802845152</v>
      </c>
      <c r="J362" s="63" t="s">
        <v>338</v>
      </c>
      <c r="K362" s="65">
        <v>0.18</v>
      </c>
      <c r="L362" s="71">
        <v>0.14203481022772024</v>
      </c>
      <c r="M362" s="63" t="s">
        <v>338</v>
      </c>
      <c r="N362" s="74">
        <v>0.35</v>
      </c>
      <c r="O362" s="72">
        <v>-6.6650735850291687E-2</v>
      </c>
      <c r="P362" s="68" t="s">
        <v>339</v>
      </c>
      <c r="Q362" s="65">
        <v>7.0000000000000007E-2</v>
      </c>
      <c r="R362" s="72">
        <v>-9.2392340126826955E-2</v>
      </c>
      <c r="S362" s="68" t="s">
        <v>339</v>
      </c>
      <c r="T362" s="65">
        <v>0.03</v>
      </c>
      <c r="U362" s="69">
        <v>0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35">
      <c r="A363" s="1"/>
      <c r="B363" s="58">
        <v>46023</v>
      </c>
      <c r="C363" s="73">
        <v>0.10307264969181062</v>
      </c>
      <c r="D363" s="63" t="s">
        <v>338</v>
      </c>
      <c r="E363" s="65">
        <v>0.12</v>
      </c>
      <c r="F363" s="73">
        <v>0.13393203306294166</v>
      </c>
      <c r="G363" s="63" t="s">
        <v>338</v>
      </c>
      <c r="H363" s="74">
        <v>0.18</v>
      </c>
      <c r="I363" s="73">
        <v>0.14055773159035323</v>
      </c>
      <c r="J363" s="63" t="s">
        <v>338</v>
      </c>
      <c r="K363" s="65">
        <v>0.25</v>
      </c>
      <c r="L363" s="71">
        <v>0.30706131039105955</v>
      </c>
      <c r="M363" s="63" t="s">
        <v>338</v>
      </c>
      <c r="N363" s="74">
        <v>0.35</v>
      </c>
      <c r="O363" s="72">
        <v>-6.5335252750714501E-3</v>
      </c>
      <c r="P363" s="68" t="s">
        <v>339</v>
      </c>
      <c r="Q363" s="65">
        <v>7.0000000000000007E-2</v>
      </c>
      <c r="R363" s="72">
        <v>-1.2375564503372405E-2</v>
      </c>
      <c r="S363" s="68" t="s">
        <v>339</v>
      </c>
      <c r="T363" s="65">
        <v>0.03</v>
      </c>
      <c r="U363" s="69">
        <v>0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3.5" customHeight="1" x14ac:dyDescent="0.35">
      <c r="A364" s="1"/>
      <c r="B364" s="58">
        <v>46113</v>
      </c>
      <c r="C364" s="72">
        <v>-3.704034282849078E-2</v>
      </c>
      <c r="D364" s="68" t="s">
        <v>339</v>
      </c>
      <c r="E364" s="65">
        <v>0.1</v>
      </c>
      <c r="F364" s="71">
        <v>4.9270227573219971E-2</v>
      </c>
      <c r="G364" s="63" t="s">
        <v>338</v>
      </c>
      <c r="H364" s="74">
        <v>0.27</v>
      </c>
      <c r="I364" s="71">
        <v>1.1196863940635682E-2</v>
      </c>
      <c r="J364" s="63" t="s">
        <v>338</v>
      </c>
      <c r="K364" s="65">
        <v>0.18</v>
      </c>
      <c r="L364" s="71">
        <v>0.1947081655375662</v>
      </c>
      <c r="M364" s="63" t="s">
        <v>338</v>
      </c>
      <c r="N364" s="74">
        <v>0.35</v>
      </c>
      <c r="O364" s="72">
        <v>-4.2788485914616925E-2</v>
      </c>
      <c r="P364" s="68" t="s">
        <v>339</v>
      </c>
      <c r="Q364" s="65">
        <v>7.0000000000000007E-2</v>
      </c>
      <c r="R364" s="72">
        <v>-4.2999806545667929E-2</v>
      </c>
      <c r="S364" s="68" t="s">
        <v>339</v>
      </c>
      <c r="T364" s="65">
        <v>0.03</v>
      </c>
      <c r="U364" s="69">
        <v>0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s="75" customFormat="1" x14ac:dyDescent="0.35"/>
    <row r="366" spans="1:38" s="75" customFormat="1" x14ac:dyDescent="0.35"/>
    <row r="367" spans="1:38" s="75" customFormat="1" x14ac:dyDescent="0.35"/>
    <row r="368" spans="1:38" s="75" customFormat="1" x14ac:dyDescent="0.35"/>
    <row r="369" s="75" customFormat="1" x14ac:dyDescent="0.35"/>
    <row r="370" s="75" customFormat="1" x14ac:dyDescent="0.35"/>
    <row r="371" s="75" customFormat="1" x14ac:dyDescent="0.35"/>
    <row r="372" s="75" customFormat="1" x14ac:dyDescent="0.35"/>
    <row r="373" s="75" customFormat="1" x14ac:dyDescent="0.35"/>
    <row r="374" s="75" customFormat="1" x14ac:dyDescent="0.35"/>
    <row r="375" s="75" customFormat="1" x14ac:dyDescent="0.35"/>
    <row r="376" s="75" customFormat="1" x14ac:dyDescent="0.35"/>
    <row r="377" s="75" customFormat="1" x14ac:dyDescent="0.35"/>
    <row r="378" s="75" customFormat="1" x14ac:dyDescent="0.35"/>
    <row r="379" s="75" customFormat="1" x14ac:dyDescent="0.35"/>
    <row r="380" s="75" customFormat="1" x14ac:dyDescent="0.35"/>
    <row r="381" s="75" customFormat="1" x14ac:dyDescent="0.35"/>
    <row r="382" s="75" customFormat="1" x14ac:dyDescent="0.35"/>
    <row r="383" s="75" customFormat="1" x14ac:dyDescent="0.35"/>
    <row r="384" s="75" customFormat="1" x14ac:dyDescent="0.35"/>
    <row r="385" s="75" customFormat="1" x14ac:dyDescent="0.35"/>
  </sheetData>
  <mergeCells count="33">
    <mergeCell ref="B24:M24"/>
    <mergeCell ref="B1:M1"/>
    <mergeCell ref="C2:M2"/>
    <mergeCell ref="B4:M4"/>
    <mergeCell ref="B16:M16"/>
    <mergeCell ref="B17:M17"/>
    <mergeCell ref="B18:M18"/>
    <mergeCell ref="B19:M19"/>
    <mergeCell ref="B20:M20"/>
    <mergeCell ref="B21:M21"/>
    <mergeCell ref="B22:M22"/>
    <mergeCell ref="B23:M23"/>
    <mergeCell ref="AF30:AF31"/>
    <mergeCell ref="B26:M26"/>
    <mergeCell ref="B27:M27"/>
    <mergeCell ref="B30:B31"/>
    <mergeCell ref="C30:F30"/>
    <mergeCell ref="G30:J30"/>
    <mergeCell ref="K30:N30"/>
    <mergeCell ref="O30:R30"/>
    <mergeCell ref="S30:V30"/>
    <mergeCell ref="W30:Z30"/>
    <mergeCell ref="AA30:AD30"/>
    <mergeCell ref="AE30:AE31"/>
    <mergeCell ref="B280:U280"/>
    <mergeCell ref="B281:B282"/>
    <mergeCell ref="C281:E281"/>
    <mergeCell ref="F281:H281"/>
    <mergeCell ref="I281:K281"/>
    <mergeCell ref="L281:N281"/>
    <mergeCell ref="O281:Q281"/>
    <mergeCell ref="R281:T281"/>
    <mergeCell ref="U281:U282"/>
  </mergeCells>
  <conditionalFormatting sqref="AF32:AF277">
    <cfRule type="colorScale" priority="1">
      <colorScale>
        <cfvo type="num" val="0"/>
        <cfvo type="num" val="0"/>
        <color rgb="FFFF0000"/>
        <color theme="9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0AF6-8E53-4D94-B535-6301ACBB89B3}">
  <dimension ref="A1:AW321"/>
  <sheetViews>
    <sheetView topLeftCell="J256" zoomScale="80" zoomScaleNormal="80" workbookViewId="0">
      <selection activeCell="W275" sqref="W275"/>
    </sheetView>
  </sheetViews>
  <sheetFormatPr defaultRowHeight="14.5" x14ac:dyDescent="0.35"/>
  <cols>
    <col min="1" max="1" width="8.6328125" style="1"/>
    <col min="2" max="2" width="21.36328125" bestFit="1" customWidth="1"/>
    <col min="3" max="3" width="13.36328125" bestFit="1" customWidth="1"/>
    <col min="4" max="4" width="7.90625" bestFit="1" customWidth="1"/>
    <col min="5" max="5" width="14.453125" bestFit="1" customWidth="1"/>
    <col min="6" max="6" width="14.36328125" bestFit="1" customWidth="1"/>
    <col min="7" max="7" width="13.36328125" bestFit="1" customWidth="1"/>
    <col min="8" max="8" width="7.6328125" bestFit="1" customWidth="1"/>
    <col min="9" max="9" width="14.453125" bestFit="1" customWidth="1"/>
    <col min="10" max="10" width="13.81640625" bestFit="1" customWidth="1"/>
    <col min="11" max="11" width="13.36328125" bestFit="1" customWidth="1"/>
    <col min="12" max="12" width="8.1796875" bestFit="1" customWidth="1"/>
    <col min="13" max="13" width="14.453125" bestFit="1" customWidth="1"/>
    <col min="14" max="14" width="13.81640625" bestFit="1" customWidth="1"/>
    <col min="15" max="15" width="13.36328125" bestFit="1" customWidth="1"/>
    <col min="17" max="17" width="14.26953125" bestFit="1" customWidth="1"/>
    <col min="18" max="18" width="13.81640625" customWidth="1"/>
    <col min="19" max="19" width="13.36328125" bestFit="1" customWidth="1"/>
    <col min="21" max="22" width="13.81640625" bestFit="1" customWidth="1"/>
    <col min="23" max="23" width="16.1796875" bestFit="1" customWidth="1"/>
    <col min="24" max="24" width="13.36328125" bestFit="1" customWidth="1"/>
    <col min="25" max="26" width="13.81640625" bestFit="1" customWidth="1"/>
    <col min="27" max="27" width="13.36328125" bestFit="1" customWidth="1"/>
    <col min="29" max="30" width="13.81640625" bestFit="1" customWidth="1"/>
    <col min="31" max="31" width="15.36328125" bestFit="1" customWidth="1"/>
    <col min="32" max="49" width="8.6328125" style="1"/>
  </cols>
  <sheetData>
    <row r="1" spans="2:31" x14ac:dyDescent="0.35"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2:31" ht="20" x14ac:dyDescent="0.35">
      <c r="B2" s="115" t="s">
        <v>340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2:31" x14ac:dyDescent="0.35">
      <c r="B3" s="53" t="s">
        <v>341</v>
      </c>
      <c r="C3" s="144" t="s">
        <v>342</v>
      </c>
      <c r="D3" s="114"/>
      <c r="E3" s="114"/>
      <c r="F3" s="114"/>
      <c r="G3" s="114"/>
      <c r="H3" s="114"/>
      <c r="I3" s="114"/>
      <c r="J3" s="114"/>
      <c r="K3" s="114"/>
      <c r="L3" s="11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1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 ht="66" customHeight="1" x14ac:dyDescent="0.35">
      <c r="B5" s="117" t="s">
        <v>343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 x14ac:dyDescent="0.35">
      <c r="B7" s="103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x14ac:dyDescent="0.35">
      <c r="B8" s="51" t="s">
        <v>3</v>
      </c>
      <c r="C8" s="51" t="s">
        <v>4</v>
      </c>
      <c r="D8" s="51" t="s">
        <v>5</v>
      </c>
      <c r="E8" s="51" t="s">
        <v>6</v>
      </c>
      <c r="F8" s="51" t="s">
        <v>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x14ac:dyDescent="0.35">
      <c r="B9" s="54" t="s">
        <v>344</v>
      </c>
      <c r="C9" s="55">
        <v>0.35</v>
      </c>
      <c r="D9" s="56">
        <v>0.28000000000000003</v>
      </c>
      <c r="E9" s="56">
        <v>0.45</v>
      </c>
      <c r="F9" s="57" t="s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2:31" x14ac:dyDescent="0.35">
      <c r="B10" s="54" t="s">
        <v>345</v>
      </c>
      <c r="C10" s="55">
        <v>0.25</v>
      </c>
      <c r="D10" s="56">
        <v>0.15</v>
      </c>
      <c r="E10" s="56">
        <v>0.38</v>
      </c>
      <c r="F10" s="57" t="s">
        <v>285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2:31" x14ac:dyDescent="0.35">
      <c r="B11" s="54" t="s">
        <v>346</v>
      </c>
      <c r="C11" s="55">
        <v>0.2</v>
      </c>
      <c r="D11" s="56">
        <v>0.1</v>
      </c>
      <c r="E11" s="56">
        <v>0.32</v>
      </c>
      <c r="F11" s="57" t="s">
        <v>347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2:31" x14ac:dyDescent="0.35">
      <c r="B12" s="54" t="s">
        <v>348</v>
      </c>
      <c r="C12" s="55">
        <v>0.15</v>
      </c>
      <c r="D12" s="56">
        <v>0.08</v>
      </c>
      <c r="E12" s="56">
        <v>0.25</v>
      </c>
      <c r="F12" s="57" t="s">
        <v>349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2:31" x14ac:dyDescent="0.35">
      <c r="B13" s="54" t="s">
        <v>350</v>
      </c>
      <c r="C13" s="55">
        <v>0.05</v>
      </c>
      <c r="D13" s="56">
        <v>0.03</v>
      </c>
      <c r="E13" s="56">
        <v>0.12</v>
      </c>
      <c r="F13" s="57" t="s">
        <v>351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2:3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2:31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2:31" x14ac:dyDescent="0.35">
      <c r="B16" s="145" t="s">
        <v>16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2:49" ht="14" customHeight="1" x14ac:dyDescent="0.35">
      <c r="B17" s="143" t="s">
        <v>352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2:49" x14ac:dyDescent="0.35">
      <c r="B18" s="143" t="s">
        <v>353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2:49" x14ac:dyDescent="0.35">
      <c r="B19" s="104" t="s">
        <v>354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:49" x14ac:dyDescent="0.35">
      <c r="B20" s="143" t="s">
        <v>355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49" x14ac:dyDescent="0.35">
      <c r="B21" s="104" t="s">
        <v>356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49" ht="14" customHeight="1" x14ac:dyDescent="0.35">
      <c r="B22" s="143" t="s">
        <v>357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49" x14ac:dyDescent="0.35">
      <c r="B23" s="104" t="s">
        <v>358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:49" ht="14" customHeight="1" x14ac:dyDescent="0.35">
      <c r="B24" s="104" t="s">
        <v>359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2:49" ht="14" customHeight="1" x14ac:dyDescent="0.35">
      <c r="B25" s="104" t="s">
        <v>360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2:49" ht="14" customHeight="1" x14ac:dyDescent="0.35">
      <c r="B26" s="104" t="s">
        <v>361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2:49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:49" x14ac:dyDescent="0.35">
      <c r="B28" s="123" t="s">
        <v>24</v>
      </c>
      <c r="C28" s="119" t="s">
        <v>271</v>
      </c>
      <c r="D28" s="119"/>
      <c r="E28" s="119"/>
      <c r="F28" s="119"/>
      <c r="G28" s="119" t="s">
        <v>270</v>
      </c>
      <c r="H28" s="119"/>
      <c r="I28" s="119"/>
      <c r="J28" s="119"/>
      <c r="K28" s="119" t="s">
        <v>328</v>
      </c>
      <c r="L28" s="119"/>
      <c r="M28" s="119"/>
      <c r="N28" s="119"/>
      <c r="O28" s="119" t="s">
        <v>327</v>
      </c>
      <c r="P28" s="119"/>
      <c r="Q28" s="119"/>
      <c r="R28" s="119"/>
      <c r="S28" s="119" t="s">
        <v>281</v>
      </c>
      <c r="T28" s="119"/>
      <c r="U28" s="119"/>
      <c r="V28" s="119"/>
      <c r="W28" s="120" t="s">
        <v>272</v>
      </c>
      <c r="X28" s="121" t="s">
        <v>273</v>
      </c>
      <c r="Y28" s="1"/>
      <c r="Z28" s="1"/>
      <c r="AA28" s="1"/>
      <c r="AB28" s="1"/>
      <c r="AC28" s="1"/>
      <c r="AD28" s="1"/>
      <c r="AE28" s="1"/>
      <c r="AP28"/>
      <c r="AQ28"/>
      <c r="AR28"/>
      <c r="AS28"/>
      <c r="AT28"/>
      <c r="AU28"/>
      <c r="AV28"/>
      <c r="AW28"/>
    </row>
    <row r="29" spans="2:49" x14ac:dyDescent="0.35">
      <c r="B29" s="123"/>
      <c r="C29" s="13" t="s">
        <v>273</v>
      </c>
      <c r="D29" s="39" t="s">
        <v>274</v>
      </c>
      <c r="E29" s="30" t="s">
        <v>275</v>
      </c>
      <c r="F29" s="46" t="s">
        <v>276</v>
      </c>
      <c r="G29" s="14" t="s">
        <v>273</v>
      </c>
      <c r="H29" s="39" t="s">
        <v>274</v>
      </c>
      <c r="I29" s="30" t="s">
        <v>275</v>
      </c>
      <c r="J29" s="46" t="s">
        <v>276</v>
      </c>
      <c r="K29" s="14" t="s">
        <v>273</v>
      </c>
      <c r="L29" s="42" t="s">
        <v>274</v>
      </c>
      <c r="M29" s="30" t="s">
        <v>275</v>
      </c>
      <c r="N29" s="46" t="s">
        <v>276</v>
      </c>
      <c r="O29" s="14" t="s">
        <v>273</v>
      </c>
      <c r="P29" s="39" t="s">
        <v>274</v>
      </c>
      <c r="Q29" s="30" t="s">
        <v>275</v>
      </c>
      <c r="R29" s="46" t="s">
        <v>276</v>
      </c>
      <c r="S29" s="14" t="s">
        <v>273</v>
      </c>
      <c r="T29" s="39" t="s">
        <v>274</v>
      </c>
      <c r="U29" s="30" t="s">
        <v>275</v>
      </c>
      <c r="V29" s="46" t="s">
        <v>276</v>
      </c>
      <c r="W29" s="120"/>
      <c r="X29" s="121"/>
      <c r="Y29" s="1"/>
      <c r="Z29" s="1"/>
      <c r="AA29" s="1"/>
      <c r="AB29" s="1"/>
      <c r="AC29" s="1"/>
      <c r="AD29" s="1"/>
      <c r="AE29" s="1"/>
      <c r="AP29"/>
      <c r="AQ29"/>
      <c r="AR29"/>
      <c r="AS29"/>
      <c r="AT29"/>
      <c r="AU29"/>
      <c r="AV29"/>
      <c r="AW29"/>
    </row>
    <row r="30" spans="2:49" x14ac:dyDescent="0.35">
      <c r="B30" s="28" t="s">
        <v>280</v>
      </c>
      <c r="C30" s="35" t="s">
        <v>277</v>
      </c>
      <c r="D30" s="38">
        <f t="shared" ref="D30:D93" si="0">E30/W30</f>
        <v>0.35</v>
      </c>
      <c r="E30" s="36">
        <v>35000</v>
      </c>
      <c r="F30" s="36">
        <v>0</v>
      </c>
      <c r="G30" s="35" t="s">
        <v>277</v>
      </c>
      <c r="H30" s="38">
        <f t="shared" ref="H30:H93" si="1">I30/W30</f>
        <v>0.25</v>
      </c>
      <c r="I30" s="36">
        <v>25000</v>
      </c>
      <c r="J30" s="36">
        <v>0</v>
      </c>
      <c r="K30" s="35" t="s">
        <v>277</v>
      </c>
      <c r="L30" s="38">
        <f t="shared" ref="L30:L93" si="2">M30/W30</f>
        <v>0.2</v>
      </c>
      <c r="M30" s="36">
        <v>20000</v>
      </c>
      <c r="N30" s="36">
        <v>0</v>
      </c>
      <c r="O30" s="35" t="s">
        <v>277</v>
      </c>
      <c r="P30" s="38">
        <f t="shared" ref="P30:P93" si="3">Q30/W30</f>
        <v>0.15</v>
      </c>
      <c r="Q30" s="36">
        <v>15000</v>
      </c>
      <c r="R30" s="36">
        <v>0</v>
      </c>
      <c r="S30" s="35" t="s">
        <v>277</v>
      </c>
      <c r="T30" s="38">
        <f>U30/W30</f>
        <v>0.05</v>
      </c>
      <c r="U30" s="36">
        <v>5000</v>
      </c>
      <c r="V30" s="36">
        <v>0</v>
      </c>
      <c r="W30" s="37">
        <f>Q30+M30+I30+E30+U30</f>
        <v>100000</v>
      </c>
      <c r="X30" s="40">
        <v>0</v>
      </c>
      <c r="Y30" s="1"/>
      <c r="Z30" s="1"/>
      <c r="AA30" s="1"/>
      <c r="AB30" s="1"/>
      <c r="AC30" s="1"/>
      <c r="AD30" s="1"/>
      <c r="AE30" s="1"/>
      <c r="AP30"/>
      <c r="AQ30"/>
      <c r="AR30"/>
      <c r="AS30"/>
      <c r="AT30"/>
      <c r="AU30"/>
      <c r="AV30"/>
      <c r="AW30"/>
    </row>
    <row r="31" spans="2:49" x14ac:dyDescent="0.35">
      <c r="B31" s="9" t="s">
        <v>25</v>
      </c>
      <c r="C31" s="20">
        <v>5.2699999999999997E-2</v>
      </c>
      <c r="D31" s="38">
        <f t="shared" si="0"/>
        <v>0.35758687455416283</v>
      </c>
      <c r="E31" s="32">
        <f>((E30+F31)*C31)+E30+F31</f>
        <v>36844.5</v>
      </c>
      <c r="F31" s="47">
        <v>0</v>
      </c>
      <c r="G31" s="15">
        <v>-2.2499999999999999E-2</v>
      </c>
      <c r="H31" s="38">
        <f t="shared" si="1"/>
        <v>0.23717323472749949</v>
      </c>
      <c r="I31" s="32">
        <f>((I30+J31)*G31)+I30+J31</f>
        <v>24437.5</v>
      </c>
      <c r="J31" s="47">
        <v>0</v>
      </c>
      <c r="K31" s="19">
        <v>3.3700000000000001E-2</v>
      </c>
      <c r="L31" s="38">
        <f t="shared" si="2"/>
        <v>0.20064734341713858</v>
      </c>
      <c r="M31" s="32">
        <f>((M30+N31)*K31)+M30+N31</f>
        <v>20674</v>
      </c>
      <c r="N31" s="47">
        <v>0</v>
      </c>
      <c r="O31" s="19">
        <v>8.8599999999999998E-2</v>
      </c>
      <c r="P31" s="38">
        <f t="shared" si="3"/>
        <v>0.15847782096635657</v>
      </c>
      <c r="Q31" s="31">
        <f>((Q30+R31)*O31)+Q30+R31</f>
        <v>16329</v>
      </c>
      <c r="R31" s="47">
        <v>0</v>
      </c>
      <c r="S31" s="21">
        <v>-4.9700000000000001E-2</v>
      </c>
      <c r="T31" s="38">
        <f t="shared" ref="T31:T94" si="4">U31/W31</f>
        <v>4.611472633484251E-2</v>
      </c>
      <c r="U31" s="31">
        <f>((U30+V31)*S31)+U30+V31</f>
        <v>4751.5</v>
      </c>
      <c r="V31" s="47">
        <v>0</v>
      </c>
      <c r="W31" s="37">
        <f>Q31+M31+I31+E31+U31</f>
        <v>103036.5</v>
      </c>
      <c r="X31" s="40">
        <f>W31/W30-1</f>
        <v>3.0364999999999975E-2</v>
      </c>
      <c r="Y31" s="1"/>
      <c r="Z31" s="1"/>
      <c r="AA31" s="1"/>
      <c r="AB31" s="1"/>
      <c r="AC31" s="1"/>
      <c r="AD31" s="1"/>
      <c r="AE31" s="1"/>
      <c r="AP31"/>
      <c r="AQ31"/>
      <c r="AR31"/>
      <c r="AS31"/>
      <c r="AT31"/>
      <c r="AU31"/>
      <c r="AV31"/>
      <c r="AW31"/>
    </row>
    <row r="32" spans="2:49" x14ac:dyDescent="0.35">
      <c r="B32" s="10" t="s">
        <v>26</v>
      </c>
      <c r="C32" s="15">
        <v>-4.7199999999999999E-2</v>
      </c>
      <c r="D32" s="38">
        <f t="shared" si="0"/>
        <v>0.35665581303452309</v>
      </c>
      <c r="E32" s="32">
        <f>((E31+F32)*C32)+E31+F32</f>
        <v>35105.439599999998</v>
      </c>
      <c r="F32" s="47">
        <v>0</v>
      </c>
      <c r="G32" s="15">
        <v>-3.5099999999999999E-2</v>
      </c>
      <c r="H32" s="38">
        <f t="shared" si="1"/>
        <v>0.23955981677272503</v>
      </c>
      <c r="I32" s="32">
        <f t="shared" ref="I32:I95" si="5">((I31+J32)*G32)+I31+J32</f>
        <v>23579.743750000001</v>
      </c>
      <c r="J32" s="47">
        <v>0</v>
      </c>
      <c r="K32" s="17">
        <v>-3.2399999999999998E-2</v>
      </c>
      <c r="L32" s="38">
        <f t="shared" si="2"/>
        <v>0.20323348421612236</v>
      </c>
      <c r="M32" s="32">
        <f t="shared" ref="M32:M95" si="6">((M31+N32)*K32)+M31+N32</f>
        <v>20004.162400000001</v>
      </c>
      <c r="N32" s="47">
        <v>0</v>
      </c>
      <c r="O32" s="17">
        <v>-7.2599999999999998E-2</v>
      </c>
      <c r="P32" s="38">
        <f t="shared" si="3"/>
        <v>0.15385144220963326</v>
      </c>
      <c r="Q32" s="31">
        <f t="shared" ref="Q32:Q95" si="7">((Q31+R32)*O32)+Q31+R32</f>
        <v>15143.5146</v>
      </c>
      <c r="R32" s="47">
        <v>0</v>
      </c>
      <c r="S32" s="15">
        <v>-3.2599999999999997E-2</v>
      </c>
      <c r="T32" s="38">
        <f t="shared" si="4"/>
        <v>4.6699443766996244E-2</v>
      </c>
      <c r="U32" s="31">
        <f t="shared" ref="U32:U95" si="8">((U31+V32)*S32)+U31+V32</f>
        <v>4596.6010999999999</v>
      </c>
      <c r="V32" s="47">
        <v>0</v>
      </c>
      <c r="W32" s="37">
        <f t="shared" ref="W32:W95" si="9">Q32+M32+I32+E32+U32</f>
        <v>98429.461450000003</v>
      </c>
      <c r="X32" s="40">
        <f t="shared" ref="X32:X95" si="10">W32/W31-1</f>
        <v>-4.4712684825280347E-2</v>
      </c>
      <c r="Y32" s="1"/>
      <c r="Z32" s="1"/>
      <c r="AA32" s="1"/>
      <c r="AB32" s="1"/>
      <c r="AC32" s="1"/>
      <c r="AD32" s="1"/>
      <c r="AE32" s="1"/>
      <c r="AP32"/>
      <c r="AQ32"/>
      <c r="AR32"/>
      <c r="AS32"/>
      <c r="AT32"/>
      <c r="AU32"/>
      <c r="AV32"/>
      <c r="AW32"/>
    </row>
    <row r="33" spans="1:49" x14ac:dyDescent="0.35">
      <c r="B33" s="11" t="s">
        <v>27</v>
      </c>
      <c r="C33" s="20">
        <v>6.2600000000000003E-2</v>
      </c>
      <c r="D33" s="38">
        <f t="shared" si="0"/>
        <v>0.35991036373902235</v>
      </c>
      <c r="E33" s="32">
        <f t="shared" ref="E33:E96" si="11">((E32+F33)*C33)+E32+F33</f>
        <v>37303.040118959994</v>
      </c>
      <c r="F33" s="47">
        <v>0</v>
      </c>
      <c r="G33" s="20">
        <v>3.4500000000000003E-2</v>
      </c>
      <c r="H33" s="38">
        <f t="shared" si="1"/>
        <v>0.23535297981372624</v>
      </c>
      <c r="I33" s="32">
        <f t="shared" si="5"/>
        <v>24393.244909375</v>
      </c>
      <c r="J33" s="47">
        <v>0</v>
      </c>
      <c r="K33" s="19">
        <v>7.0999999999999994E-2</v>
      </c>
      <c r="L33" s="38">
        <f t="shared" si="2"/>
        <v>0.20670927683243809</v>
      </c>
      <c r="M33" s="32">
        <f t="shared" si="6"/>
        <v>21424.4579304</v>
      </c>
      <c r="N33" s="47">
        <v>0</v>
      </c>
      <c r="O33" s="19">
        <v>4.5400000000000003E-2</v>
      </c>
      <c r="P33" s="38">
        <f t="shared" si="3"/>
        <v>0.15274229140844706</v>
      </c>
      <c r="Q33" s="31">
        <f t="shared" si="7"/>
        <v>15831.030162840001</v>
      </c>
      <c r="R33" s="47">
        <v>0</v>
      </c>
      <c r="S33" s="26">
        <v>2.1100000000000001E-2</v>
      </c>
      <c r="T33" s="38">
        <f t="shared" si="4"/>
        <v>4.5285088206366314E-2</v>
      </c>
      <c r="U33" s="31">
        <f t="shared" si="8"/>
        <v>4693.5893832100001</v>
      </c>
      <c r="V33" s="47">
        <v>0</v>
      </c>
      <c r="W33" s="37">
        <f t="shared" si="9"/>
        <v>103645.36250478499</v>
      </c>
      <c r="X33" s="40">
        <f t="shared" si="10"/>
        <v>5.2991258693765753E-2</v>
      </c>
      <c r="Y33" s="1"/>
      <c r="Z33" s="1"/>
      <c r="AA33" s="1"/>
      <c r="AB33" s="1"/>
      <c r="AC33" s="1"/>
      <c r="AD33" s="1"/>
      <c r="AE33" s="1"/>
      <c r="AP33"/>
      <c r="AQ33"/>
      <c r="AR33"/>
      <c r="AS33"/>
      <c r="AT33"/>
      <c r="AU33"/>
      <c r="AV33"/>
      <c r="AW33"/>
    </row>
    <row r="34" spans="1:49" x14ac:dyDescent="0.35">
      <c r="B34" s="10" t="s">
        <v>28</v>
      </c>
      <c r="C34" s="20">
        <v>0.08</v>
      </c>
      <c r="D34" s="38">
        <f t="shared" si="0"/>
        <v>0.38179187030415224</v>
      </c>
      <c r="E34" s="32">
        <f t="shared" si="11"/>
        <v>40287.283328476791</v>
      </c>
      <c r="F34" s="47">
        <v>0</v>
      </c>
      <c r="G34" s="15">
        <v>-2.5399999999999999E-2</v>
      </c>
      <c r="H34" s="38">
        <f t="shared" si="1"/>
        <v>0.22529662029518541</v>
      </c>
      <c r="I34" s="32">
        <f t="shared" si="5"/>
        <v>23773.656488676876</v>
      </c>
      <c r="J34" s="47">
        <v>0</v>
      </c>
      <c r="K34" s="17">
        <v>-3.4200000000000001E-2</v>
      </c>
      <c r="L34" s="38">
        <f t="shared" si="2"/>
        <v>0.19609013124457372</v>
      </c>
      <c r="M34" s="32">
        <f t="shared" si="6"/>
        <v>20691.741469180321</v>
      </c>
      <c r="N34" s="47">
        <v>0</v>
      </c>
      <c r="O34" s="19">
        <v>2.5600000000000001E-2</v>
      </c>
      <c r="P34" s="38">
        <f t="shared" si="3"/>
        <v>0.15386714027617543</v>
      </c>
      <c r="Q34" s="31">
        <f t="shared" si="7"/>
        <v>16236.304535008705</v>
      </c>
      <c r="R34" s="47">
        <v>0</v>
      </c>
      <c r="S34" s="27">
        <v>-3.4299999999999997E-2</v>
      </c>
      <c r="T34" s="38">
        <f t="shared" si="4"/>
        <v>4.295423787991326E-2</v>
      </c>
      <c r="U34" s="31">
        <f t="shared" si="8"/>
        <v>4532.5992673658966</v>
      </c>
      <c r="V34" s="47">
        <v>0</v>
      </c>
      <c r="W34" s="37">
        <f t="shared" si="9"/>
        <v>105521.58508870858</v>
      </c>
      <c r="X34" s="40">
        <f t="shared" si="10"/>
        <v>1.8102330278761514E-2</v>
      </c>
      <c r="Y34" s="1"/>
      <c r="Z34" s="1"/>
      <c r="AA34" s="1"/>
      <c r="AB34" s="1"/>
      <c r="AC34" s="1"/>
      <c r="AD34" s="1"/>
      <c r="AE34" s="1"/>
      <c r="AP34"/>
      <c r="AQ34"/>
      <c r="AR34"/>
      <c r="AS34"/>
      <c r="AT34"/>
      <c r="AU34"/>
      <c r="AV34"/>
      <c r="AW34"/>
    </row>
    <row r="35" spans="1:49" x14ac:dyDescent="0.35">
      <c r="B35" s="11" t="s">
        <v>29</v>
      </c>
      <c r="C35" s="20">
        <v>7.7399999999999997E-2</v>
      </c>
      <c r="D35" s="38">
        <f t="shared" si="0"/>
        <v>0.39138860430979466</v>
      </c>
      <c r="E35" s="32">
        <f t="shared" si="11"/>
        <v>43405.519058100894</v>
      </c>
      <c r="F35" s="47">
        <v>0</v>
      </c>
      <c r="G35" s="20">
        <v>6.2700000000000006E-2</v>
      </c>
      <c r="H35" s="38">
        <f t="shared" si="1"/>
        <v>0.22780847998573825</v>
      </c>
      <c r="I35" s="32">
        <f t="shared" si="5"/>
        <v>25264.264750516915</v>
      </c>
      <c r="J35" s="47">
        <v>0</v>
      </c>
      <c r="K35" s="19">
        <v>3.4299999999999997E-2</v>
      </c>
      <c r="L35" s="38">
        <f t="shared" si="2"/>
        <v>0.19297755104326755</v>
      </c>
      <c r="M35" s="32">
        <f t="shared" si="6"/>
        <v>21401.468201573207</v>
      </c>
      <c r="N35" s="47">
        <v>0</v>
      </c>
      <c r="O35" s="17">
        <v>-2.5600000000000001E-2</v>
      </c>
      <c r="P35" s="38">
        <f t="shared" si="3"/>
        <v>0.14265522607383499</v>
      </c>
      <c r="Q35" s="31">
        <f t="shared" si="7"/>
        <v>15820.655138912482</v>
      </c>
      <c r="R35" s="47">
        <v>0</v>
      </c>
      <c r="S35" s="26">
        <v>0.1052</v>
      </c>
      <c r="T35" s="38">
        <f t="shared" si="4"/>
        <v>4.5170138587364524E-2</v>
      </c>
      <c r="U35" s="31">
        <f t="shared" si="8"/>
        <v>5009.4287102927892</v>
      </c>
      <c r="V35" s="47">
        <v>0</v>
      </c>
      <c r="W35" s="37">
        <f t="shared" si="9"/>
        <v>110901.33585939629</v>
      </c>
      <c r="X35" s="40">
        <f t="shared" si="10"/>
        <v>5.09824673896353E-2</v>
      </c>
      <c r="Y35" s="1"/>
      <c r="Z35" s="1"/>
      <c r="AA35" s="1"/>
      <c r="AB35" s="1"/>
      <c r="AC35" s="1"/>
      <c r="AD35" s="1"/>
      <c r="AE35" s="1"/>
      <c r="AP35"/>
      <c r="AQ35"/>
      <c r="AR35"/>
      <c r="AS35"/>
      <c r="AT35"/>
      <c r="AU35"/>
      <c r="AV35"/>
      <c r="AW35"/>
    </row>
    <row r="36" spans="1:49" x14ac:dyDescent="0.35">
      <c r="B36" s="10" t="s">
        <v>30</v>
      </c>
      <c r="C36" s="15">
        <v>-0.10100000000000001</v>
      </c>
      <c r="D36" s="38">
        <f t="shared" si="0"/>
        <v>0.38051748921089734</v>
      </c>
      <c r="E36" s="32">
        <f t="shared" si="11"/>
        <v>39021.561633232704</v>
      </c>
      <c r="F36" s="47">
        <v>0</v>
      </c>
      <c r="G36" s="15">
        <v>-5.8900000000000001E-2</v>
      </c>
      <c r="H36" s="38">
        <f t="shared" si="1"/>
        <v>0.23185283672993756</v>
      </c>
      <c r="I36" s="32">
        <f t="shared" si="5"/>
        <v>23776.199556711468</v>
      </c>
      <c r="J36" s="47">
        <v>0</v>
      </c>
      <c r="K36" s="17">
        <v>-6.0900000000000003E-2</v>
      </c>
      <c r="L36" s="38">
        <f t="shared" si="2"/>
        <v>0.19598615173299561</v>
      </c>
      <c r="M36" s="32">
        <f t="shared" si="6"/>
        <v>20098.118788097399</v>
      </c>
      <c r="N36" s="47">
        <v>0</v>
      </c>
      <c r="O36" s="17">
        <v>-5.7000000000000002E-2</v>
      </c>
      <c r="P36" s="38">
        <f t="shared" si="3"/>
        <v>0.14548095163729419</v>
      </c>
      <c r="Q36" s="31">
        <f t="shared" si="7"/>
        <v>14918.877795994471</v>
      </c>
      <c r="R36" s="47">
        <v>0</v>
      </c>
      <c r="S36" s="27">
        <v>-5.5E-2</v>
      </c>
      <c r="T36" s="38">
        <f t="shared" si="4"/>
        <v>4.6162570688875276E-2</v>
      </c>
      <c r="U36" s="31">
        <f t="shared" si="8"/>
        <v>4733.9101312266857</v>
      </c>
      <c r="V36" s="47">
        <v>0</v>
      </c>
      <c r="W36" s="37">
        <f t="shared" si="9"/>
        <v>102548.66790526273</v>
      </c>
      <c r="X36" s="40">
        <f t="shared" si="10"/>
        <v>-7.5316206873497937E-2</v>
      </c>
      <c r="Y36" s="1"/>
      <c r="Z36" s="1"/>
      <c r="AA36" s="1"/>
      <c r="AB36" s="1"/>
      <c r="AC36" s="1"/>
      <c r="AD36" s="1"/>
      <c r="AE36" s="1"/>
      <c r="AP36"/>
      <c r="AQ36"/>
      <c r="AR36"/>
      <c r="AS36"/>
      <c r="AT36"/>
      <c r="AU36"/>
      <c r="AV36"/>
      <c r="AW36"/>
    </row>
    <row r="37" spans="1:49" x14ac:dyDescent="0.35">
      <c r="A37" s="105" cm="1">
        <f t="array" ref="A37">SUM(G31:G36+K31:K36+O31:O36)</f>
        <v>-2.8799999999999992E-2</v>
      </c>
      <c r="B37" s="11" t="s">
        <v>31</v>
      </c>
      <c r="C37" s="20">
        <v>3.61E-2</v>
      </c>
      <c r="D37" s="38">
        <f t="shared" si="0"/>
        <v>0.38902617797546818</v>
      </c>
      <c r="E37" s="32">
        <f t="shared" si="11"/>
        <v>40430.240008192406</v>
      </c>
      <c r="F37" s="47">
        <v>0</v>
      </c>
      <c r="G37" s="20">
        <v>5.4999999999999997E-3</v>
      </c>
      <c r="H37" s="38">
        <f t="shared" si="1"/>
        <v>0.23003664189643053</v>
      </c>
      <c r="I37" s="32">
        <f>((I36+J37)*G37)+I36+J37</f>
        <v>23906.96865427338</v>
      </c>
      <c r="J37" s="47">
        <v>0</v>
      </c>
      <c r="K37" s="17">
        <v>-2.81E-2</v>
      </c>
      <c r="L37" s="38">
        <f t="shared" si="2"/>
        <v>0.18795310204023957</v>
      </c>
      <c r="M37" s="32">
        <f t="shared" si="6"/>
        <v>19533.361650151863</v>
      </c>
      <c r="N37" s="47">
        <v>0</v>
      </c>
      <c r="O37" s="19">
        <v>2.3900000000000001E-2</v>
      </c>
      <c r="P37" s="38">
        <f t="shared" si="3"/>
        <v>0.14698269513763978</v>
      </c>
      <c r="Q37" s="31">
        <f>((Q36+R37)*O37)+Q36+R37</f>
        <v>15275.438975318739</v>
      </c>
      <c r="R37" s="47">
        <v>0</v>
      </c>
      <c r="S37" s="26">
        <v>9.9000000000000008E-3</v>
      </c>
      <c r="T37" s="38">
        <f t="shared" si="4"/>
        <v>4.6001382950222013E-2</v>
      </c>
      <c r="U37" s="31">
        <f t="shared" si="8"/>
        <v>4780.7758415258295</v>
      </c>
      <c r="V37" s="47">
        <v>0</v>
      </c>
      <c r="W37" s="37">
        <f t="shared" si="9"/>
        <v>103926.78512946221</v>
      </c>
      <c r="X37" s="40">
        <f t="shared" si="10"/>
        <v>1.3438665292782037E-2</v>
      </c>
      <c r="Y37" s="1"/>
      <c r="Z37" s="1"/>
      <c r="AA37" s="1"/>
      <c r="AB37" s="1"/>
      <c r="AC37" s="1"/>
      <c r="AD37" s="1"/>
      <c r="AE37" s="1"/>
      <c r="AP37"/>
      <c r="AQ37"/>
      <c r="AR37"/>
      <c r="AS37"/>
      <c r="AT37"/>
      <c r="AU37"/>
      <c r="AV37"/>
      <c r="AW37"/>
    </row>
    <row r="38" spans="1:49" x14ac:dyDescent="0.35">
      <c r="A38" s="105" cm="1">
        <f t="array" ref="A38">SUM(G32:G37+K32:K37+O32:O37)</f>
        <v>-0.1273</v>
      </c>
      <c r="B38" s="10" t="s">
        <v>32</v>
      </c>
      <c r="C38" s="15">
        <v>-3.5099999999999999E-2</v>
      </c>
      <c r="D38" s="38">
        <f t="shared" si="0"/>
        <v>0.37989757898907356</v>
      </c>
      <c r="E38" s="32">
        <f t="shared" si="11"/>
        <v>39011.138583904853</v>
      </c>
      <c r="F38" s="47">
        <v>0</v>
      </c>
      <c r="G38" s="20">
        <v>2.7000000000000001E-3</v>
      </c>
      <c r="H38" s="38">
        <f t="shared" si="1"/>
        <v>0.23343900696012299</v>
      </c>
      <c r="I38" s="32">
        <f t="shared" si="5"/>
        <v>23971.517469639919</v>
      </c>
      <c r="J38" s="47">
        <v>0</v>
      </c>
      <c r="K38" s="19">
        <v>1.12E-2</v>
      </c>
      <c r="L38" s="38">
        <f t="shared" si="2"/>
        <v>0.19234989423434073</v>
      </c>
      <c r="M38" s="32">
        <f t="shared" si="6"/>
        <v>19752.135300633563</v>
      </c>
      <c r="N38" s="47">
        <v>0</v>
      </c>
      <c r="O38" s="17">
        <v>-2.7000000000000001E-3</v>
      </c>
      <c r="P38" s="38">
        <f t="shared" si="3"/>
        <v>0.14835337082260786</v>
      </c>
      <c r="Q38" s="31">
        <f t="shared" si="7"/>
        <v>15234.195290085378</v>
      </c>
      <c r="R38" s="47">
        <v>0</v>
      </c>
      <c r="S38" s="27">
        <v>-1.2800000000000001E-2</v>
      </c>
      <c r="T38" s="38">
        <f t="shared" si="4"/>
        <v>4.5960148993854782E-2</v>
      </c>
      <c r="U38" s="31">
        <f t="shared" si="8"/>
        <v>4719.5819107542993</v>
      </c>
      <c r="V38" s="47">
        <v>0</v>
      </c>
      <c r="W38" s="37">
        <f t="shared" si="9"/>
        <v>102688.56855501802</v>
      </c>
      <c r="X38" s="40">
        <f t="shared" si="10"/>
        <v>-1.1914316149602144E-2</v>
      </c>
      <c r="Y38" s="1"/>
      <c r="Z38" s="1"/>
      <c r="AA38" s="1"/>
      <c r="AB38" s="1"/>
      <c r="AC38" s="1"/>
      <c r="AD38" s="1"/>
      <c r="AE38" s="1"/>
      <c r="AP38"/>
      <c r="AQ38"/>
      <c r="AR38"/>
      <c r="AS38"/>
      <c r="AT38"/>
      <c r="AU38"/>
      <c r="AV38"/>
      <c r="AW38"/>
    </row>
    <row r="39" spans="1:49" x14ac:dyDescent="0.35">
      <c r="A39" s="105" cm="1">
        <f t="array" ref="A39">SUM(G33:G38+K33:K38+O33:O38)</f>
        <v>2.4000000000000007E-2</v>
      </c>
      <c r="B39" s="11" t="s">
        <v>33</v>
      </c>
      <c r="C39" s="15">
        <v>-2.5000000000000001E-2</v>
      </c>
      <c r="D39" s="38">
        <f t="shared" si="0"/>
        <v>0.36754925527306553</v>
      </c>
      <c r="E39" s="32">
        <f t="shared" si="11"/>
        <v>38035.860119307232</v>
      </c>
      <c r="F39" s="47">
        <v>0</v>
      </c>
      <c r="G39" s="20">
        <v>4.4400000000000002E-2</v>
      </c>
      <c r="H39" s="38">
        <f t="shared" si="1"/>
        <v>0.24192719816377081</v>
      </c>
      <c r="I39" s="32">
        <f t="shared" si="5"/>
        <v>25035.852845291931</v>
      </c>
      <c r="J39" s="47">
        <v>0</v>
      </c>
      <c r="K39" s="19">
        <v>2.2700000000000001E-2</v>
      </c>
      <c r="L39" s="38">
        <f t="shared" si="2"/>
        <v>0.19520215743724847</v>
      </c>
      <c r="M39" s="32">
        <f t="shared" si="6"/>
        <v>20200.508771957946</v>
      </c>
      <c r="N39" s="47">
        <v>0</v>
      </c>
      <c r="O39" s="19">
        <v>1.0500000000000001E-2</v>
      </c>
      <c r="P39" s="38">
        <f t="shared" si="3"/>
        <v>0.14875725028196649</v>
      </c>
      <c r="Q39" s="31">
        <f t="shared" si="7"/>
        <v>15394.154340631274</v>
      </c>
      <c r="R39" s="47">
        <v>0</v>
      </c>
      <c r="S39" s="26">
        <v>2.1000000000000001E-2</v>
      </c>
      <c r="T39" s="38">
        <f t="shared" si="4"/>
        <v>4.6564138843948666E-2</v>
      </c>
      <c r="U39" s="31">
        <f t="shared" si="8"/>
        <v>4818.6931308801395</v>
      </c>
      <c r="V39" s="47">
        <v>0</v>
      </c>
      <c r="W39" s="37">
        <f t="shared" si="9"/>
        <v>103485.06920806853</v>
      </c>
      <c r="X39" s="40">
        <f t="shared" si="10"/>
        <v>7.7564685559303737E-3</v>
      </c>
      <c r="Y39" s="1"/>
      <c r="Z39" s="1"/>
      <c r="AA39" s="1"/>
      <c r="AB39" s="1"/>
      <c r="AC39" s="1"/>
      <c r="AD39" s="1"/>
      <c r="AE39" s="1"/>
      <c r="AP39"/>
      <c r="AQ39"/>
      <c r="AR39"/>
      <c r="AS39"/>
      <c r="AT39"/>
      <c r="AU39"/>
      <c r="AV39"/>
      <c r="AW39"/>
    </row>
    <row r="40" spans="1:49" x14ac:dyDescent="0.35">
      <c r="A40" s="105" cm="1">
        <f t="array" ref="A40">SUM(G34:G39+K34:K39+O34:O39)</f>
        <v>-4.9300000000000038E-2</v>
      </c>
      <c r="B40" s="10" t="s">
        <v>34</v>
      </c>
      <c r="C40" s="15">
        <v>-2E-3</v>
      </c>
      <c r="D40" s="38">
        <f t="shared" si="0"/>
        <v>0.35994180610562493</v>
      </c>
      <c r="E40" s="32">
        <f t="shared" si="11"/>
        <v>37959.788399068617</v>
      </c>
      <c r="F40" s="47">
        <v>0</v>
      </c>
      <c r="G40" s="20">
        <v>1.5900000000000001E-2</v>
      </c>
      <c r="H40" s="38">
        <f t="shared" si="1"/>
        <v>0.24116920913060352</v>
      </c>
      <c r="I40" s="32">
        <f t="shared" si="5"/>
        <v>25433.922905532072</v>
      </c>
      <c r="J40" s="47">
        <v>0</v>
      </c>
      <c r="K40" s="19">
        <v>4.2799999999999998E-2</v>
      </c>
      <c r="L40" s="38">
        <f t="shared" si="2"/>
        <v>0.19974312442676601</v>
      </c>
      <c r="M40" s="32">
        <f t="shared" si="6"/>
        <v>21065.090547397747</v>
      </c>
      <c r="N40" s="47">
        <v>0</v>
      </c>
      <c r="O40" s="19">
        <v>5.4399999999999997E-2</v>
      </c>
      <c r="P40" s="38">
        <f t="shared" si="3"/>
        <v>0.15391102921887653</v>
      </c>
      <c r="Q40" s="31">
        <f t="shared" si="7"/>
        <v>16231.596336761615</v>
      </c>
      <c r="R40" s="47">
        <v>0</v>
      </c>
      <c r="S40" s="27">
        <v>-0.01</v>
      </c>
      <c r="T40" s="38">
        <f t="shared" si="4"/>
        <v>4.5234831118129176E-2</v>
      </c>
      <c r="U40" s="31">
        <f t="shared" si="8"/>
        <v>4770.5061995713377</v>
      </c>
      <c r="V40" s="47">
        <v>0</v>
      </c>
      <c r="W40" s="37">
        <f t="shared" si="9"/>
        <v>105460.90438833137</v>
      </c>
      <c r="X40" s="40">
        <f t="shared" si="10"/>
        <v>1.9092949305471452E-2</v>
      </c>
      <c r="Y40" s="1"/>
      <c r="Z40" s="1"/>
      <c r="AA40" s="1"/>
      <c r="AB40" s="1"/>
      <c r="AC40" s="1"/>
      <c r="AD40" s="1"/>
      <c r="AE40" s="1"/>
      <c r="AP40"/>
      <c r="AQ40"/>
      <c r="AR40"/>
      <c r="AS40"/>
      <c r="AT40"/>
      <c r="AU40"/>
      <c r="AV40"/>
      <c r="AW40"/>
    </row>
    <row r="41" spans="1:49" x14ac:dyDescent="0.35">
      <c r="A41" s="105" cm="1">
        <f t="array" ref="A41">SUM(G35:G40+K35:K40+O35:O40)</f>
        <v>9.7799999999999998E-2</v>
      </c>
      <c r="B41" s="11" t="s">
        <v>35</v>
      </c>
      <c r="C41" s="20">
        <v>8.3099999999999993E-2</v>
      </c>
      <c r="D41" s="38">
        <f t="shared" si="0"/>
        <v>0.36902861444500312</v>
      </c>
      <c r="E41" s="32">
        <f t="shared" si="11"/>
        <v>41114.24681503122</v>
      </c>
      <c r="F41" s="47">
        <v>0</v>
      </c>
      <c r="G41" s="20">
        <v>2.9399999999999999E-2</v>
      </c>
      <c r="H41" s="38">
        <f t="shared" si="1"/>
        <v>0.23499856937404145</v>
      </c>
      <c r="I41" s="32">
        <f t="shared" si="5"/>
        <v>26181.680238954716</v>
      </c>
      <c r="J41" s="47">
        <v>0</v>
      </c>
      <c r="K41" s="19">
        <v>3.7199999999999997E-2</v>
      </c>
      <c r="L41" s="38">
        <f t="shared" si="2"/>
        <v>0.19610720152444971</v>
      </c>
      <c r="M41" s="32">
        <f t="shared" si="6"/>
        <v>21848.711915760945</v>
      </c>
      <c r="N41" s="47">
        <v>0</v>
      </c>
      <c r="O41" s="19">
        <v>7.3400000000000007E-2</v>
      </c>
      <c r="P41" s="38">
        <f t="shared" si="3"/>
        <v>0.15638335588830019</v>
      </c>
      <c r="Q41" s="31">
        <f t="shared" si="7"/>
        <v>17422.995507879918</v>
      </c>
      <c r="R41" s="47">
        <v>0</v>
      </c>
      <c r="S41" s="26">
        <v>1.55E-2</v>
      </c>
      <c r="T41" s="38">
        <f t="shared" si="4"/>
        <v>4.3482258768205578E-2</v>
      </c>
      <c r="U41" s="31">
        <f t="shared" si="8"/>
        <v>4844.4490456646936</v>
      </c>
      <c r="V41" s="47">
        <v>0</v>
      </c>
      <c r="W41" s="37">
        <f t="shared" si="9"/>
        <v>111412.08352329148</v>
      </c>
      <c r="X41" s="40">
        <f t="shared" si="10"/>
        <v>5.6430192491489617E-2</v>
      </c>
      <c r="Y41" s="1"/>
      <c r="Z41" s="1"/>
      <c r="AA41" s="1"/>
      <c r="AB41" s="1"/>
      <c r="AC41" s="1"/>
      <c r="AD41" s="1"/>
      <c r="AE41" s="1"/>
      <c r="AP41"/>
      <c r="AQ41"/>
      <c r="AR41"/>
      <c r="AS41"/>
      <c r="AT41"/>
      <c r="AU41"/>
      <c r="AV41"/>
      <c r="AW41"/>
    </row>
    <row r="42" spans="1:49" x14ac:dyDescent="0.35">
      <c r="A42" s="105" cm="1">
        <f t="array" ref="A42">SUM(G36:G41+K36:K41+O36:O41)</f>
        <v>0.16639999999999999</v>
      </c>
      <c r="B42" s="10" t="s">
        <v>36</v>
      </c>
      <c r="C42" s="15">
        <v>-3.3599999999999998E-2</v>
      </c>
      <c r="D42" s="38">
        <f t="shared" si="0"/>
        <v>0.36132833805056241</v>
      </c>
      <c r="E42" s="32">
        <f t="shared" si="11"/>
        <v>39732.808122046168</v>
      </c>
      <c r="F42" s="47">
        <v>0</v>
      </c>
      <c r="G42" s="15">
        <v>-3.2000000000000002E-3</v>
      </c>
      <c r="H42" s="38">
        <f t="shared" si="1"/>
        <v>0.23733309746245981</v>
      </c>
      <c r="I42" s="32">
        <f t="shared" si="5"/>
        <v>26097.898862190061</v>
      </c>
      <c r="J42" s="47">
        <v>0</v>
      </c>
      <c r="K42" s="17">
        <v>-1.61E-2</v>
      </c>
      <c r="L42" s="38">
        <f t="shared" si="2"/>
        <v>0.19549225781099477</v>
      </c>
      <c r="M42" s="32">
        <f t="shared" si="6"/>
        <v>21496.947653917196</v>
      </c>
      <c r="N42" s="47">
        <v>0</v>
      </c>
      <c r="O42" s="19">
        <v>2.3599999999999999E-2</v>
      </c>
      <c r="P42" s="38">
        <f t="shared" si="3"/>
        <v>0.1621832000996237</v>
      </c>
      <c r="Q42" s="31">
        <f t="shared" si="7"/>
        <v>17834.178201865885</v>
      </c>
      <c r="R42" s="47">
        <v>0</v>
      </c>
      <c r="S42" s="27">
        <v>-8.8999999999999999E-3</v>
      </c>
      <c r="T42" s="38">
        <f t="shared" si="4"/>
        <v>4.3663106576359273E-2</v>
      </c>
      <c r="U42" s="31">
        <f t="shared" si="8"/>
        <v>4801.3334491582782</v>
      </c>
      <c r="V42" s="47">
        <v>0</v>
      </c>
      <c r="W42" s="37">
        <f t="shared" si="9"/>
        <v>109963.16628917759</v>
      </c>
      <c r="X42" s="40">
        <f t="shared" si="10"/>
        <v>-1.3005027715965678E-2</v>
      </c>
      <c r="Y42" s="1"/>
      <c r="Z42" s="1"/>
      <c r="AA42" s="1"/>
      <c r="AB42" s="1"/>
      <c r="AC42" s="1"/>
      <c r="AD42" s="1"/>
      <c r="AE42" s="1"/>
      <c r="AP42"/>
      <c r="AQ42"/>
      <c r="AR42"/>
      <c r="AS42"/>
      <c r="AT42"/>
      <c r="AU42"/>
      <c r="AV42"/>
      <c r="AW42"/>
    </row>
    <row r="43" spans="1:49" x14ac:dyDescent="0.35">
      <c r="A43" s="106" cm="1">
        <f t="array" ref="A43">SUM(G37:G42+K37:K42+O37:O42)</f>
        <v>0.34750000000000003</v>
      </c>
      <c r="B43" s="9" t="s">
        <v>37</v>
      </c>
      <c r="C43" s="20">
        <v>2.29E-2</v>
      </c>
      <c r="D43" s="38">
        <f t="shared" si="0"/>
        <v>0.31450696686412882</v>
      </c>
      <c r="E43" s="32">
        <f t="shared" si="11"/>
        <v>35018.621564041023</v>
      </c>
      <c r="F43" s="48">
        <v>-5498.16</v>
      </c>
      <c r="G43" s="20">
        <v>1.12E-2</v>
      </c>
      <c r="H43" s="38">
        <f t="shared" si="1"/>
        <v>0.25365816287245718</v>
      </c>
      <c r="I43" s="32">
        <f t="shared" si="5"/>
        <v>28243.441793446589</v>
      </c>
      <c r="J43" s="49">
        <v>1832.72</v>
      </c>
      <c r="K43" s="19">
        <v>1.4E-2</v>
      </c>
      <c r="L43" s="38">
        <f t="shared" si="2"/>
        <v>0.21246027061174996</v>
      </c>
      <c r="M43" s="32">
        <f t="shared" si="6"/>
        <v>23656.283001072039</v>
      </c>
      <c r="N43" s="49">
        <v>1832.72</v>
      </c>
      <c r="O43" s="17">
        <v>-1.6999999999999999E-3</v>
      </c>
      <c r="P43" s="38">
        <f t="shared" si="3"/>
        <v>0.1763307944531787</v>
      </c>
      <c r="Q43" s="31">
        <f t="shared" si="7"/>
        <v>19633.464474922715</v>
      </c>
      <c r="R43" s="49">
        <v>1832.72</v>
      </c>
      <c r="S43" s="27">
        <v>-1.8E-3</v>
      </c>
      <c r="T43" s="38">
        <f t="shared" si="4"/>
        <v>4.304380519848533E-2</v>
      </c>
      <c r="U43" s="31">
        <f t="shared" si="8"/>
        <v>4792.6910489497932</v>
      </c>
      <c r="V43" s="47">
        <v>0</v>
      </c>
      <c r="W43" s="37">
        <f t="shared" si="9"/>
        <v>111344.50188243216</v>
      </c>
      <c r="X43" s="40">
        <f t="shared" si="10"/>
        <v>1.2561802646005704E-2</v>
      </c>
      <c r="Y43" s="1"/>
      <c r="Z43" s="1"/>
      <c r="AA43" s="1"/>
      <c r="AB43" s="1"/>
      <c r="AC43" s="1"/>
      <c r="AD43" s="1"/>
      <c r="AE43" s="1"/>
      <c r="AP43"/>
      <c r="AQ43"/>
      <c r="AR43"/>
      <c r="AS43"/>
      <c r="AT43"/>
      <c r="AU43"/>
      <c r="AV43"/>
      <c r="AW43"/>
    </row>
    <row r="44" spans="1:49" x14ac:dyDescent="0.35">
      <c r="A44" s="106" cm="1">
        <f t="array" ref="A44">SUM(G38:G43+K38:K43+O38:O43)</f>
        <v>0.36970000000000008</v>
      </c>
      <c r="B44" s="10" t="s">
        <v>38</v>
      </c>
      <c r="C44" s="20">
        <v>2.53E-2</v>
      </c>
      <c r="D44" s="38">
        <f t="shared" si="0"/>
        <v>0.28952677833113821</v>
      </c>
      <c r="E44" s="32">
        <f t="shared" si="11"/>
        <v>31965.226041611259</v>
      </c>
      <c r="F44" s="48">
        <v>-3842.16</v>
      </c>
      <c r="G44" s="15">
        <v>-2.2599999999999999E-2</v>
      </c>
      <c r="H44" s="38">
        <f t="shared" si="1"/>
        <v>0.26565893179809158</v>
      </c>
      <c r="I44" s="32">
        <f t="shared" si="5"/>
        <v>29330.094624914698</v>
      </c>
      <c r="J44" s="49">
        <v>1764.84</v>
      </c>
      <c r="K44" s="17">
        <v>-7.3000000000000001E-3</v>
      </c>
      <c r="L44" s="38">
        <f t="shared" si="2"/>
        <v>0.2285723596913459</v>
      </c>
      <c r="M44" s="32">
        <f t="shared" si="6"/>
        <v>25235.548803164213</v>
      </c>
      <c r="N44" s="49">
        <v>1764.84</v>
      </c>
      <c r="O44" s="17">
        <v>-4.0599999999999997E-2</v>
      </c>
      <c r="P44" s="38">
        <f t="shared" si="3"/>
        <v>0.18594736771411841</v>
      </c>
      <c r="Q44" s="31">
        <f t="shared" si="7"/>
        <v>20529.533313240852</v>
      </c>
      <c r="R44" s="49">
        <v>1764.84</v>
      </c>
      <c r="S44" s="26">
        <v>1.2999999999999999E-3</v>
      </c>
      <c r="T44" s="38">
        <f t="shared" si="4"/>
        <v>3.0294562465305919E-2</v>
      </c>
      <c r="U44" s="31">
        <f t="shared" si="8"/>
        <v>3344.6734793134283</v>
      </c>
      <c r="V44" s="48">
        <v>-1452.36</v>
      </c>
      <c r="W44" s="37">
        <f t="shared" si="9"/>
        <v>110405.07626224445</v>
      </c>
      <c r="X44" s="40">
        <f t="shared" si="10"/>
        <v>-8.4371082927798824E-3</v>
      </c>
      <c r="Y44" s="1"/>
      <c r="Z44" s="1"/>
      <c r="AA44" s="1"/>
      <c r="AB44" s="1"/>
      <c r="AC44" s="1"/>
      <c r="AD44" s="1"/>
      <c r="AE44" s="1"/>
      <c r="AP44"/>
      <c r="AQ44"/>
      <c r="AR44"/>
      <c r="AS44"/>
      <c r="AT44"/>
      <c r="AU44"/>
      <c r="AV44"/>
      <c r="AW44"/>
    </row>
    <row r="45" spans="1:49" x14ac:dyDescent="0.35">
      <c r="A45" s="106" cm="1">
        <f t="array" ref="A45">SUM(G39:G44+K39:K44+O39:O44)</f>
        <v>0.28799999999999998</v>
      </c>
      <c r="B45" s="11" t="s">
        <v>39</v>
      </c>
      <c r="C45" s="15">
        <v>-5.0200000000000002E-2</v>
      </c>
      <c r="D45" s="38">
        <f t="shared" si="0"/>
        <v>0.27348473886325153</v>
      </c>
      <c r="E45" s="32">
        <f t="shared" si="11"/>
        <v>29361.562556322373</v>
      </c>
      <c r="F45" s="48">
        <v>-1051.81</v>
      </c>
      <c r="G45" s="15">
        <v>-3.15E-2</v>
      </c>
      <c r="H45" s="38">
        <f t="shared" si="1"/>
        <v>0.267846639907801</v>
      </c>
      <c r="I45" s="32">
        <f t="shared" si="5"/>
        <v>28756.251284229886</v>
      </c>
      <c r="J45" s="49">
        <v>361.44</v>
      </c>
      <c r="K45" s="17">
        <v>-3.2800000000000003E-2</v>
      </c>
      <c r="L45" s="38">
        <f t="shared" si="2"/>
        <v>0.23059989165561551</v>
      </c>
      <c r="M45" s="32">
        <f t="shared" si="6"/>
        <v>24757.407570420426</v>
      </c>
      <c r="N45" s="49">
        <v>361.44</v>
      </c>
      <c r="O45" s="19">
        <v>1.7899999999999999E-2</v>
      </c>
      <c r="P45" s="38">
        <f t="shared" si="3"/>
        <v>0.19806955289378897</v>
      </c>
      <c r="Q45" s="31">
        <f t="shared" si="7"/>
        <v>21264.921735547861</v>
      </c>
      <c r="R45" s="49">
        <v>361.44</v>
      </c>
      <c r="S45" s="27">
        <v>-2.76E-2</v>
      </c>
      <c r="T45" s="38">
        <f t="shared" si="4"/>
        <v>2.9999176679542956E-2</v>
      </c>
      <c r="U45" s="31">
        <f t="shared" si="8"/>
        <v>3220.7380432843779</v>
      </c>
      <c r="V45" s="48">
        <v>-32.520000000000003</v>
      </c>
      <c r="W45" s="37">
        <f t="shared" si="9"/>
        <v>107360.88118980493</v>
      </c>
      <c r="X45" s="40">
        <f t="shared" si="10"/>
        <v>-2.757296290624045E-2</v>
      </c>
      <c r="Y45" s="1"/>
      <c r="Z45" s="1"/>
      <c r="AA45" s="1"/>
      <c r="AB45" s="1"/>
      <c r="AC45" s="1"/>
      <c r="AD45" s="1"/>
      <c r="AE45" s="1"/>
      <c r="AP45"/>
      <c r="AQ45"/>
      <c r="AR45"/>
      <c r="AS45"/>
      <c r="AT45"/>
      <c r="AU45"/>
      <c r="AV45"/>
      <c r="AW45"/>
    </row>
    <row r="46" spans="1:49" x14ac:dyDescent="0.35">
      <c r="A46" s="105" cm="1">
        <f t="array" ref="A46">SUM(G40:G45+K40:K45+O40:O45)</f>
        <v>0.16399999999999998</v>
      </c>
      <c r="B46" s="10" t="s">
        <v>40</v>
      </c>
      <c r="C46" s="20">
        <v>2.0199999999999999E-2</v>
      </c>
      <c r="D46" s="38">
        <f t="shared" si="0"/>
        <v>0.27833245619955704</v>
      </c>
      <c r="E46" s="32">
        <f t="shared" si="11"/>
        <v>30668.285817960088</v>
      </c>
      <c r="F46" s="49">
        <v>699.49</v>
      </c>
      <c r="G46" s="20">
        <v>4.1000000000000002E-2</v>
      </c>
      <c r="H46" s="38">
        <f t="shared" si="1"/>
        <v>0.26947669643338035</v>
      </c>
      <c r="I46" s="32">
        <f t="shared" si="5"/>
        <v>29692.506796883314</v>
      </c>
      <c r="J46" s="48">
        <v>-233.19</v>
      </c>
      <c r="K46" s="19">
        <v>1.32E-2</v>
      </c>
      <c r="L46" s="38">
        <f t="shared" si="2"/>
        <v>0.22550942185707518</v>
      </c>
      <c r="M46" s="32">
        <f t="shared" si="6"/>
        <v>24847.937242349977</v>
      </c>
      <c r="N46" s="48">
        <v>-233.19</v>
      </c>
      <c r="O46" s="19">
        <v>3.5000000000000003E-2</v>
      </c>
      <c r="P46" s="38">
        <f t="shared" si="3"/>
        <v>0.19755577675163286</v>
      </c>
      <c r="Q46" s="31">
        <f t="shared" si="7"/>
        <v>21767.842346292036</v>
      </c>
      <c r="R46" s="48">
        <v>-233.19</v>
      </c>
      <c r="S46" s="27">
        <v>-3.5999999999999999E-3</v>
      </c>
      <c r="T46" s="38">
        <f t="shared" si="4"/>
        <v>2.9125648758354581E-2</v>
      </c>
      <c r="U46" s="31">
        <f t="shared" si="8"/>
        <v>3209.2330623285543</v>
      </c>
      <c r="V46" s="49">
        <v>0.09</v>
      </c>
      <c r="W46" s="37">
        <f t="shared" si="9"/>
        <v>110185.80526581396</v>
      </c>
      <c r="X46" s="40">
        <f t="shared" si="10"/>
        <v>2.6312415143229018E-2</v>
      </c>
      <c r="Y46" s="1"/>
      <c r="Z46" s="1"/>
      <c r="AA46" s="1"/>
      <c r="AB46" s="1"/>
      <c r="AC46" s="1"/>
      <c r="AD46" s="1"/>
      <c r="AE46" s="1"/>
      <c r="AP46"/>
      <c r="AQ46"/>
      <c r="AR46"/>
      <c r="AS46"/>
      <c r="AT46"/>
      <c r="AU46"/>
      <c r="AV46"/>
      <c r="AW46"/>
    </row>
    <row r="47" spans="1:49" x14ac:dyDescent="0.35">
      <c r="A47" s="105" cm="1">
        <f t="array" ref="A47">SUM(G41:G46+K41:K46+O41:O46)</f>
        <v>0.1401</v>
      </c>
      <c r="B47" s="11" t="s">
        <v>41</v>
      </c>
      <c r="C47" s="15">
        <v>-6.9099999999999995E-2</v>
      </c>
      <c r="D47" s="38">
        <f t="shared" si="0"/>
        <v>0.26693334751565817</v>
      </c>
      <c r="E47" s="32">
        <f t="shared" si="11"/>
        <v>28720.150833939046</v>
      </c>
      <c r="F47" s="49">
        <v>183.74</v>
      </c>
      <c r="G47" s="15">
        <v>-1.37E-2</v>
      </c>
      <c r="H47" s="38">
        <f t="shared" si="1"/>
        <v>0.27133407802157683</v>
      </c>
      <c r="I47" s="32">
        <f t="shared" si="5"/>
        <v>29193.638485766012</v>
      </c>
      <c r="J47" s="48">
        <v>-93.36</v>
      </c>
      <c r="K47" s="17">
        <v>-3.8E-3</v>
      </c>
      <c r="L47" s="38">
        <f t="shared" si="2"/>
        <v>0.2292018758345761</v>
      </c>
      <c r="M47" s="32">
        <f t="shared" si="6"/>
        <v>24660.509848829046</v>
      </c>
      <c r="N47" s="48">
        <v>-93.36</v>
      </c>
      <c r="O47" s="19">
        <v>2.3E-3</v>
      </c>
      <c r="P47" s="38">
        <f t="shared" si="3"/>
        <v>0.20191220926344514</v>
      </c>
      <c r="Q47" s="31">
        <f t="shared" si="7"/>
        <v>21724.333655688508</v>
      </c>
      <c r="R47" s="48">
        <v>-93.36</v>
      </c>
      <c r="S47" s="27">
        <v>-3.3999999999999998E-3</v>
      </c>
      <c r="T47" s="38">
        <f t="shared" si="4"/>
        <v>3.0618489364743699E-2</v>
      </c>
      <c r="U47" s="31">
        <f t="shared" si="8"/>
        <v>3294.3341139166373</v>
      </c>
      <c r="V47" s="49">
        <v>96.34</v>
      </c>
      <c r="W47" s="37">
        <f t="shared" si="9"/>
        <v>107592.96693813926</v>
      </c>
      <c r="X47" s="40">
        <f t="shared" si="10"/>
        <v>-2.3531509538998296E-2</v>
      </c>
      <c r="Y47" s="1"/>
      <c r="Z47" s="1"/>
      <c r="AA47" s="1"/>
      <c r="AB47" s="1"/>
      <c r="AC47" s="1"/>
      <c r="AD47" s="1"/>
      <c r="AE47" s="1"/>
      <c r="AP47"/>
      <c r="AQ47"/>
      <c r="AR47"/>
      <c r="AS47"/>
      <c r="AT47"/>
      <c r="AU47"/>
      <c r="AV47"/>
      <c r="AW47"/>
    </row>
    <row r="48" spans="1:49" x14ac:dyDescent="0.35">
      <c r="A48" s="105" cm="1">
        <f t="array" ref="A48">SUM(G42:G47+K42:K47+O42:O47)</f>
        <v>-1.5099999999999985E-2</v>
      </c>
      <c r="B48" s="10" t="s">
        <v>42</v>
      </c>
      <c r="C48" s="15">
        <v>-2.81E-2</v>
      </c>
      <c r="D48" s="38">
        <f t="shared" si="0"/>
        <v>0.27645762652304112</v>
      </c>
      <c r="E48" s="32">
        <f t="shared" si="11"/>
        <v>29279.489367505361</v>
      </c>
      <c r="F48" s="49">
        <v>1405.88</v>
      </c>
      <c r="G48" s="15">
        <v>-2.7900000000000001E-2</v>
      </c>
      <c r="H48" s="38">
        <f t="shared" si="1"/>
        <v>0.26365510549046778</v>
      </c>
      <c r="I48" s="32">
        <f t="shared" si="5"/>
        <v>27923.580749013141</v>
      </c>
      <c r="J48" s="48">
        <v>-468.63</v>
      </c>
      <c r="K48" s="17">
        <v>-2.4899999999999999E-2</v>
      </c>
      <c r="L48" s="38">
        <f t="shared" si="2"/>
        <v>0.22273263249735659</v>
      </c>
      <c r="M48" s="32">
        <f t="shared" si="6"/>
        <v>23589.502040593201</v>
      </c>
      <c r="N48" s="48">
        <v>-468.63</v>
      </c>
      <c r="O48" s="19">
        <v>2.76E-2</v>
      </c>
      <c r="P48" s="38">
        <f t="shared" si="3"/>
        <v>0.2062360864665097</v>
      </c>
      <c r="Q48" s="31">
        <f t="shared" si="7"/>
        <v>21842.361076585508</v>
      </c>
      <c r="R48" s="48">
        <v>-468.63</v>
      </c>
      <c r="S48" s="27">
        <v>-6.0000000000000001E-3</v>
      </c>
      <c r="T48" s="38">
        <f t="shared" si="4"/>
        <v>3.0918549022624784E-2</v>
      </c>
      <c r="U48" s="31">
        <f t="shared" si="8"/>
        <v>3274.5681092331374</v>
      </c>
      <c r="V48" s="47">
        <v>0</v>
      </c>
      <c r="W48" s="37">
        <f t="shared" si="9"/>
        <v>105909.50134293035</v>
      </c>
      <c r="X48" s="40">
        <f t="shared" si="10"/>
        <v>-1.5646613743599214E-2</v>
      </c>
      <c r="Y48" s="1"/>
      <c r="Z48" s="1"/>
      <c r="AA48" s="1"/>
      <c r="AB48" s="1"/>
      <c r="AC48" s="1"/>
      <c r="AD48" s="1"/>
      <c r="AE48" s="1"/>
      <c r="AP48"/>
      <c r="AQ48"/>
      <c r="AR48"/>
      <c r="AS48"/>
      <c r="AT48"/>
      <c r="AU48"/>
      <c r="AV48"/>
      <c r="AW48"/>
    </row>
    <row r="49" spans="1:49" x14ac:dyDescent="0.35">
      <c r="A49" s="105" cm="1">
        <f t="array" ref="A49">SUM(G43:G48+K43:K48+O43:O48)</f>
        <v>-4.4599999999999987E-2</v>
      </c>
      <c r="B49" s="11" t="s">
        <v>43</v>
      </c>
      <c r="C49" s="15">
        <v>-1.9E-3</v>
      </c>
      <c r="D49" s="38">
        <f t="shared" si="0"/>
        <v>0.29090335826138897</v>
      </c>
      <c r="E49" s="32">
        <f t="shared" si="11"/>
        <v>29598.315514707097</v>
      </c>
      <c r="F49" s="49">
        <v>375.17</v>
      </c>
      <c r="G49" s="15">
        <v>-5.4399999999999997E-2</v>
      </c>
      <c r="H49" s="38">
        <f t="shared" si="1"/>
        <v>0.25835144163455181</v>
      </c>
      <c r="I49" s="32">
        <f t="shared" si="5"/>
        <v>26286.281220266825</v>
      </c>
      <c r="J49" s="48">
        <v>-125.06</v>
      </c>
      <c r="K49" s="17">
        <v>-9.2200000000000004E-2</v>
      </c>
      <c r="L49" s="38">
        <f t="shared" si="2"/>
        <v>0.20935442728969811</v>
      </c>
      <c r="M49" s="32">
        <f t="shared" si="6"/>
        <v>21301.020484450506</v>
      </c>
      <c r="N49" s="48">
        <v>-125.06</v>
      </c>
      <c r="O49" s="17">
        <v>-1.6299999999999999E-2</v>
      </c>
      <c r="P49" s="38">
        <f t="shared" si="3"/>
        <v>0.2099666228867281</v>
      </c>
      <c r="Q49" s="31">
        <f t="shared" si="7"/>
        <v>21363.309069037165</v>
      </c>
      <c r="R49" s="48">
        <v>-125.06</v>
      </c>
      <c r="S49" s="27">
        <v>-2.3599999999999999E-2</v>
      </c>
      <c r="T49" s="38">
        <f t="shared" si="4"/>
        <v>3.142414992763299E-2</v>
      </c>
      <c r="U49" s="31">
        <f t="shared" si="8"/>
        <v>3197.2883018552352</v>
      </c>
      <c r="V49" s="47">
        <v>0</v>
      </c>
      <c r="W49" s="37">
        <f t="shared" si="9"/>
        <v>101746.21459031683</v>
      </c>
      <c r="X49" s="40">
        <f>W49/W48-1</f>
        <v>-3.9309851333668155E-2</v>
      </c>
      <c r="Y49" s="1"/>
      <c r="Z49" s="1"/>
      <c r="AA49" s="1"/>
      <c r="AB49" s="1"/>
      <c r="AC49" s="1"/>
      <c r="AD49" s="1"/>
      <c r="AE49" s="1"/>
      <c r="AP49"/>
      <c r="AQ49"/>
      <c r="AR49"/>
      <c r="AS49"/>
      <c r="AT49"/>
      <c r="AU49"/>
      <c r="AV49"/>
      <c r="AW49"/>
    </row>
    <row r="50" spans="1:49" x14ac:dyDescent="0.35">
      <c r="A50" s="106" cm="1">
        <f t="array" ref="A50">SUM(G44:G49+K44:K49+O44:O49)</f>
        <v>-0.23100000000000001</v>
      </c>
      <c r="B50" s="10" t="s">
        <v>44</v>
      </c>
      <c r="C50" s="20">
        <v>6.9099999999999995E-2</v>
      </c>
      <c r="D50" s="38">
        <f t="shared" si="0"/>
        <v>0.29099236249686183</v>
      </c>
      <c r="E50" s="32">
        <f t="shared" si="11"/>
        <v>31643.559116773358</v>
      </c>
      <c r="F50" s="47">
        <v>0</v>
      </c>
      <c r="G50" s="20">
        <v>6.7400000000000002E-2</v>
      </c>
      <c r="H50" s="38">
        <f t="shared" si="1"/>
        <v>0.25801955020828349</v>
      </c>
      <c r="I50" s="32">
        <f t="shared" si="5"/>
        <v>28057.97657451281</v>
      </c>
      <c r="J50" s="47">
        <v>0</v>
      </c>
      <c r="K50" s="19">
        <v>7.6200000000000004E-2</v>
      </c>
      <c r="L50" s="38">
        <f t="shared" si="2"/>
        <v>0.21080925004213202</v>
      </c>
      <c r="M50" s="32">
        <f t="shared" si="6"/>
        <v>22924.158245365634</v>
      </c>
      <c r="N50" s="47">
        <v>0</v>
      </c>
      <c r="O50" s="19">
        <v>6.4799999999999996E-2</v>
      </c>
      <c r="P50" s="38">
        <f t="shared" si="3"/>
        <v>0.20918610406167584</v>
      </c>
      <c r="Q50" s="31">
        <f t="shared" si="7"/>
        <v>22747.651496710772</v>
      </c>
      <c r="R50" s="47">
        <v>0</v>
      </c>
      <c r="S50" s="26">
        <v>5.4100000000000002E-2</v>
      </c>
      <c r="T50" s="38">
        <f t="shared" si="4"/>
        <v>3.099273319104676E-2</v>
      </c>
      <c r="U50" s="31">
        <f t="shared" si="8"/>
        <v>3370.2615989856035</v>
      </c>
      <c r="V50" s="47">
        <v>0</v>
      </c>
      <c r="W50" s="37">
        <f t="shared" si="9"/>
        <v>108743.60703234818</v>
      </c>
      <c r="X50" s="40">
        <f t="shared" si="10"/>
        <v>6.8773000255650807E-2</v>
      </c>
      <c r="Y50" s="1"/>
      <c r="Z50" s="1"/>
      <c r="AA50" s="1"/>
      <c r="AB50" s="1"/>
      <c r="AC50" s="1"/>
      <c r="AD50" s="1"/>
      <c r="AE50" s="1"/>
      <c r="AP50"/>
      <c r="AQ50"/>
      <c r="AR50"/>
      <c r="AS50"/>
      <c r="AT50"/>
      <c r="AU50"/>
      <c r="AV50"/>
      <c r="AW50"/>
    </row>
    <row r="51" spans="1:49" x14ac:dyDescent="0.35">
      <c r="A51" s="105" cm="1">
        <f t="array" ref="A51">SUM(G45:G50+K45:K50+O45:O50)</f>
        <v>4.7899999999999998E-2</v>
      </c>
      <c r="B51" s="11" t="s">
        <v>45</v>
      </c>
      <c r="C51" s="20">
        <v>2.9700000000000001E-2</v>
      </c>
      <c r="D51" s="38">
        <f t="shared" si="0"/>
        <v>0.3523263891900062</v>
      </c>
      <c r="E51" s="32">
        <f t="shared" si="11"/>
        <v>38182.037068541526</v>
      </c>
      <c r="F51" s="49">
        <v>5437.18</v>
      </c>
      <c r="G51" s="15">
        <v>-3.5400000000000001E-2</v>
      </c>
      <c r="H51" s="38">
        <f t="shared" si="1"/>
        <v>0.23360902621855614</v>
      </c>
      <c r="I51" s="32">
        <f t="shared" si="5"/>
        <v>25316.492809775056</v>
      </c>
      <c r="J51" s="48">
        <v>-1812.39</v>
      </c>
      <c r="K51" s="17">
        <v>-5.3199999999999997E-2</v>
      </c>
      <c r="L51" s="38">
        <f t="shared" si="2"/>
        <v>0.18444587079147798</v>
      </c>
      <c r="M51" s="32">
        <f t="shared" si="6"/>
        <v>19988.622174712182</v>
      </c>
      <c r="N51" s="48">
        <v>-1812.39</v>
      </c>
      <c r="O51" s="19">
        <v>3.9E-2</v>
      </c>
      <c r="P51" s="38">
        <f t="shared" si="3"/>
        <v>0.20071508585654704</v>
      </c>
      <c r="Q51" s="31">
        <f t="shared" si="7"/>
        <v>21751.736695082494</v>
      </c>
      <c r="R51" s="48">
        <v>-1812.39</v>
      </c>
      <c r="S51" s="27">
        <v>-7.0599999999999996E-2</v>
      </c>
      <c r="T51" s="38">
        <f t="shared" si="4"/>
        <v>2.8903627943412613E-2</v>
      </c>
      <c r="U51" s="31">
        <f t="shared" si="8"/>
        <v>3132.3211300972198</v>
      </c>
      <c r="V51" s="47">
        <v>0</v>
      </c>
      <c r="W51" s="37">
        <f t="shared" si="9"/>
        <v>108371.20987820848</v>
      </c>
      <c r="X51" s="40">
        <f t="shared" si="10"/>
        <v>-3.424542962134125E-3</v>
      </c>
      <c r="Y51" s="1"/>
      <c r="Z51" s="1"/>
      <c r="AA51" s="1"/>
      <c r="AB51" s="1"/>
      <c r="AC51" s="1"/>
      <c r="AD51" s="1"/>
      <c r="AE51" s="1"/>
      <c r="AP51"/>
      <c r="AQ51"/>
      <c r="AR51"/>
      <c r="AS51"/>
      <c r="AT51"/>
      <c r="AU51"/>
      <c r="AV51"/>
      <c r="AW51"/>
    </row>
    <row r="52" spans="1:49" x14ac:dyDescent="0.35">
      <c r="A52" s="105" cm="1">
        <f t="array" ref="A52">SUM(G46:G51+K46:K51+O46:O51)</f>
        <v>4.4699999999999983E-2</v>
      </c>
      <c r="B52" s="10" t="s">
        <v>46</v>
      </c>
      <c r="C52" s="20">
        <v>1.6500000000000001E-2</v>
      </c>
      <c r="D52" s="38">
        <f t="shared" si="0"/>
        <v>0.356482579135174</v>
      </c>
      <c r="E52" s="32">
        <f t="shared" si="11"/>
        <v>38812.04068017246</v>
      </c>
      <c r="F52" s="47">
        <v>0</v>
      </c>
      <c r="G52" s="15">
        <v>-3.5299999999999998E-2</v>
      </c>
      <c r="H52" s="38">
        <f t="shared" si="1"/>
        <v>0.22396885349230128</v>
      </c>
      <c r="I52" s="32">
        <f t="shared" si="5"/>
        <v>24384.608846589996</v>
      </c>
      <c r="J52" s="48">
        <v>-39.61</v>
      </c>
      <c r="K52" s="17">
        <v>-2.2599999999999999E-2</v>
      </c>
      <c r="L52" s="38">
        <f t="shared" si="2"/>
        <v>0.17908761939325749</v>
      </c>
      <c r="M52" s="32">
        <f t="shared" si="6"/>
        <v>19498.164499563685</v>
      </c>
      <c r="N52" s="48">
        <v>-39.61</v>
      </c>
      <c r="O52" s="19">
        <v>6.3399999999999998E-2</v>
      </c>
      <c r="P52" s="38">
        <f t="shared" si="3"/>
        <v>0.2120659067813768</v>
      </c>
      <c r="Q52" s="31">
        <f t="shared" si="7"/>
        <v>23088.675527550724</v>
      </c>
      <c r="R52" s="48">
        <v>-39.61</v>
      </c>
      <c r="S52" s="27">
        <v>-4.9099999999999998E-2</v>
      </c>
      <c r="T52" s="38">
        <f t="shared" si="4"/>
        <v>2.8395041197890443E-2</v>
      </c>
      <c r="U52" s="31">
        <f t="shared" si="8"/>
        <v>3091.5101006094465</v>
      </c>
      <c r="V52" s="49">
        <v>118.82</v>
      </c>
      <c r="W52" s="37">
        <f t="shared" si="9"/>
        <v>108874.99965448631</v>
      </c>
      <c r="X52" s="40">
        <f t="shared" si="10"/>
        <v>4.6487418276865977E-3</v>
      </c>
      <c r="Y52" s="1"/>
      <c r="Z52" s="1"/>
      <c r="AA52" s="1"/>
      <c r="AB52" s="1"/>
      <c r="AC52" s="1"/>
      <c r="AD52" s="1"/>
      <c r="AE52" s="1"/>
      <c r="AP52"/>
      <c r="AQ52"/>
      <c r="AR52"/>
      <c r="AS52"/>
      <c r="AT52"/>
      <c r="AU52"/>
      <c r="AV52"/>
      <c r="AW52"/>
    </row>
    <row r="53" spans="1:49" x14ac:dyDescent="0.35">
      <c r="A53" s="105" cm="1">
        <f t="array" ref="A53">SUM(G47:G52+K47:K52+O47:O52)</f>
        <v>-3.9000000000000028E-2</v>
      </c>
      <c r="B53" s="11" t="s">
        <v>47</v>
      </c>
      <c r="C53" s="20">
        <v>5.1999999999999998E-3</v>
      </c>
      <c r="D53" s="38">
        <f t="shared" si="0"/>
        <v>0.36699511769297266</v>
      </c>
      <c r="E53" s="32">
        <f t="shared" si="11"/>
        <v>39013.863291709356</v>
      </c>
      <c r="F53" s="47">
        <v>0</v>
      </c>
      <c r="G53" s="15">
        <v>-2.3800000000000002E-2</v>
      </c>
      <c r="H53" s="38">
        <f t="shared" si="1"/>
        <v>0.22338666323549383</v>
      </c>
      <c r="I53" s="32">
        <f t="shared" si="5"/>
        <v>23747.391506041153</v>
      </c>
      <c r="J53" s="48">
        <v>-58.25</v>
      </c>
      <c r="K53" s="17">
        <v>-5.0099999999999999E-2</v>
      </c>
      <c r="L53" s="38">
        <f t="shared" si="2"/>
        <v>0.17370549894484369</v>
      </c>
      <c r="M53" s="32">
        <f t="shared" si="6"/>
        <v>18465.974783135545</v>
      </c>
      <c r="N53" s="48">
        <v>-58.25</v>
      </c>
      <c r="O53" s="17">
        <v>-5.7000000000000002E-2</v>
      </c>
      <c r="P53" s="38">
        <f t="shared" si="3"/>
        <v>0.20429370464978513</v>
      </c>
      <c r="Q53" s="31">
        <f t="shared" si="7"/>
        <v>21717.691272480333</v>
      </c>
      <c r="R53" s="48">
        <v>-58.25</v>
      </c>
      <c r="S53" s="26">
        <v>2.9100000000000001E-2</v>
      </c>
      <c r="T53" s="38">
        <f t="shared" si="4"/>
        <v>3.1619015476904745E-2</v>
      </c>
      <c r="U53" s="31">
        <f t="shared" si="8"/>
        <v>3361.2979785371817</v>
      </c>
      <c r="V53" s="49">
        <v>174.74</v>
      </c>
      <c r="W53" s="37">
        <f t="shared" si="9"/>
        <v>106306.21883190356</v>
      </c>
      <c r="X53" s="40">
        <f t="shared" si="10"/>
        <v>-2.3593853784016017E-2</v>
      </c>
      <c r="Y53" s="1"/>
      <c r="Z53" s="1"/>
      <c r="AA53" s="1"/>
      <c r="AB53" s="1"/>
      <c r="AC53" s="1"/>
      <c r="AD53" s="1"/>
      <c r="AE53" s="1"/>
      <c r="AP53"/>
      <c r="AQ53"/>
      <c r="AR53"/>
      <c r="AS53"/>
      <c r="AT53"/>
      <c r="AU53"/>
      <c r="AV53"/>
      <c r="AW53"/>
    </row>
    <row r="54" spans="1:49" x14ac:dyDescent="0.35">
      <c r="A54" s="105" cm="1">
        <f t="array" ref="A54">SUM(G48:G53+K48:K53+O48:O53)</f>
        <v>-0.1547</v>
      </c>
      <c r="B54" s="10" t="s">
        <v>48</v>
      </c>
      <c r="C54" s="20">
        <v>6.1400000000000003E-2</v>
      </c>
      <c r="D54" s="38">
        <f t="shared" si="0"/>
        <v>0.38497755028190805</v>
      </c>
      <c r="E54" s="32">
        <f t="shared" si="11"/>
        <v>41409.314497820313</v>
      </c>
      <c r="F54" s="47">
        <v>0</v>
      </c>
      <c r="G54" s="15">
        <v>-1.14E-2</v>
      </c>
      <c r="H54" s="38">
        <f t="shared" si="1"/>
        <v>0.21825986480240883</v>
      </c>
      <c r="I54" s="32">
        <f t="shared" si="5"/>
        <v>23476.671242872282</v>
      </c>
      <c r="J54" s="47">
        <v>0</v>
      </c>
      <c r="K54" s="17">
        <v>-1.14E-2</v>
      </c>
      <c r="L54" s="38">
        <f t="shared" si="2"/>
        <v>0.16971889980365035</v>
      </c>
      <c r="M54" s="32">
        <f t="shared" si="6"/>
        <v>18255.462670607802</v>
      </c>
      <c r="N54" s="47">
        <v>0</v>
      </c>
      <c r="O54" s="17">
        <v>-2.93E-2</v>
      </c>
      <c r="P54" s="38">
        <f t="shared" si="3"/>
        <v>0.19599096365815005</v>
      </c>
      <c r="Q54" s="31">
        <f t="shared" si="7"/>
        <v>21081.362918196661</v>
      </c>
      <c r="R54" s="47">
        <v>0</v>
      </c>
      <c r="S54" s="27">
        <v>-6.3E-3</v>
      </c>
      <c r="T54" s="38">
        <f t="shared" si="4"/>
        <v>3.1052721453882725E-2</v>
      </c>
      <c r="U54" s="31">
        <f t="shared" si="8"/>
        <v>3340.1218012723975</v>
      </c>
      <c r="V54" s="47">
        <v>0</v>
      </c>
      <c r="W54" s="37">
        <f t="shared" si="9"/>
        <v>107562.93313076945</v>
      </c>
      <c r="X54" s="40">
        <f t="shared" si="10"/>
        <v>1.182164423374954E-2</v>
      </c>
      <c r="Y54" s="1"/>
      <c r="Z54" s="1"/>
      <c r="AA54" s="1"/>
      <c r="AB54" s="1"/>
      <c r="AC54" s="1"/>
      <c r="AD54" s="1"/>
      <c r="AE54" s="1"/>
      <c r="AP54"/>
      <c r="AQ54"/>
      <c r="AR54"/>
      <c r="AS54"/>
      <c r="AT54"/>
      <c r="AU54"/>
      <c r="AV54"/>
      <c r="AW54"/>
    </row>
    <row r="55" spans="1:49" x14ac:dyDescent="0.35">
      <c r="A55" s="105" cm="1">
        <f t="array" ref="A55">SUM(G49:G54+K49:K54+O49:O54)</f>
        <v>-0.18160000000000001</v>
      </c>
      <c r="B55" s="9" t="s">
        <v>49</v>
      </c>
      <c r="C55" s="20">
        <v>9.6100000000000005E-2</v>
      </c>
      <c r="D55" s="38">
        <f t="shared" si="0"/>
        <v>0.42707151993762738</v>
      </c>
      <c r="E55" s="32">
        <f t="shared" si="11"/>
        <v>45388.749621060844</v>
      </c>
      <c r="F55" s="47">
        <v>0</v>
      </c>
      <c r="G55" s="15">
        <v>-7.2800000000000004E-2</v>
      </c>
      <c r="H55" s="38">
        <f t="shared" si="1"/>
        <v>0.20481527034672606</v>
      </c>
      <c r="I55" s="32">
        <f t="shared" si="5"/>
        <v>21767.569576391179</v>
      </c>
      <c r="J55" s="47">
        <v>0</v>
      </c>
      <c r="K55" s="17">
        <v>-7.7100000000000002E-2</v>
      </c>
      <c r="L55" s="38">
        <f t="shared" si="2"/>
        <v>0.15852577390942338</v>
      </c>
      <c r="M55" s="32">
        <f t="shared" si="6"/>
        <v>16847.96649870394</v>
      </c>
      <c r="N55" s="47">
        <v>0</v>
      </c>
      <c r="O55" s="17">
        <v>-0.10050000000000001</v>
      </c>
      <c r="P55" s="38">
        <f t="shared" si="3"/>
        <v>0.17842357800573161</v>
      </c>
      <c r="Q55" s="31">
        <f t="shared" si="7"/>
        <v>18962.685944917896</v>
      </c>
      <c r="R55" s="47">
        <v>0</v>
      </c>
      <c r="S55" s="27">
        <v>-8.3999999999999995E-3</v>
      </c>
      <c r="T55" s="38">
        <f t="shared" si="4"/>
        <v>3.1163857800491673E-2</v>
      </c>
      <c r="U55" s="31">
        <f t="shared" si="8"/>
        <v>3312.0647781417092</v>
      </c>
      <c r="V55" s="47">
        <v>0</v>
      </c>
      <c r="W55" s="37">
        <f t="shared" si="9"/>
        <v>106279.03641921555</v>
      </c>
      <c r="X55" s="40">
        <f t="shared" si="10"/>
        <v>-1.1936237458242238E-2</v>
      </c>
      <c r="Y55" s="1"/>
      <c r="Z55" s="1"/>
      <c r="AA55" s="1"/>
      <c r="AB55" s="1"/>
      <c r="AC55" s="1"/>
      <c r="AD55" s="1"/>
      <c r="AE55" s="1"/>
      <c r="AP55"/>
      <c r="AQ55"/>
      <c r="AR55"/>
      <c r="AS55"/>
      <c r="AT55"/>
      <c r="AU55"/>
      <c r="AV55"/>
      <c r="AW55"/>
    </row>
    <row r="56" spans="1:49" x14ac:dyDescent="0.35">
      <c r="A56" s="106" cm="1">
        <f t="array" ref="A56">SUM(G50:G55+K50:K55+O50:O55)</f>
        <v>-0.26910000000000001</v>
      </c>
      <c r="B56" s="10" t="s">
        <v>50</v>
      </c>
      <c r="C56" s="20">
        <v>4.0000000000000002E-4</v>
      </c>
      <c r="D56" s="38">
        <f t="shared" si="0"/>
        <v>0.44332600099082609</v>
      </c>
      <c r="E56" s="32">
        <f t="shared" si="11"/>
        <v>45406.905120909265</v>
      </c>
      <c r="F56" s="47">
        <v>0</v>
      </c>
      <c r="G56" s="15">
        <v>-8.3000000000000004E-2</v>
      </c>
      <c r="H56" s="38">
        <f t="shared" si="1"/>
        <v>0.19488597149674686</v>
      </c>
      <c r="I56" s="32">
        <f t="shared" si="5"/>
        <v>19960.861301550711</v>
      </c>
      <c r="J56" s="47">
        <v>0</v>
      </c>
      <c r="K56" s="17">
        <v>-7.7799999999999994E-2</v>
      </c>
      <c r="L56" s="38">
        <f t="shared" si="2"/>
        <v>0.15169592327176878</v>
      </c>
      <c r="M56" s="32">
        <f t="shared" si="6"/>
        <v>15537.194705104774</v>
      </c>
      <c r="N56" s="47">
        <v>0</v>
      </c>
      <c r="O56" s="17">
        <v>-3.1E-2</v>
      </c>
      <c r="P56" s="38">
        <f t="shared" si="3"/>
        <v>0.17940102948540493</v>
      </c>
      <c r="Q56" s="31">
        <f t="shared" si="7"/>
        <v>18374.842680625439</v>
      </c>
      <c r="R56" s="47">
        <v>0</v>
      </c>
      <c r="S56" s="27">
        <v>-5.0900000000000001E-2</v>
      </c>
      <c r="T56" s="38">
        <f t="shared" si="4"/>
        <v>3.0691074755253307E-2</v>
      </c>
      <c r="U56" s="31">
        <f t="shared" si="8"/>
        <v>3143.4806809342963</v>
      </c>
      <c r="V56" s="47">
        <v>0</v>
      </c>
      <c r="W56" s="37">
        <f t="shared" si="9"/>
        <v>102423.28448912449</v>
      </c>
      <c r="X56" s="40">
        <f t="shared" si="10"/>
        <v>-3.6279515321178901E-2</v>
      </c>
      <c r="Y56" s="1"/>
      <c r="Z56" s="1"/>
      <c r="AA56" s="1"/>
      <c r="AB56" s="1"/>
      <c r="AC56" s="1"/>
      <c r="AD56" s="1"/>
      <c r="AE56" s="1"/>
      <c r="AP56"/>
      <c r="AQ56"/>
      <c r="AR56"/>
      <c r="AS56"/>
      <c r="AT56"/>
      <c r="AU56"/>
      <c r="AV56"/>
      <c r="AW56"/>
    </row>
    <row r="57" spans="1:49" x14ac:dyDescent="0.35">
      <c r="A57" s="106" cm="1">
        <f t="array" ref="A57">SUM(G51:G56+K51:K56+O51:O56)</f>
        <v>-0.66930000000000001</v>
      </c>
      <c r="B57" s="11" t="s">
        <v>51</v>
      </c>
      <c r="C57" s="15">
        <v>-1.9599999999999999E-2</v>
      </c>
      <c r="D57" s="38">
        <f t="shared" si="0"/>
        <v>0.43844500366814781</v>
      </c>
      <c r="E57" s="32">
        <f t="shared" si="11"/>
        <v>45187.101808539446</v>
      </c>
      <c r="F57" s="49">
        <v>683.57</v>
      </c>
      <c r="G57" s="20">
        <v>3.6799999999999999E-2</v>
      </c>
      <c r="H57" s="38">
        <f t="shared" si="1"/>
        <v>0.18363234617668694</v>
      </c>
      <c r="I57" s="32">
        <f t="shared" si="5"/>
        <v>18925.551557447779</v>
      </c>
      <c r="J57" s="48">
        <v>-1707.05</v>
      </c>
      <c r="K57" s="19">
        <v>3.44E-2</v>
      </c>
      <c r="L57" s="38">
        <f t="shared" si="2"/>
        <v>0.13880844012607993</v>
      </c>
      <c r="M57" s="32">
        <f t="shared" si="6"/>
        <v>14305.901682960379</v>
      </c>
      <c r="N57" s="48">
        <v>-1707.05</v>
      </c>
      <c r="O57" s="19">
        <v>3.8999999999999998E-3</v>
      </c>
      <c r="P57" s="38">
        <f t="shared" si="3"/>
        <v>0.16235631363859684</v>
      </c>
      <c r="Q57" s="31">
        <f t="shared" si="7"/>
        <v>16732.79707207988</v>
      </c>
      <c r="R57" s="48">
        <v>-1707.05</v>
      </c>
      <c r="S57" s="26">
        <v>4.3499999999999997E-2</v>
      </c>
      <c r="T57" s="38">
        <f t="shared" si="4"/>
        <v>7.675789639048855E-2</v>
      </c>
      <c r="U57" s="31">
        <f t="shared" si="8"/>
        <v>7910.8368205549377</v>
      </c>
      <c r="V57" s="49">
        <v>4437.58</v>
      </c>
      <c r="W57" s="37">
        <f t="shared" si="9"/>
        <v>103062.18894158241</v>
      </c>
      <c r="X57" s="40">
        <f t="shared" si="10"/>
        <v>6.2378828763860472E-3</v>
      </c>
      <c r="Y57" s="1"/>
      <c r="Z57" s="1"/>
      <c r="AA57" s="1"/>
      <c r="AB57" s="1"/>
      <c r="AC57" s="1"/>
      <c r="AD57" s="1"/>
      <c r="AE57" s="1"/>
      <c r="AP57"/>
      <c r="AQ57"/>
      <c r="AR57"/>
      <c r="AS57"/>
      <c r="AT57"/>
      <c r="AU57"/>
      <c r="AV57"/>
      <c r="AW57"/>
    </row>
    <row r="58" spans="1:49" x14ac:dyDescent="0.35">
      <c r="A58" s="106" cm="1">
        <f t="array" ref="A58">SUM(G52:G57+K52:K57+O52:O57)</f>
        <v>-0.54459999999999997</v>
      </c>
      <c r="B58" s="10" t="s">
        <v>52</v>
      </c>
      <c r="C58" s="15">
        <v>-6.7000000000000004E-2</v>
      </c>
      <c r="D58" s="38">
        <f t="shared" si="0"/>
        <v>0.42688332341753349</v>
      </c>
      <c r="E58" s="32">
        <f t="shared" si="11"/>
        <v>43270.666357367299</v>
      </c>
      <c r="F58" s="49">
        <v>1190.8900000000001</v>
      </c>
      <c r="G58" s="20">
        <v>2.41E-2</v>
      </c>
      <c r="H58" s="38">
        <f t="shared" si="1"/>
        <v>0.1738539742086842</v>
      </c>
      <c r="I58" s="32">
        <f t="shared" si="5"/>
        <v>17622.560779982272</v>
      </c>
      <c r="J58" s="48">
        <v>-1717.7</v>
      </c>
      <c r="K58" s="19">
        <v>2.2200000000000001E-2</v>
      </c>
      <c r="L58" s="38">
        <f t="shared" si="2"/>
        <v>0.12694487572080385</v>
      </c>
      <c r="M58" s="32">
        <f t="shared" si="6"/>
        <v>12867.659760322098</v>
      </c>
      <c r="N58" s="48">
        <v>-1717.7</v>
      </c>
      <c r="O58" s="19">
        <v>6.7000000000000004E-2</v>
      </c>
      <c r="P58" s="38">
        <f t="shared" si="3"/>
        <v>0.15805497463879109</v>
      </c>
      <c r="Q58" s="31">
        <f t="shared" si="7"/>
        <v>16021.108575909231</v>
      </c>
      <c r="R58" s="48">
        <v>-1717.7</v>
      </c>
      <c r="S58" s="27">
        <v>-2.4500000000000001E-2</v>
      </c>
      <c r="T58" s="38">
        <f t="shared" si="4"/>
        <v>0.11426285201418734</v>
      </c>
      <c r="U58" s="31">
        <f t="shared" si="8"/>
        <v>11582.157173451342</v>
      </c>
      <c r="V58" s="49">
        <v>3962.21</v>
      </c>
      <c r="W58" s="37">
        <f t="shared" si="9"/>
        <v>101364.15264703224</v>
      </c>
      <c r="X58" s="40">
        <f t="shared" si="10"/>
        <v>-1.6475841547598513E-2</v>
      </c>
      <c r="Y58" s="1"/>
      <c r="Z58" s="1"/>
      <c r="AA58" s="1"/>
      <c r="AB58" s="1"/>
      <c r="AC58" s="1"/>
      <c r="AD58" s="1"/>
      <c r="AE58" s="1"/>
      <c r="AP58"/>
      <c r="AQ58"/>
      <c r="AR58"/>
      <c r="AS58"/>
      <c r="AT58"/>
      <c r="AU58"/>
      <c r="AV58"/>
      <c r="AW58"/>
    </row>
    <row r="59" spans="1:49" x14ac:dyDescent="0.35">
      <c r="A59" s="106" cm="1">
        <f t="array" ref="A59">SUM(G53:G58+K53:K58+O53:O58)</f>
        <v>-0.43680000000000002</v>
      </c>
      <c r="B59" s="11" t="s">
        <v>53</v>
      </c>
      <c r="C59" s="15">
        <v>-2.6200000000000001E-2</v>
      </c>
      <c r="D59" s="38">
        <f t="shared" si="0"/>
        <v>0.44852320919073962</v>
      </c>
      <c r="E59" s="32">
        <f t="shared" si="11"/>
        <v>44418.783058804271</v>
      </c>
      <c r="F59" s="49">
        <v>2343.1999999999998</v>
      </c>
      <c r="G59" s="15">
        <v>-2.9600000000000001E-2</v>
      </c>
      <c r="H59" s="38">
        <f t="shared" si="1"/>
        <v>0.15612447511683147</v>
      </c>
      <c r="I59" s="32">
        <f t="shared" si="5"/>
        <v>15461.539220894798</v>
      </c>
      <c r="J59" s="48">
        <v>-1689.4</v>
      </c>
      <c r="K59" s="19">
        <v>4.1000000000000003E-3</v>
      </c>
      <c r="L59" s="38">
        <f t="shared" si="2"/>
        <v>0.11333640412571112</v>
      </c>
      <c r="M59" s="32">
        <f t="shared" si="6"/>
        <v>11224.090625339419</v>
      </c>
      <c r="N59" s="48">
        <v>-1689.4</v>
      </c>
      <c r="O59" s="17">
        <v>-9.4999999999999998E-3</v>
      </c>
      <c r="P59" s="38">
        <f t="shared" si="3"/>
        <v>0.14334109351779131</v>
      </c>
      <c r="Q59" s="31">
        <f t="shared" si="7"/>
        <v>14195.557344438093</v>
      </c>
      <c r="R59" s="48">
        <v>-1689.4</v>
      </c>
      <c r="S59" s="27">
        <v>-4.0099999999999997E-2</v>
      </c>
      <c r="T59" s="38">
        <f t="shared" si="4"/>
        <v>0.13867481804892637</v>
      </c>
      <c r="U59" s="31">
        <f t="shared" si="8"/>
        <v>13733.440170795942</v>
      </c>
      <c r="V59" s="49">
        <v>2725</v>
      </c>
      <c r="W59" s="37">
        <f t="shared" si="9"/>
        <v>99033.410420272528</v>
      </c>
      <c r="X59" s="40">
        <f t="shared" si="10"/>
        <v>-2.2993752385774502E-2</v>
      </c>
      <c r="Y59" s="1"/>
      <c r="Z59" s="1"/>
      <c r="AA59" s="1"/>
      <c r="AB59" s="1"/>
      <c r="AC59" s="1"/>
      <c r="AD59" s="1"/>
      <c r="AE59" s="1"/>
      <c r="AP59"/>
      <c r="AQ59"/>
      <c r="AR59"/>
      <c r="AS59"/>
      <c r="AT59"/>
      <c r="AU59"/>
      <c r="AV59"/>
      <c r="AW59"/>
    </row>
    <row r="60" spans="1:49" x14ac:dyDescent="0.35">
      <c r="A60" s="106" cm="1">
        <f t="array" ref="A60">SUM(G54:G59+K54:K59+O54:O59)</f>
        <v>-0.34089999999999998</v>
      </c>
      <c r="B60" s="10" t="s">
        <v>54</v>
      </c>
      <c r="C60" s="20">
        <v>1.5699999999999999E-2</v>
      </c>
      <c r="D60" s="38">
        <f t="shared" si="0"/>
        <v>0.49548553663714995</v>
      </c>
      <c r="E60" s="32">
        <f t="shared" si="11"/>
        <v>46997.153096827496</v>
      </c>
      <c r="F60" s="49">
        <v>1851.92</v>
      </c>
      <c r="G60" s="15">
        <v>-0.11</v>
      </c>
      <c r="H60" s="38">
        <f t="shared" si="1"/>
        <v>0.14507820181496286</v>
      </c>
      <c r="I60" s="32">
        <f t="shared" si="5"/>
        <v>13760.76990659637</v>
      </c>
      <c r="J60" s="47">
        <v>0</v>
      </c>
      <c r="K60" s="17">
        <v>-9.9500000000000005E-2</v>
      </c>
      <c r="L60" s="38">
        <f t="shared" si="2"/>
        <v>0.10656002475404659</v>
      </c>
      <c r="M60" s="32">
        <f t="shared" si="6"/>
        <v>10107.293608118147</v>
      </c>
      <c r="N60" s="47">
        <v>0</v>
      </c>
      <c r="O60" s="17">
        <v>-0.1265</v>
      </c>
      <c r="P60" s="38">
        <f t="shared" si="3"/>
        <v>0.13072985777259843</v>
      </c>
      <c r="Q60" s="31">
        <f t="shared" si="7"/>
        <v>12399.819340366674</v>
      </c>
      <c r="R60" s="47">
        <v>0</v>
      </c>
      <c r="S60" s="27">
        <v>-2.4899999999999999E-2</v>
      </c>
      <c r="T60" s="38">
        <f t="shared" si="4"/>
        <v>0.12214637902124223</v>
      </c>
      <c r="U60" s="31">
        <f t="shared" si="8"/>
        <v>11585.670318543123</v>
      </c>
      <c r="V60" s="48">
        <v>-1851.92</v>
      </c>
      <c r="W60" s="37">
        <f t="shared" si="9"/>
        <v>94850.706270451803</v>
      </c>
      <c r="X60" s="40">
        <f t="shared" si="10"/>
        <v>-4.223528334599802E-2</v>
      </c>
      <c r="Y60" s="1"/>
      <c r="Z60" s="1"/>
      <c r="AA60" s="1"/>
      <c r="AB60" s="1"/>
      <c r="AC60" s="1"/>
      <c r="AD60" s="1"/>
      <c r="AE60" s="1"/>
      <c r="AP60"/>
      <c r="AQ60"/>
      <c r="AR60"/>
      <c r="AS60"/>
      <c r="AT60"/>
      <c r="AU60"/>
      <c r="AV60"/>
      <c r="AW60"/>
    </row>
    <row r="61" spans="1:49" x14ac:dyDescent="0.35">
      <c r="A61" s="106" cm="1">
        <f t="array" ref="A61">SUM(G55:G60+K55:K60+O55:O60)</f>
        <v>-0.62480000000000002</v>
      </c>
      <c r="B61" s="11" t="s">
        <v>55</v>
      </c>
      <c r="C61" s="15">
        <v>-3.2599999999999997E-2</v>
      </c>
      <c r="D61" s="38">
        <f t="shared" si="0"/>
        <v>0.44948882987979305</v>
      </c>
      <c r="E61" s="32">
        <f t="shared" si="11"/>
        <v>41291.363063870922</v>
      </c>
      <c r="F61" s="48">
        <v>-4314.33</v>
      </c>
      <c r="G61" s="15">
        <v>-3.04E-2</v>
      </c>
      <c r="H61" s="38">
        <f t="shared" si="1"/>
        <v>0.16440770530030746</v>
      </c>
      <c r="I61" s="32">
        <f t="shared" si="5"/>
        <v>15102.97430943584</v>
      </c>
      <c r="J61" s="49">
        <v>1815.73</v>
      </c>
      <c r="K61" s="19">
        <v>1.15E-2</v>
      </c>
      <c r="L61" s="38">
        <f t="shared" si="2"/>
        <v>0.12614369165630449</v>
      </c>
      <c r="M61" s="32">
        <f t="shared" si="6"/>
        <v>11587.929719611506</v>
      </c>
      <c r="N61" s="49">
        <v>1348.89</v>
      </c>
      <c r="O61" s="17">
        <v>-7.46E-2</v>
      </c>
      <c r="P61" s="38">
        <f t="shared" si="3"/>
        <v>0.13850042624871067</v>
      </c>
      <c r="Q61" s="31">
        <f t="shared" si="7"/>
        <v>12723.055623575319</v>
      </c>
      <c r="R61" s="49">
        <v>1348.89</v>
      </c>
      <c r="S61" s="27">
        <v>-2.01E-2</v>
      </c>
      <c r="T61" s="38">
        <f t="shared" si="4"/>
        <v>0.12145934691488419</v>
      </c>
      <c r="U61" s="31">
        <f t="shared" si="8"/>
        <v>11157.612064140407</v>
      </c>
      <c r="V61" s="48">
        <v>-199.19</v>
      </c>
      <c r="W61" s="37">
        <f t="shared" si="9"/>
        <v>91862.934780634008</v>
      </c>
      <c r="X61" s="40">
        <f t="shared" si="10"/>
        <v>-3.1499728439539854E-2</v>
      </c>
      <c r="Y61" s="1"/>
      <c r="Z61" s="1"/>
      <c r="AA61" s="1"/>
      <c r="AB61" s="1"/>
      <c r="AC61" s="1"/>
      <c r="AD61" s="1"/>
      <c r="AE61" s="1"/>
      <c r="AP61"/>
      <c r="AQ61"/>
      <c r="AR61"/>
      <c r="AS61"/>
      <c r="AT61"/>
      <c r="AU61"/>
      <c r="AV61"/>
      <c r="AW61"/>
    </row>
    <row r="62" spans="1:49" x14ac:dyDescent="0.35">
      <c r="A62" s="106" cm="1">
        <f t="array" ref="A62">SUM(G56:G61+K56:K61+O56:O61)</f>
        <v>-0.46789999999999998</v>
      </c>
      <c r="B62" s="10" t="s">
        <v>56</v>
      </c>
      <c r="C62" s="15">
        <v>-4.8500000000000001E-2</v>
      </c>
      <c r="D62" s="38">
        <f t="shared" si="0"/>
        <v>0.42722346361672875</v>
      </c>
      <c r="E62" s="32">
        <f t="shared" si="11"/>
        <v>39288.731955273179</v>
      </c>
      <c r="F62" s="47">
        <v>0</v>
      </c>
      <c r="G62" s="20">
        <v>5.9499999999999997E-2</v>
      </c>
      <c r="H62" s="38">
        <f t="shared" si="1"/>
        <v>0.20626572182748179</v>
      </c>
      <c r="I62" s="32">
        <f t="shared" si="5"/>
        <v>18968.805195847272</v>
      </c>
      <c r="J62" s="49">
        <v>2800.57</v>
      </c>
      <c r="K62" s="19">
        <v>8.4199999999999997E-2</v>
      </c>
      <c r="L62" s="38">
        <f t="shared" si="2"/>
        <v>0.16963364734316005</v>
      </c>
      <c r="M62" s="32">
        <f t="shared" si="6"/>
        <v>15600.011396002794</v>
      </c>
      <c r="N62" s="49">
        <v>2800.57</v>
      </c>
      <c r="O62" s="17">
        <v>-1.9400000000000001E-2</v>
      </c>
      <c r="P62" s="38">
        <f t="shared" si="3"/>
        <v>0.16552825391068901</v>
      </c>
      <c r="Q62" s="31">
        <f t="shared" si="7"/>
        <v>15222.467286477959</v>
      </c>
      <c r="R62" s="49">
        <v>2800.57</v>
      </c>
      <c r="S62" s="26">
        <v>4.6100000000000002E-2</v>
      </c>
      <c r="T62" s="38">
        <f t="shared" si="4"/>
        <v>3.1348913301940354E-2</v>
      </c>
      <c r="U62" s="31">
        <f t="shared" si="8"/>
        <v>2882.9386882972794</v>
      </c>
      <c r="V62" s="48">
        <v>-8401.7199999999993</v>
      </c>
      <c r="W62" s="37">
        <f t="shared" si="9"/>
        <v>91962.954521898486</v>
      </c>
      <c r="X62" s="40">
        <f t="shared" si="10"/>
        <v>1.0887932276855139E-3</v>
      </c>
      <c r="Y62" s="1"/>
      <c r="Z62" s="1"/>
      <c r="AA62" s="1"/>
      <c r="AB62" s="1"/>
      <c r="AC62" s="1"/>
      <c r="AD62" s="1"/>
      <c r="AE62" s="1"/>
      <c r="AP62"/>
      <c r="AQ62"/>
      <c r="AR62"/>
      <c r="AS62"/>
      <c r="AT62"/>
      <c r="AU62"/>
      <c r="AV62"/>
      <c r="AW62"/>
    </row>
    <row r="63" spans="1:49" x14ac:dyDescent="0.35">
      <c r="A63" s="105" cm="1">
        <f t="array" ref="A63">SUM(G57:G62+K57:K62+O57:O62)</f>
        <v>-0.15180000000000002</v>
      </c>
      <c r="B63" s="11" t="s">
        <v>57</v>
      </c>
      <c r="C63" s="20">
        <v>0.2581</v>
      </c>
      <c r="D63" s="38">
        <f t="shared" si="0"/>
        <v>0.46448181289304702</v>
      </c>
      <c r="E63" s="32">
        <f t="shared" si="11"/>
        <v>49429.153672929184</v>
      </c>
      <c r="F63" s="47">
        <v>0</v>
      </c>
      <c r="G63" s="20">
        <v>9.11E-2</v>
      </c>
      <c r="H63" s="38">
        <f t="shared" si="1"/>
        <v>0.19448677339777851</v>
      </c>
      <c r="I63" s="32">
        <f t="shared" si="5"/>
        <v>20696.86334918896</v>
      </c>
      <c r="J63" s="47">
        <v>0</v>
      </c>
      <c r="K63" s="19">
        <v>0.1047</v>
      </c>
      <c r="L63" s="38">
        <f t="shared" si="2"/>
        <v>0.16194025121631225</v>
      </c>
      <c r="M63" s="32">
        <f t="shared" si="6"/>
        <v>17233.332589164285</v>
      </c>
      <c r="N63" s="47">
        <v>0</v>
      </c>
      <c r="O63" s="19">
        <v>2.3900000000000001E-2</v>
      </c>
      <c r="P63" s="38">
        <f t="shared" si="3"/>
        <v>0.1464630694419384</v>
      </c>
      <c r="Q63" s="31">
        <f t="shared" si="7"/>
        <v>15586.284254624781</v>
      </c>
      <c r="R63" s="47">
        <v>0</v>
      </c>
      <c r="S63" s="26">
        <v>0.2044</v>
      </c>
      <c r="T63" s="38">
        <f t="shared" si="4"/>
        <v>3.2628093050923838E-2</v>
      </c>
      <c r="U63" s="31">
        <f t="shared" si="8"/>
        <v>3472.2113561852434</v>
      </c>
      <c r="V63" s="47">
        <v>0</v>
      </c>
      <c r="W63" s="37">
        <f t="shared" si="9"/>
        <v>106417.84522209245</v>
      </c>
      <c r="X63" s="40">
        <f t="shared" si="10"/>
        <v>0.15718166924217214</v>
      </c>
      <c r="Y63" s="1"/>
      <c r="Z63" s="1"/>
      <c r="AA63" s="1"/>
      <c r="AB63" s="1"/>
      <c r="AC63" s="1"/>
      <c r="AD63" s="1"/>
      <c r="AE63" s="1"/>
      <c r="AP63"/>
      <c r="AQ63"/>
      <c r="AR63"/>
      <c r="AS63"/>
      <c r="AT63"/>
      <c r="AU63"/>
      <c r="AV63"/>
      <c r="AW63"/>
    </row>
    <row r="64" spans="1:49" x14ac:dyDescent="0.35">
      <c r="A64" s="105" cm="1">
        <f t="array" ref="A64">SUM(G58:G63+K58:K63+O58:O63)</f>
        <v>-7.2000000000000675E-3</v>
      </c>
      <c r="B64" s="10" t="s">
        <v>58</v>
      </c>
      <c r="C64" s="15">
        <v>-0.10829999999999999</v>
      </c>
      <c r="D64" s="38">
        <f t="shared" si="0"/>
        <v>0.4580698760818307</v>
      </c>
      <c r="E64" s="32">
        <f t="shared" si="11"/>
        <v>42701.759626150953</v>
      </c>
      <c r="F64" s="48">
        <v>-1541.12</v>
      </c>
      <c r="G64" s="15">
        <v>-0.1089</v>
      </c>
      <c r="H64" s="38">
        <f t="shared" si="1"/>
        <v>0.20275184397637885</v>
      </c>
      <c r="I64" s="32">
        <f t="shared" si="5"/>
        <v>18900.741911462283</v>
      </c>
      <c r="J64" s="49">
        <v>513.71</v>
      </c>
      <c r="K64" s="17">
        <v>-0.15190000000000001</v>
      </c>
      <c r="L64" s="38">
        <f t="shared" si="2"/>
        <v>0.16145779441909114</v>
      </c>
      <c r="M64" s="32">
        <f t="shared" si="6"/>
        <v>15051.26681987023</v>
      </c>
      <c r="N64" s="49">
        <v>513.71</v>
      </c>
      <c r="O64" s="17">
        <v>-0.20150000000000001</v>
      </c>
      <c r="P64" s="38">
        <f t="shared" si="3"/>
        <v>0.1379070925063525</v>
      </c>
      <c r="Q64" s="31">
        <f t="shared" si="7"/>
        <v>12855.845412317889</v>
      </c>
      <c r="R64" s="49">
        <v>513.71</v>
      </c>
      <c r="S64" s="26">
        <v>6.8900000000000003E-2</v>
      </c>
      <c r="T64" s="38">
        <f t="shared" si="4"/>
        <v>3.9813393016346739E-2</v>
      </c>
      <c r="U64" s="31">
        <f t="shared" si="8"/>
        <v>3711.4467186264069</v>
      </c>
      <c r="V64" s="47">
        <v>0</v>
      </c>
      <c r="W64" s="37">
        <f t="shared" si="9"/>
        <v>93221.060488427771</v>
      </c>
      <c r="X64" s="40">
        <f t="shared" si="10"/>
        <v>-0.12400913311224437</v>
      </c>
      <c r="Y64" s="1"/>
      <c r="Z64" s="1"/>
      <c r="AA64" s="1"/>
      <c r="AB64" s="1"/>
      <c r="AC64" s="1"/>
      <c r="AD64" s="1"/>
      <c r="AE64" s="1"/>
      <c r="AP64"/>
      <c r="AQ64"/>
      <c r="AR64"/>
      <c r="AS64"/>
      <c r="AT64"/>
      <c r="AU64"/>
      <c r="AV64"/>
      <c r="AW64"/>
    </row>
    <row r="65" spans="1:49" x14ac:dyDescent="0.35">
      <c r="A65" s="106" cm="1">
        <f t="array" ref="A65">SUM(G59:G64+K59:K64+O59:O64)</f>
        <v>-0.5828000000000001</v>
      </c>
      <c r="B65" s="11" t="s">
        <v>59</v>
      </c>
      <c r="C65" s="20">
        <v>0.2334</v>
      </c>
      <c r="D65" s="38">
        <f t="shared" si="0"/>
        <v>0.50360916015608448</v>
      </c>
      <c r="E65" s="32">
        <f t="shared" si="11"/>
        <v>51740.48817089459</v>
      </c>
      <c r="F65" s="48">
        <v>-752.28</v>
      </c>
      <c r="G65" s="20">
        <v>8.6999999999999994E-3</v>
      </c>
      <c r="H65" s="38">
        <f t="shared" si="1"/>
        <v>0.18556837796854397</v>
      </c>
      <c r="I65" s="32">
        <f t="shared" si="5"/>
        <v>19065.178366092005</v>
      </c>
      <c r="J65" s="47">
        <v>0</v>
      </c>
      <c r="K65" s="17">
        <v>-3.9699999999999999E-2</v>
      </c>
      <c r="L65" s="38">
        <f t="shared" si="2"/>
        <v>0.1406834734812141</v>
      </c>
      <c r="M65" s="32">
        <f t="shared" si="6"/>
        <v>14453.731527121383</v>
      </c>
      <c r="N65" s="47">
        <v>0</v>
      </c>
      <c r="O65" s="17">
        <v>-1.6E-2</v>
      </c>
      <c r="P65" s="38">
        <f t="shared" si="3"/>
        <v>0.12312857091670175</v>
      </c>
      <c r="Q65" s="31">
        <f t="shared" si="7"/>
        <v>12650.151885720803</v>
      </c>
      <c r="R65" s="47">
        <v>0</v>
      </c>
      <c r="S65" s="26">
        <v>8.8599999999999998E-2</v>
      </c>
      <c r="T65" s="38">
        <f t="shared" si="4"/>
        <v>4.7010417477455595E-2</v>
      </c>
      <c r="U65" s="31">
        <f t="shared" si="8"/>
        <v>4829.8207058967064</v>
      </c>
      <c r="V65" s="49">
        <v>725.28</v>
      </c>
      <c r="W65" s="37">
        <f t="shared" si="9"/>
        <v>102739.37065572549</v>
      </c>
      <c r="X65" s="40">
        <f t="shared" si="10"/>
        <v>0.10210471879880934</v>
      </c>
      <c r="Y65" s="1"/>
      <c r="Z65" s="1"/>
      <c r="AA65" s="1"/>
      <c r="AB65" s="1"/>
      <c r="AC65" s="1"/>
      <c r="AD65" s="1"/>
      <c r="AE65" s="1"/>
      <c r="AP65"/>
      <c r="AQ65"/>
      <c r="AR65"/>
      <c r="AS65"/>
      <c r="AT65"/>
      <c r="AU65"/>
      <c r="AV65"/>
      <c r="AW65"/>
    </row>
    <row r="66" spans="1:49" x14ac:dyDescent="0.35">
      <c r="A66" s="106" cm="1">
        <f t="array" ref="A66">SUM(G60:G65+K60:K65+O60:O65)</f>
        <v>-0.59480000000000011</v>
      </c>
      <c r="B66" s="10" t="s">
        <v>60</v>
      </c>
      <c r="C66" s="20">
        <v>9.1200000000000003E-2</v>
      </c>
      <c r="D66" s="38">
        <f t="shared" si="0"/>
        <v>0.46109200017035223</v>
      </c>
      <c r="E66" s="32">
        <f t="shared" si="11"/>
        <v>50449.142068080182</v>
      </c>
      <c r="F66" s="48">
        <v>-5507.77</v>
      </c>
      <c r="G66" s="20">
        <v>2.2800000000000001E-2</v>
      </c>
      <c r="H66" s="38">
        <f t="shared" si="1"/>
        <v>0.16221669309634401</v>
      </c>
      <c r="I66" s="32">
        <f t="shared" si="5"/>
        <v>17748.503536838904</v>
      </c>
      <c r="J66" s="48">
        <v>-1712.32</v>
      </c>
      <c r="K66" s="19">
        <v>5.5500000000000001E-2</v>
      </c>
      <c r="L66" s="38">
        <f t="shared" si="2"/>
        <v>0.12291632948010692</v>
      </c>
      <c r="M66" s="32">
        <f t="shared" si="6"/>
        <v>13448.55986687662</v>
      </c>
      <c r="N66" s="48">
        <v>-1712.32</v>
      </c>
      <c r="O66" s="19">
        <v>0.1041</v>
      </c>
      <c r="P66" s="38">
        <f t="shared" si="3"/>
        <v>0.11037569626409298</v>
      </c>
      <c r="Q66" s="31">
        <f t="shared" si="7"/>
        <v>12076.460185024338</v>
      </c>
      <c r="R66" s="48">
        <v>-1712.32</v>
      </c>
      <c r="S66" s="26">
        <v>1.3899999999999999E-2</v>
      </c>
      <c r="T66" s="38">
        <f t="shared" si="4"/>
        <v>0.14339928098910382</v>
      </c>
      <c r="U66" s="31">
        <f t="shared" si="8"/>
        <v>15689.646960708669</v>
      </c>
      <c r="V66" s="49">
        <v>10644.73</v>
      </c>
      <c r="W66" s="37">
        <f t="shared" si="9"/>
        <v>109412.31261752872</v>
      </c>
      <c r="X66" s="40">
        <f t="shared" si="10"/>
        <v>6.4950193087749408E-2</v>
      </c>
      <c r="Y66" s="1"/>
      <c r="Z66" s="1"/>
      <c r="AA66" s="1"/>
      <c r="AB66" s="1"/>
      <c r="AC66" s="1"/>
      <c r="AD66" s="1"/>
      <c r="AE66" s="1"/>
      <c r="AP66"/>
      <c r="AQ66"/>
      <c r="AR66"/>
      <c r="AS66"/>
      <c r="AT66"/>
      <c r="AU66"/>
      <c r="AV66"/>
      <c r="AW66"/>
    </row>
    <row r="67" spans="1:49" x14ac:dyDescent="0.35">
      <c r="A67" s="105" cm="1">
        <f t="array" ref="A67">SUM(G61:G66+K61:K66+O61:O66)</f>
        <v>-7.6400000000000023E-2</v>
      </c>
      <c r="B67" s="9" t="s">
        <v>61</v>
      </c>
      <c r="C67" s="20">
        <v>3.7900000000000003E-2</v>
      </c>
      <c r="D67" s="38">
        <f t="shared" si="0"/>
        <v>0.48119327562691028</v>
      </c>
      <c r="E67" s="32">
        <f t="shared" si="11"/>
        <v>51101.56911246042</v>
      </c>
      <c r="F67" s="48">
        <v>-1213.5999999999999</v>
      </c>
      <c r="G67" s="15">
        <v>-9.9000000000000005E-2</v>
      </c>
      <c r="H67" s="38">
        <f t="shared" si="1"/>
        <v>0.16125400425072031</v>
      </c>
      <c r="I67" s="32">
        <f t="shared" si="5"/>
        <v>17124.787606691854</v>
      </c>
      <c r="J67" s="49">
        <v>1257.92</v>
      </c>
      <c r="K67" s="17">
        <v>-0.1099</v>
      </c>
      <c r="L67" s="38">
        <f t="shared" si="2"/>
        <v>0.12326303245080737</v>
      </c>
      <c r="M67" s="32">
        <f t="shared" si="6"/>
        <v>13090.23772950688</v>
      </c>
      <c r="N67" s="49">
        <v>1257.92</v>
      </c>
      <c r="O67" s="17">
        <v>-0.1062</v>
      </c>
      <c r="P67" s="38">
        <f t="shared" si="3"/>
        <v>0.112227295639447</v>
      </c>
      <c r="Q67" s="31">
        <f t="shared" si="7"/>
        <v>11918.269009374753</v>
      </c>
      <c r="R67" s="49">
        <v>1257.92</v>
      </c>
      <c r="S67" s="27">
        <v>-1.2699999999999999E-2</v>
      </c>
      <c r="T67" s="38">
        <f t="shared" si="4"/>
        <v>0.12206239203211501</v>
      </c>
      <c r="U67" s="31">
        <f t="shared" si="8"/>
        <v>12962.73260330767</v>
      </c>
      <c r="V67" s="48">
        <v>-2560.17</v>
      </c>
      <c r="W67" s="37">
        <f t="shared" si="9"/>
        <v>106197.59606134158</v>
      </c>
      <c r="X67" s="40">
        <f t="shared" si="10"/>
        <v>-2.9381670849283448E-2</v>
      </c>
      <c r="Y67" s="1"/>
      <c r="Z67" s="1"/>
      <c r="AA67" s="1"/>
      <c r="AB67" s="1"/>
      <c r="AC67" s="1"/>
      <c r="AD67" s="1"/>
      <c r="AE67" s="1"/>
      <c r="AP67"/>
      <c r="AQ67"/>
      <c r="AR67"/>
      <c r="AS67"/>
      <c r="AT67"/>
      <c r="AU67"/>
      <c r="AV67"/>
      <c r="AW67"/>
    </row>
    <row r="68" spans="1:49" x14ac:dyDescent="0.35">
      <c r="A68" s="106" cm="1">
        <f t="array" ref="A68">SUM(G62:G67+K62:K67+O62:O67)</f>
        <v>-0.29800000000000004</v>
      </c>
      <c r="B68" s="10" t="s">
        <v>62</v>
      </c>
      <c r="C68" s="20">
        <v>4.48E-2</v>
      </c>
      <c r="D68" s="38">
        <f t="shared" si="0"/>
        <v>0.47481898550864771</v>
      </c>
      <c r="E68" s="32">
        <f t="shared" si="11"/>
        <v>49929.862688698646</v>
      </c>
      <c r="F68" s="48">
        <v>-3312.65</v>
      </c>
      <c r="G68" s="15">
        <v>-8.7400000000000005E-2</v>
      </c>
      <c r="H68" s="38">
        <f t="shared" si="1"/>
        <v>0.15883525332713674</v>
      </c>
      <c r="I68" s="32">
        <f t="shared" si="5"/>
        <v>16702.412141866986</v>
      </c>
      <c r="J68" s="49">
        <v>1177.22</v>
      </c>
      <c r="K68" s="17">
        <v>-9.7600000000000006E-2</v>
      </c>
      <c r="L68" s="38">
        <f t="shared" si="2"/>
        <v>0.12243719887770227</v>
      </c>
      <c r="M68" s="32">
        <f t="shared" si="6"/>
        <v>12874.953855107007</v>
      </c>
      <c r="N68" s="49">
        <v>1177.22</v>
      </c>
      <c r="O68" s="17">
        <v>-3.9E-2</v>
      </c>
      <c r="P68" s="38">
        <f t="shared" si="3"/>
        <v>0.11967758369347202</v>
      </c>
      <c r="Q68" s="31">
        <f t="shared" si="7"/>
        <v>12584.764938009137</v>
      </c>
      <c r="R68" s="49">
        <v>1177.22</v>
      </c>
      <c r="S68" s="26">
        <v>2.5100000000000001E-2</v>
      </c>
      <c r="T68" s="38">
        <f t="shared" si="4"/>
        <v>0.12423097859304134</v>
      </c>
      <c r="U68" s="31">
        <f t="shared" si="8"/>
        <v>13063.579789650692</v>
      </c>
      <c r="V68" s="48">
        <v>-219.02</v>
      </c>
      <c r="W68" s="37">
        <f t="shared" si="9"/>
        <v>105155.57341333246</v>
      </c>
      <c r="X68" s="40">
        <f t="shared" si="10"/>
        <v>-9.8121114474872817E-3</v>
      </c>
      <c r="Y68" s="1"/>
      <c r="Z68" s="1"/>
      <c r="AA68" s="1"/>
      <c r="AB68" s="1"/>
      <c r="AC68" s="1"/>
      <c r="AD68" s="1"/>
      <c r="AE68" s="1"/>
      <c r="AP68"/>
      <c r="AQ68"/>
      <c r="AR68"/>
      <c r="AS68"/>
      <c r="AT68"/>
      <c r="AU68"/>
      <c r="AV68"/>
      <c r="AW68"/>
    </row>
    <row r="69" spans="1:49" x14ac:dyDescent="0.35">
      <c r="A69" s="106" cm="1">
        <f t="array" ref="A69">SUM(G63:G68+K63:K68+O63:O68)</f>
        <v>-0.64629999999999999</v>
      </c>
      <c r="B69" s="11" t="s">
        <v>63</v>
      </c>
      <c r="C69" s="15">
        <v>-3.7499999999999999E-2</v>
      </c>
      <c r="D69" s="38">
        <f t="shared" si="0"/>
        <v>0.41916988454155257</v>
      </c>
      <c r="E69" s="32">
        <f t="shared" si="11"/>
        <v>45545.512212872447</v>
      </c>
      <c r="F69" s="48">
        <v>-2609.85</v>
      </c>
      <c r="G69" s="20">
        <v>7.5300000000000006E-2</v>
      </c>
      <c r="H69" s="38">
        <f t="shared" si="1"/>
        <v>0.20658915647145168</v>
      </c>
      <c r="I69" s="32">
        <f t="shared" si="5"/>
        <v>22447.244652149573</v>
      </c>
      <c r="J69" s="49">
        <v>4172.92</v>
      </c>
      <c r="K69" s="19">
        <v>6.4000000000000001E-2</v>
      </c>
      <c r="L69" s="38">
        <f t="shared" si="2"/>
        <v>0.16693843336707048</v>
      </c>
      <c r="M69" s="32">
        <f t="shared" si="6"/>
        <v>18138.937781833854</v>
      </c>
      <c r="N69" s="49">
        <v>4172.92</v>
      </c>
      <c r="O69" s="19">
        <v>0.15770000000000001</v>
      </c>
      <c r="P69" s="38">
        <f t="shared" si="3"/>
        <v>0.17854781370259803</v>
      </c>
      <c r="Q69" s="31">
        <f t="shared" si="7"/>
        <v>19400.37185273318</v>
      </c>
      <c r="R69" s="49">
        <v>4172.92</v>
      </c>
      <c r="S69" s="27">
        <v>-9.5999999999999992E-3</v>
      </c>
      <c r="T69" s="38">
        <f t="shared" si="4"/>
        <v>2.8754711917327234E-2</v>
      </c>
      <c r="U69" s="31">
        <f t="shared" si="8"/>
        <v>3124.3849596700456</v>
      </c>
      <c r="V69" s="48">
        <v>-9908.91</v>
      </c>
      <c r="W69" s="37">
        <f t="shared" si="9"/>
        <v>108656.4514592591</v>
      </c>
      <c r="X69" s="40">
        <f t="shared" si="10"/>
        <v>3.3292367986676563E-2</v>
      </c>
      <c r="Y69" s="1"/>
      <c r="Z69" s="1"/>
      <c r="AA69" s="1"/>
      <c r="AB69" s="1"/>
      <c r="AC69" s="1"/>
      <c r="AD69" s="1"/>
      <c r="AE69" s="1"/>
      <c r="AP69"/>
      <c r="AQ69"/>
      <c r="AR69"/>
      <c r="AS69"/>
      <c r="AT69"/>
      <c r="AU69"/>
      <c r="AV69"/>
      <c r="AW69"/>
    </row>
    <row r="70" spans="1:49" x14ac:dyDescent="0.35">
      <c r="A70" s="106" cm="1">
        <f t="array" ref="A70">SUM(G64:G69+K64:K69+O64:O69)</f>
        <v>-0.56900000000000006</v>
      </c>
      <c r="B70" s="10" t="s">
        <v>64</v>
      </c>
      <c r="C70" s="15">
        <v>-9.7500000000000003E-2</v>
      </c>
      <c r="D70" s="38">
        <f t="shared" si="0"/>
        <v>0.38242274745561705</v>
      </c>
      <c r="E70" s="32">
        <f t="shared" si="11"/>
        <v>41104.824772117383</v>
      </c>
      <c r="F70" s="47">
        <v>0</v>
      </c>
      <c r="G70" s="20">
        <v>2.2599999999999999E-2</v>
      </c>
      <c r="H70" s="38">
        <f t="shared" si="1"/>
        <v>0.21313084249148578</v>
      </c>
      <c r="I70" s="32">
        <f t="shared" si="5"/>
        <v>22908.433121288155</v>
      </c>
      <c r="J70" s="48">
        <v>-45.1</v>
      </c>
      <c r="K70" s="19">
        <v>7.8600000000000003E-2</v>
      </c>
      <c r="L70" s="38">
        <f t="shared" si="2"/>
        <v>0.18156913494282118</v>
      </c>
      <c r="M70" s="32">
        <f t="shared" si="6"/>
        <v>19516.013431485997</v>
      </c>
      <c r="N70" s="48">
        <v>-45.1</v>
      </c>
      <c r="O70" s="19">
        <v>8.0199999999999994E-2</v>
      </c>
      <c r="P70" s="38">
        <f t="shared" si="3"/>
        <v>0.19451556751357177</v>
      </c>
      <c r="Q70" s="31">
        <f t="shared" si="7"/>
        <v>20907.564655322381</v>
      </c>
      <c r="R70" s="48">
        <v>-45.1</v>
      </c>
      <c r="S70" s="27">
        <v>-6.4799999999999996E-2</v>
      </c>
      <c r="T70" s="38">
        <f t="shared" si="4"/>
        <v>2.8361707596504273E-2</v>
      </c>
      <c r="U70" s="31">
        <f t="shared" si="8"/>
        <v>3048.4667262834269</v>
      </c>
      <c r="V70" s="49">
        <v>135.31</v>
      </c>
      <c r="W70" s="37">
        <f t="shared" si="9"/>
        <v>107485.30270649734</v>
      </c>
      <c r="X70" s="40">
        <f t="shared" si="10"/>
        <v>-1.0778455738552073E-2</v>
      </c>
      <c r="Y70" s="1"/>
      <c r="Z70" s="1"/>
      <c r="AA70" s="1"/>
      <c r="AB70" s="1"/>
      <c r="AC70" s="1"/>
      <c r="AD70" s="1"/>
      <c r="AE70" s="1"/>
      <c r="AP70"/>
      <c r="AQ70"/>
      <c r="AR70"/>
      <c r="AS70"/>
      <c r="AT70"/>
      <c r="AU70"/>
      <c r="AV70"/>
      <c r="AW70"/>
    </row>
    <row r="71" spans="1:49" x14ac:dyDescent="0.35">
      <c r="A71" s="105" cm="1">
        <f t="array" ref="A71">SUM(G65:G70+K65:K70+O65:O70)</f>
        <v>7.47000000000001E-2</v>
      </c>
      <c r="B71" s="11" t="s">
        <v>65</v>
      </c>
      <c r="C71" s="20">
        <v>1.6299999999999999E-2</v>
      </c>
      <c r="D71" s="38">
        <f t="shared" si="0"/>
        <v>0.38834950353769748</v>
      </c>
      <c r="E71" s="32">
        <f t="shared" si="11"/>
        <v>41774.833415902896</v>
      </c>
      <c r="F71" s="47">
        <v>0</v>
      </c>
      <c r="G71" s="15">
        <v>-3.2000000000000001E-2</v>
      </c>
      <c r="H71" s="38">
        <f t="shared" si="1"/>
        <v>0.20561960325891601</v>
      </c>
      <c r="I71" s="32">
        <f t="shared" si="5"/>
        <v>22118.541661406933</v>
      </c>
      <c r="J71" s="48">
        <v>-58.7</v>
      </c>
      <c r="K71" s="17">
        <v>-4.9500000000000002E-2</v>
      </c>
      <c r="L71" s="38">
        <f t="shared" si="2"/>
        <v>0.1719265797718712</v>
      </c>
      <c r="M71" s="32">
        <f t="shared" si="6"/>
        <v>18494.176416627441</v>
      </c>
      <c r="N71" s="48">
        <v>-58.7</v>
      </c>
      <c r="O71" s="19">
        <v>6.5699999999999995E-2</v>
      </c>
      <c r="P71" s="38">
        <f t="shared" si="3"/>
        <v>0.20655009704444077</v>
      </c>
      <c r="Q71" s="31">
        <f t="shared" si="7"/>
        <v>22218.635063177062</v>
      </c>
      <c r="R71" s="48">
        <v>-58.7</v>
      </c>
      <c r="S71" s="27">
        <v>-8.0799999999999997E-2</v>
      </c>
      <c r="T71" s="38">
        <f t="shared" si="4"/>
        <v>2.7554216387074573E-2</v>
      </c>
      <c r="U71" s="31">
        <f t="shared" si="8"/>
        <v>2964.0125427997264</v>
      </c>
      <c r="V71" s="49">
        <v>176.09</v>
      </c>
      <c r="W71" s="37">
        <f t="shared" si="9"/>
        <v>107570.19909991405</v>
      </c>
      <c r="X71" s="40">
        <f t="shared" si="10"/>
        <v>7.8984187864761246E-4</v>
      </c>
      <c r="Y71" s="1"/>
      <c r="Z71" s="1"/>
      <c r="AA71" s="1"/>
      <c r="AB71" s="1"/>
      <c r="AC71" s="1"/>
      <c r="AD71" s="1"/>
      <c r="AE71" s="1"/>
      <c r="AP71"/>
      <c r="AQ71"/>
      <c r="AR71"/>
      <c r="AS71"/>
      <c r="AT71"/>
      <c r="AU71"/>
      <c r="AV71"/>
      <c r="AW71"/>
    </row>
    <row r="72" spans="1:49" x14ac:dyDescent="0.35">
      <c r="A72" s="105" cm="1">
        <f t="array" ref="A72">SUM(G66:G71+K66:K71+O66:O71)</f>
        <v>0.10590000000000002</v>
      </c>
      <c r="B72" s="10" t="s">
        <v>66</v>
      </c>
      <c r="C72" s="15">
        <v>-7.6499999999999999E-2</v>
      </c>
      <c r="D72" s="38">
        <f t="shared" si="0"/>
        <v>0.37637109837470767</v>
      </c>
      <c r="E72" s="32">
        <f t="shared" si="11"/>
        <v>38579.058659586328</v>
      </c>
      <c r="F72" s="47">
        <v>0</v>
      </c>
      <c r="G72" s="15">
        <v>-2.3300000000000001E-2</v>
      </c>
      <c r="H72" s="38">
        <f t="shared" si="1"/>
        <v>0.20992149799075577</v>
      </c>
      <c r="I72" s="32">
        <f t="shared" si="5"/>
        <v>21517.523050696149</v>
      </c>
      <c r="J72" s="48">
        <v>-87.7</v>
      </c>
      <c r="K72" s="17">
        <v>-5.7999999999999996E-3</v>
      </c>
      <c r="L72" s="38">
        <f t="shared" si="2"/>
        <v>0.17852911719750336</v>
      </c>
      <c r="M72" s="32">
        <f t="shared" si="6"/>
        <v>18299.718853410999</v>
      </c>
      <c r="N72" s="48">
        <v>-87.7</v>
      </c>
      <c r="O72" s="17">
        <v>-5.3100000000000001E-2</v>
      </c>
      <c r="P72" s="38">
        <f t="shared" si="3"/>
        <v>0.20444124655931528</v>
      </c>
      <c r="Q72" s="31">
        <f t="shared" si="7"/>
        <v>20955.782411322358</v>
      </c>
      <c r="R72" s="48">
        <v>-87.7</v>
      </c>
      <c r="S72" s="27">
        <v>-2.3699999999999999E-2</v>
      </c>
      <c r="T72" s="38">
        <f t="shared" si="4"/>
        <v>3.0737039877717996E-2</v>
      </c>
      <c r="U72" s="31">
        <f t="shared" si="8"/>
        <v>3150.629975535373</v>
      </c>
      <c r="V72" s="49">
        <v>263.10000000000002</v>
      </c>
      <c r="W72" s="37">
        <f t="shared" si="9"/>
        <v>102502.7129505512</v>
      </c>
      <c r="X72" s="40">
        <f t="shared" si="10"/>
        <v>-4.7108643395333272E-2</v>
      </c>
      <c r="Y72" s="1"/>
      <c r="Z72" s="1"/>
      <c r="AA72" s="1"/>
      <c r="AB72" s="1"/>
      <c r="AC72" s="1"/>
      <c r="AD72" s="1"/>
      <c r="AE72" s="1"/>
      <c r="AP72"/>
      <c r="AQ72"/>
      <c r="AR72"/>
      <c r="AS72"/>
      <c r="AT72"/>
      <c r="AU72"/>
      <c r="AV72"/>
      <c r="AW72"/>
    </row>
    <row r="73" spans="1:49" x14ac:dyDescent="0.35">
      <c r="A73" s="105" cm="1">
        <f t="array" ref="A73">SUM(G67:G72+K67:K72+O67:O72)</f>
        <v>-0.15869999999999998</v>
      </c>
      <c r="B73" s="11" t="s">
        <v>67</v>
      </c>
      <c r="C73" s="15">
        <v>-8.3000000000000001E-3</v>
      </c>
      <c r="D73" s="38">
        <f t="shared" si="0"/>
        <v>0.36402465927368122</v>
      </c>
      <c r="E73" s="32">
        <f t="shared" si="11"/>
        <v>38258.852472711762</v>
      </c>
      <c r="F73" s="47">
        <v>0</v>
      </c>
      <c r="G73" s="20">
        <v>3.4000000000000002E-2</v>
      </c>
      <c r="H73" s="38">
        <f t="shared" si="1"/>
        <v>0.21169552611689321</v>
      </c>
      <c r="I73" s="32">
        <f t="shared" si="5"/>
        <v>22249.118834419816</v>
      </c>
      <c r="J73" s="47">
        <v>0</v>
      </c>
      <c r="K73" s="19">
        <v>4.7300000000000002E-2</v>
      </c>
      <c r="L73" s="38">
        <f t="shared" si="2"/>
        <v>0.18235361840319017</v>
      </c>
      <c r="M73" s="32">
        <f t="shared" si="6"/>
        <v>19165.295555177341</v>
      </c>
      <c r="N73" s="47">
        <v>0</v>
      </c>
      <c r="O73" s="19">
        <v>6.8699999999999997E-2</v>
      </c>
      <c r="P73" s="38">
        <f t="shared" si="3"/>
        <v>0.21308778454708599</v>
      </c>
      <c r="Q73" s="31">
        <f t="shared" si="7"/>
        <v>22395.444662980204</v>
      </c>
      <c r="R73" s="47">
        <v>0</v>
      </c>
      <c r="S73" s="27">
        <v>-3.7999999999999999E-2</v>
      </c>
      <c r="T73" s="38">
        <f t="shared" si="4"/>
        <v>2.8838411659149348E-2</v>
      </c>
      <c r="U73" s="31">
        <f t="shared" si="8"/>
        <v>3030.9060364650286</v>
      </c>
      <c r="V73" s="47">
        <v>0</v>
      </c>
      <c r="W73" s="37">
        <f t="shared" si="9"/>
        <v>105099.61756175416</v>
      </c>
      <c r="X73" s="40">
        <f t="shared" si="10"/>
        <v>2.5334984181889286E-2</v>
      </c>
      <c r="Y73" s="1"/>
      <c r="Z73" s="1"/>
      <c r="AA73" s="1"/>
      <c r="AB73" s="1"/>
      <c r="AC73" s="1"/>
      <c r="AD73" s="1"/>
      <c r="AE73" s="1"/>
      <c r="AP73"/>
      <c r="AQ73"/>
      <c r="AR73"/>
      <c r="AS73"/>
      <c r="AT73"/>
      <c r="AU73"/>
      <c r="AV73"/>
      <c r="AW73"/>
    </row>
    <row r="74" spans="1:49" x14ac:dyDescent="0.35">
      <c r="A74" s="106" cm="1">
        <f t="array" ref="A74">SUM(G68:G73+K68:K73+O68:O73)</f>
        <v>0.30640000000000012</v>
      </c>
      <c r="B74" s="10" t="s">
        <v>68</v>
      </c>
      <c r="C74" s="15">
        <v>-5.4000000000000003E-3</v>
      </c>
      <c r="D74" s="38">
        <f t="shared" si="0"/>
        <v>0.35954177796696457</v>
      </c>
      <c r="E74" s="32">
        <f t="shared" si="11"/>
        <v>38052.254669359121</v>
      </c>
      <c r="F74" s="47">
        <v>0</v>
      </c>
      <c r="G74" s="20">
        <v>3.2500000000000001E-2</v>
      </c>
      <c r="H74" s="38">
        <f t="shared" si="1"/>
        <v>0.21665906383887892</v>
      </c>
      <c r="I74" s="32">
        <f t="shared" si="5"/>
        <v>22930.202771538461</v>
      </c>
      <c r="J74" s="48">
        <v>-40.69</v>
      </c>
      <c r="K74" s="19">
        <v>2.8199999999999999E-2</v>
      </c>
      <c r="L74" s="38">
        <f t="shared" si="2"/>
        <v>0.18579715225162444</v>
      </c>
      <c r="M74" s="32">
        <f t="shared" si="6"/>
        <v>19663.919431833343</v>
      </c>
      <c r="N74" s="48">
        <v>-40.69</v>
      </c>
      <c r="O74" s="17">
        <v>-1.4200000000000001E-2</v>
      </c>
      <c r="P74" s="38">
        <f t="shared" si="3"/>
        <v>0.20822251552285029</v>
      </c>
      <c r="Q74" s="31">
        <f t="shared" si="7"/>
        <v>22037.317146765887</v>
      </c>
      <c r="R74" s="48">
        <v>-40.69</v>
      </c>
      <c r="S74" s="27">
        <v>-4.0000000000000002E-4</v>
      </c>
      <c r="T74" s="38">
        <f t="shared" si="4"/>
        <v>2.977949041968166E-2</v>
      </c>
      <c r="U74" s="31">
        <f t="shared" si="8"/>
        <v>3151.7248420504425</v>
      </c>
      <c r="V74" s="49">
        <v>122.08</v>
      </c>
      <c r="W74" s="37">
        <f t="shared" si="9"/>
        <v>105835.41886154727</v>
      </c>
      <c r="X74" s="40">
        <f t="shared" si="10"/>
        <v>7.0009893172138238E-3</v>
      </c>
      <c r="Y74" s="1"/>
      <c r="Z74" s="1"/>
      <c r="AA74" s="1"/>
      <c r="AB74" s="1"/>
      <c r="AC74" s="1"/>
      <c r="AD74" s="1"/>
      <c r="AE74" s="1"/>
      <c r="AP74"/>
      <c r="AQ74"/>
      <c r="AR74"/>
      <c r="AS74"/>
      <c r="AT74"/>
      <c r="AU74"/>
      <c r="AV74"/>
      <c r="AW74"/>
    </row>
    <row r="75" spans="1:49" x14ac:dyDescent="0.35">
      <c r="A75" s="106" cm="1">
        <f t="array" ref="A75">SUM(G69:G74+K69:K74+O69:O74)</f>
        <v>0.57689999999999997</v>
      </c>
      <c r="B75" s="11" t="s">
        <v>69</v>
      </c>
      <c r="C75" s="20">
        <v>7.6E-3</v>
      </c>
      <c r="D75" s="38">
        <f t="shared" si="0"/>
        <v>0.30914853955825422</v>
      </c>
      <c r="E75" s="32">
        <f t="shared" si="11"/>
        <v>32985.957044846255</v>
      </c>
      <c r="F75" s="48">
        <v>-5315.1</v>
      </c>
      <c r="G75" s="15">
        <v>-1.55E-2</v>
      </c>
      <c r="H75" s="38">
        <f t="shared" si="1"/>
        <v>0.22784916091482557</v>
      </c>
      <c r="I75" s="32">
        <f t="shared" si="5"/>
        <v>24311.363868579618</v>
      </c>
      <c r="J75" s="49">
        <v>1763.92</v>
      </c>
      <c r="K75" s="19">
        <v>1.1000000000000001E-3</v>
      </c>
      <c r="L75" s="38">
        <f t="shared" si="2"/>
        <v>0.20104531395032091</v>
      </c>
      <c r="M75" s="32">
        <f t="shared" si="6"/>
        <v>21451.410055208362</v>
      </c>
      <c r="N75" s="49">
        <v>1763.92</v>
      </c>
      <c r="O75" s="19">
        <v>4.7500000000000001E-2</v>
      </c>
      <c r="P75" s="38">
        <f t="shared" si="3"/>
        <v>0.23366392807837899</v>
      </c>
      <c r="Q75" s="31">
        <f t="shared" si="7"/>
        <v>24931.795911237263</v>
      </c>
      <c r="R75" s="49">
        <v>1763.92</v>
      </c>
      <c r="S75" s="27">
        <v>-4.9200000000000001E-2</v>
      </c>
      <c r="T75" s="38">
        <f t="shared" si="4"/>
        <v>2.8293057498220267E-2</v>
      </c>
      <c r="U75" s="31">
        <f t="shared" si="8"/>
        <v>3018.8516518215611</v>
      </c>
      <c r="V75" s="49">
        <v>23.34</v>
      </c>
      <c r="W75" s="37">
        <f t="shared" si="9"/>
        <v>106699.37853169306</v>
      </c>
      <c r="X75" s="40">
        <f t="shared" si="10"/>
        <v>8.1632375951194991E-3</v>
      </c>
      <c r="Y75" s="1"/>
      <c r="Z75" s="1"/>
      <c r="AA75" s="1"/>
      <c r="AB75" s="1"/>
      <c r="AC75" s="1"/>
      <c r="AD75" s="1"/>
      <c r="AE75" s="1"/>
      <c r="AP75"/>
      <c r="AQ75"/>
      <c r="AR75"/>
      <c r="AS75"/>
      <c r="AT75"/>
      <c r="AU75"/>
      <c r="AV75"/>
      <c r="AW75"/>
    </row>
    <row r="76" spans="1:49" x14ac:dyDescent="0.35">
      <c r="A76" s="106" cm="1">
        <f t="array" ref="A76">SUM(G70:G75+K70:K75+O70:O75)</f>
        <v>0.31300000000000006</v>
      </c>
      <c r="B76" s="10" t="s">
        <v>70</v>
      </c>
      <c r="C76" s="20">
        <v>6.1000000000000004E-3</v>
      </c>
      <c r="D76" s="38">
        <f t="shared" si="0"/>
        <v>0.29527233353143251</v>
      </c>
      <c r="E76" s="32">
        <f t="shared" si="11"/>
        <v>30058.069589819814</v>
      </c>
      <c r="F76" s="48">
        <v>-3110.13</v>
      </c>
      <c r="G76" s="15">
        <v>-4.9399999999999999E-2</v>
      </c>
      <c r="H76" s="38">
        <f t="shared" si="1"/>
        <v>0.23613645465722632</v>
      </c>
      <c r="I76" s="32">
        <f t="shared" si="5"/>
        <v>24038.168093471784</v>
      </c>
      <c r="J76" s="49">
        <v>976</v>
      </c>
      <c r="K76" s="17">
        <v>-9.3200000000000005E-2</v>
      </c>
      <c r="L76" s="38">
        <f t="shared" si="2"/>
        <v>0.19978013661492011</v>
      </c>
      <c r="M76" s="32">
        <f t="shared" si="6"/>
        <v>20337.175438062943</v>
      </c>
      <c r="N76" s="49">
        <v>976</v>
      </c>
      <c r="O76" s="17">
        <v>-6.3600000000000004E-2</v>
      </c>
      <c r="P76" s="38">
        <f t="shared" si="3"/>
        <v>0.23831618771658861</v>
      </c>
      <c r="Q76" s="31">
        <f t="shared" si="7"/>
        <v>24260.060091282572</v>
      </c>
      <c r="R76" s="49">
        <v>976</v>
      </c>
      <c r="S76" s="27">
        <v>-3.0200000000000001E-2</v>
      </c>
      <c r="T76" s="38">
        <f t="shared" si="4"/>
        <v>3.0494887479832401E-2</v>
      </c>
      <c r="U76" s="31">
        <f t="shared" si="8"/>
        <v>3104.3120059365501</v>
      </c>
      <c r="V76" s="49">
        <v>182.13</v>
      </c>
      <c r="W76" s="37">
        <f t="shared" si="9"/>
        <v>101797.78521857367</v>
      </c>
      <c r="X76" s="40">
        <f t="shared" si="10"/>
        <v>-4.5938349225374986E-2</v>
      </c>
      <c r="Y76" s="1"/>
      <c r="Z76" s="1"/>
      <c r="AA76" s="1"/>
      <c r="AB76" s="1"/>
      <c r="AC76" s="1"/>
      <c r="AD76" s="1"/>
      <c r="AE76" s="1"/>
      <c r="AP76"/>
      <c r="AQ76"/>
      <c r="AR76"/>
      <c r="AS76"/>
      <c r="AT76"/>
      <c r="AU76"/>
      <c r="AV76"/>
      <c r="AW76"/>
    </row>
    <row r="77" spans="1:49" x14ac:dyDescent="0.35">
      <c r="A77" s="105" cm="1">
        <f t="array" ref="A77">SUM(G71:G76+K71:K76+O71:O76)</f>
        <v>-7.4599999999999972E-2</v>
      </c>
      <c r="B77" s="11" t="s">
        <v>71</v>
      </c>
      <c r="C77" s="20">
        <v>0.1351</v>
      </c>
      <c r="D77" s="38">
        <f t="shared" si="0"/>
        <v>0.2939527725314533</v>
      </c>
      <c r="E77" s="32">
        <f t="shared" si="11"/>
        <v>32350.985190404474</v>
      </c>
      <c r="F77" s="48">
        <v>-1557.51</v>
      </c>
      <c r="G77" s="20">
        <v>6.2899999999999998E-2</v>
      </c>
      <c r="H77" s="38">
        <f t="shared" si="1"/>
        <v>0.23717218049520303</v>
      </c>
      <c r="I77" s="32">
        <f t="shared" si="5"/>
        <v>26101.994659551157</v>
      </c>
      <c r="J77" s="49">
        <v>519.16999999999996</v>
      </c>
      <c r="K77" s="19">
        <v>3.6600000000000001E-2</v>
      </c>
      <c r="L77" s="38">
        <f t="shared" si="2"/>
        <v>0.19644431530348805</v>
      </c>
      <c r="M77" s="32">
        <f t="shared" si="6"/>
        <v>21619.687681096046</v>
      </c>
      <c r="N77" s="49">
        <v>519.16999999999996</v>
      </c>
      <c r="O77" s="19">
        <v>8.4099999999999994E-2</v>
      </c>
      <c r="P77" s="38">
        <f t="shared" si="3"/>
        <v>0.244088434922731</v>
      </c>
      <c r="Q77" s="31">
        <f t="shared" si="7"/>
        <v>26863.163341959436</v>
      </c>
      <c r="R77" s="49">
        <v>519.16999999999996</v>
      </c>
      <c r="S77" s="26">
        <v>4.7999999999999996E-3</v>
      </c>
      <c r="T77" s="38">
        <f t="shared" si="4"/>
        <v>2.8342296747124553E-2</v>
      </c>
      <c r="U77" s="31">
        <f t="shared" si="8"/>
        <v>3119.2127035650456</v>
      </c>
      <c r="V77" s="47">
        <v>0</v>
      </c>
      <c r="W77" s="37">
        <f t="shared" si="9"/>
        <v>110055.04357657616</v>
      </c>
      <c r="X77" s="40">
        <f t="shared" si="10"/>
        <v>8.1114322283859508E-2</v>
      </c>
      <c r="Y77" s="1"/>
      <c r="Z77" s="1"/>
      <c r="AA77" s="1"/>
      <c r="AB77" s="1"/>
      <c r="AC77" s="1"/>
      <c r="AD77" s="1"/>
      <c r="AE77" s="1"/>
      <c r="AP77"/>
      <c r="AQ77"/>
      <c r="AR77"/>
      <c r="AS77"/>
      <c r="AT77"/>
      <c r="AU77"/>
      <c r="AV77"/>
      <c r="AW77"/>
    </row>
    <row r="78" spans="1:49" x14ac:dyDescent="0.35">
      <c r="A78" s="105" cm="1">
        <f t="array" ref="A78">SUM(G72:G77+K72:K77+O72:O77)</f>
        <v>0.12480000000000002</v>
      </c>
      <c r="B78" s="10" t="s">
        <v>72</v>
      </c>
      <c r="C78" s="15">
        <v>-7.1599999999999997E-2</v>
      </c>
      <c r="D78" s="38">
        <f t="shared" si="0"/>
        <v>0.27232864208373875</v>
      </c>
      <c r="E78" s="32">
        <f t="shared" si="11"/>
        <v>30034.654650771514</v>
      </c>
      <c r="F78" s="47">
        <v>0</v>
      </c>
      <c r="G78" s="20">
        <v>1.66E-2</v>
      </c>
      <c r="H78" s="38">
        <f t="shared" si="1"/>
        <v>0.23327584192415629</v>
      </c>
      <c r="I78" s="32">
        <f t="shared" si="5"/>
        <v>25727.588904899709</v>
      </c>
      <c r="J78" s="48">
        <v>-794.51</v>
      </c>
      <c r="K78" s="19">
        <v>7.3700000000000002E-2</v>
      </c>
      <c r="L78" s="38">
        <f t="shared" si="2"/>
        <v>0.20274135583412486</v>
      </c>
      <c r="M78" s="32">
        <f t="shared" si="6"/>
        <v>22359.993276192825</v>
      </c>
      <c r="N78" s="48">
        <v>-794.51</v>
      </c>
      <c r="O78" s="19">
        <v>2.3E-2</v>
      </c>
      <c r="P78" s="38">
        <f t="shared" si="3"/>
        <v>0.24180479490177956</v>
      </c>
      <c r="Q78" s="31">
        <f t="shared" si="7"/>
        <v>26668.232368824505</v>
      </c>
      <c r="R78" s="48">
        <v>-794.51</v>
      </c>
      <c r="S78" s="27">
        <v>-8.9999999999999998E-4</v>
      </c>
      <c r="T78" s="38">
        <f t="shared" si="4"/>
        <v>4.9849365256200658E-2</v>
      </c>
      <c r="U78" s="31">
        <f t="shared" si="8"/>
        <v>5497.800226131837</v>
      </c>
      <c r="V78" s="49">
        <v>2383.54</v>
      </c>
      <c r="W78" s="37">
        <f t="shared" si="9"/>
        <v>110288.26942682038</v>
      </c>
      <c r="X78" s="40">
        <f t="shared" si="10"/>
        <v>2.1191745754198799E-3</v>
      </c>
      <c r="Y78" s="1"/>
      <c r="Z78" s="1"/>
      <c r="AA78" s="1"/>
      <c r="AB78" s="1"/>
      <c r="AC78" s="1"/>
      <c r="AD78" s="1"/>
      <c r="AE78" s="1"/>
      <c r="AP78"/>
      <c r="AQ78"/>
      <c r="AR78"/>
      <c r="AS78"/>
      <c r="AT78"/>
      <c r="AU78"/>
      <c r="AV78"/>
      <c r="AW78"/>
    </row>
    <row r="79" spans="1:49" x14ac:dyDescent="0.35">
      <c r="A79" s="106" cm="1">
        <f t="array" ref="A79">SUM(G73:G78+K73:K78+O73:O78)</f>
        <v>0.32030000000000003</v>
      </c>
      <c r="B79" s="9" t="s">
        <v>73</v>
      </c>
      <c r="C79" s="20">
        <v>5.3499999999999999E-2</v>
      </c>
      <c r="D79" s="38">
        <f t="shared" si="0"/>
        <v>0.35797233099488962</v>
      </c>
      <c r="E79" s="32">
        <f t="shared" si="11"/>
        <v>40666.042514587789</v>
      </c>
      <c r="F79" s="49">
        <v>8566.24</v>
      </c>
      <c r="G79" s="20">
        <v>2.8899999999999999E-2</v>
      </c>
      <c r="H79" s="38">
        <f t="shared" si="1"/>
        <v>0.2071563526867764</v>
      </c>
      <c r="I79" s="32">
        <f t="shared" si="5"/>
        <v>23533.184875251311</v>
      </c>
      <c r="J79" s="48">
        <v>-2855.41</v>
      </c>
      <c r="K79" s="19">
        <v>2.8500000000000001E-2</v>
      </c>
      <c r="L79" s="38">
        <f t="shared" si="2"/>
        <v>0.17658691573909266</v>
      </c>
      <c r="M79" s="32">
        <f t="shared" si="6"/>
        <v>20060.463899564322</v>
      </c>
      <c r="N79" s="48">
        <v>-2855.41</v>
      </c>
      <c r="O79" s="17">
        <v>-1.4500000000000001E-2</v>
      </c>
      <c r="P79" s="38">
        <f t="shared" si="3"/>
        <v>0.206578467052044</v>
      </c>
      <c r="Q79" s="31">
        <f t="shared" si="7"/>
        <v>23467.536444476551</v>
      </c>
      <c r="R79" s="48">
        <v>-2855.41</v>
      </c>
      <c r="S79" s="26">
        <v>6.8400000000000002E-2</v>
      </c>
      <c r="T79" s="38">
        <f t="shared" si="4"/>
        <v>5.1705933527197455E-2</v>
      </c>
      <c r="U79" s="31">
        <f t="shared" si="8"/>
        <v>5873.8497615992546</v>
      </c>
      <c r="V79" s="47">
        <v>0</v>
      </c>
      <c r="W79" s="37">
        <f t="shared" si="9"/>
        <v>113601.07749547921</v>
      </c>
      <c r="X79" s="40">
        <f t="shared" si="10"/>
        <v>3.0037719205096236E-2</v>
      </c>
      <c r="Y79" s="1"/>
      <c r="Z79" s="1"/>
      <c r="AA79" s="1"/>
      <c r="AB79" s="1"/>
      <c r="AC79" s="1"/>
      <c r="AD79" s="1"/>
      <c r="AE79" s="1"/>
      <c r="AP79"/>
      <c r="AQ79"/>
      <c r="AR79"/>
      <c r="AS79"/>
      <c r="AT79"/>
      <c r="AU79"/>
      <c r="AV79"/>
      <c r="AW79"/>
    </row>
    <row r="80" spans="1:49" x14ac:dyDescent="0.35">
      <c r="A80" s="106" cm="1">
        <f t="array" ref="A80">SUM(G74:G79+K74:K79+O74:O79)</f>
        <v>0.2132</v>
      </c>
      <c r="B80" s="10" t="s">
        <v>74</v>
      </c>
      <c r="C80" s="20">
        <v>3.5000000000000001E-3</v>
      </c>
      <c r="D80" s="38">
        <f t="shared" si="0"/>
        <v>0.30711547418307156</v>
      </c>
      <c r="E80" s="32">
        <f t="shared" si="11"/>
        <v>35108.443488388846</v>
      </c>
      <c r="F80" s="48">
        <v>-5680.05</v>
      </c>
      <c r="G80" s="20">
        <v>8.6E-3</v>
      </c>
      <c r="H80" s="38">
        <f t="shared" si="1"/>
        <v>0.2243346021750974</v>
      </c>
      <c r="I80" s="32">
        <f t="shared" si="5"/>
        <v>25645.20307517847</v>
      </c>
      <c r="J80" s="49">
        <v>1893.35</v>
      </c>
      <c r="K80" s="19">
        <v>2.4500000000000001E-2</v>
      </c>
      <c r="L80" s="38">
        <f t="shared" si="2"/>
        <v>0.19674878749154537</v>
      </c>
      <c r="M80" s="32">
        <f t="shared" si="6"/>
        <v>22491.682340103645</v>
      </c>
      <c r="N80" s="49">
        <v>1893.35</v>
      </c>
      <c r="O80" s="17">
        <v>-1.9E-3</v>
      </c>
      <c r="P80" s="38">
        <f t="shared" si="3"/>
        <v>0.22142599683759467</v>
      </c>
      <c r="Q80" s="31">
        <f t="shared" si="7"/>
        <v>25312.700760232045</v>
      </c>
      <c r="R80" s="49">
        <v>1893.35</v>
      </c>
      <c r="S80" s="27">
        <v>-1.9599999999999999E-2</v>
      </c>
      <c r="T80" s="38">
        <f t="shared" si="4"/>
        <v>5.0375139312691046E-2</v>
      </c>
      <c r="U80" s="31">
        <f t="shared" si="8"/>
        <v>5758.7223062719095</v>
      </c>
      <c r="V80" s="47">
        <v>0</v>
      </c>
      <c r="W80" s="37">
        <f t="shared" si="9"/>
        <v>114316.75197017491</v>
      </c>
      <c r="X80" s="40">
        <f t="shared" si="10"/>
        <v>6.2998916073149225E-3</v>
      </c>
      <c r="Y80" s="1"/>
      <c r="Z80" s="1"/>
      <c r="AA80" s="1"/>
      <c r="AB80" s="1"/>
      <c r="AC80" s="1"/>
      <c r="AD80" s="1"/>
      <c r="AE80" s="1"/>
      <c r="AP80"/>
      <c r="AQ80"/>
      <c r="AR80"/>
      <c r="AS80"/>
      <c r="AT80"/>
      <c r="AU80"/>
      <c r="AV80"/>
      <c r="AW80"/>
    </row>
    <row r="81" spans="1:49" x14ac:dyDescent="0.35">
      <c r="A81" s="105" cm="1">
        <f t="array" ref="A81">SUM(G75:G80+K75:K80+O75:O80)</f>
        <v>0.19790000000000002</v>
      </c>
      <c r="B81" s="11" t="s">
        <v>75</v>
      </c>
      <c r="C81" s="15">
        <v>-1.2200000000000001E-2</v>
      </c>
      <c r="D81" s="38">
        <f t="shared" si="0"/>
        <v>0.29473263512577741</v>
      </c>
      <c r="E81" s="32">
        <f t="shared" si="11"/>
        <v>34680.120477830504</v>
      </c>
      <c r="F81" s="47">
        <v>0</v>
      </c>
      <c r="G81" s="20">
        <v>3.9100000000000003E-2</v>
      </c>
      <c r="H81" s="38">
        <f t="shared" si="1"/>
        <v>0.22647022770519148</v>
      </c>
      <c r="I81" s="32">
        <f t="shared" si="5"/>
        <v>26647.930515417949</v>
      </c>
      <c r="J81" s="47">
        <v>0</v>
      </c>
      <c r="K81" s="19">
        <v>5.9499999999999997E-2</v>
      </c>
      <c r="L81" s="38">
        <f t="shared" si="2"/>
        <v>0.20252121848506371</v>
      </c>
      <c r="M81" s="32">
        <f t="shared" si="6"/>
        <v>23829.937439339814</v>
      </c>
      <c r="N81" s="47">
        <v>0</v>
      </c>
      <c r="O81" s="19">
        <v>6.0999999999999999E-2</v>
      </c>
      <c r="P81" s="38">
        <f t="shared" si="3"/>
        <v>0.22824511873029851</v>
      </c>
      <c r="Q81" s="31">
        <f t="shared" si="7"/>
        <v>26856.775506606198</v>
      </c>
      <c r="R81" s="47">
        <v>0</v>
      </c>
      <c r="S81" s="27">
        <v>-1.8599999999999998E-2</v>
      </c>
      <c r="T81" s="38">
        <f t="shared" si="4"/>
        <v>4.8030799953668837E-2</v>
      </c>
      <c r="U81" s="31">
        <f t="shared" si="8"/>
        <v>5651.6100713752521</v>
      </c>
      <c r="V81" s="47">
        <v>0</v>
      </c>
      <c r="W81" s="37">
        <f t="shared" si="9"/>
        <v>117666.37401056972</v>
      </c>
      <c r="X81" s="40">
        <f t="shared" si="10"/>
        <v>2.9301235231637079E-2</v>
      </c>
      <c r="Y81" s="1"/>
      <c r="Z81" s="1"/>
      <c r="AA81" s="1"/>
      <c r="AB81" s="1"/>
      <c r="AC81" s="1"/>
      <c r="AD81" s="1"/>
      <c r="AE81" s="1"/>
      <c r="AP81"/>
      <c r="AQ81"/>
      <c r="AR81"/>
      <c r="AS81"/>
      <c r="AT81"/>
      <c r="AU81"/>
      <c r="AV81"/>
      <c r="AW81"/>
    </row>
    <row r="82" spans="1:49" x14ac:dyDescent="0.35">
      <c r="A82" s="106" cm="1">
        <f t="array" ref="A82">SUM(G76:G81+K76:K81+O76:O81)</f>
        <v>0.32440000000000002</v>
      </c>
      <c r="B82" s="10" t="s">
        <v>76</v>
      </c>
      <c r="C82" s="20">
        <v>2.3699999999999999E-2</v>
      </c>
      <c r="D82" s="38">
        <f t="shared" si="0"/>
        <v>0.30248238486230578</v>
      </c>
      <c r="E82" s="32">
        <f t="shared" si="11"/>
        <v>35502.039333155088</v>
      </c>
      <c r="F82" s="47">
        <v>0</v>
      </c>
      <c r="G82" s="15">
        <v>-1.9E-2</v>
      </c>
      <c r="H82" s="38">
        <f t="shared" si="1"/>
        <v>0.22273028988109336</v>
      </c>
      <c r="I82" s="32">
        <f t="shared" si="5"/>
        <v>26141.61983562501</v>
      </c>
      <c r="J82" s="47">
        <v>0</v>
      </c>
      <c r="K82" s="19">
        <v>2.1600000000000001E-2</v>
      </c>
      <c r="L82" s="38">
        <f t="shared" si="2"/>
        <v>0.20741997334057038</v>
      </c>
      <c r="M82" s="32">
        <f t="shared" si="6"/>
        <v>24344.664088029553</v>
      </c>
      <c r="N82" s="47">
        <v>0</v>
      </c>
      <c r="O82" s="17">
        <v>-3.49E-2</v>
      </c>
      <c r="P82" s="38">
        <f t="shared" si="3"/>
        <v>0.22083757636720225</v>
      </c>
      <c r="Q82" s="31">
        <f t="shared" si="7"/>
        <v>25919.474041425641</v>
      </c>
      <c r="R82" s="47">
        <v>0</v>
      </c>
      <c r="S82" s="27">
        <v>-3.3700000000000001E-2</v>
      </c>
      <c r="T82" s="38">
        <f t="shared" si="4"/>
        <v>4.6529775548828152E-2</v>
      </c>
      <c r="U82" s="31">
        <f t="shared" si="8"/>
        <v>5461.1508119699065</v>
      </c>
      <c r="V82" s="47">
        <v>0</v>
      </c>
      <c r="W82" s="37">
        <f t="shared" si="9"/>
        <v>117368.94811020521</v>
      </c>
      <c r="X82" s="40">
        <f t="shared" si="10"/>
        <v>-2.5277051567663689E-3</v>
      </c>
      <c r="Y82" s="1"/>
      <c r="Z82" s="1"/>
      <c r="AA82" s="1"/>
      <c r="AB82" s="1"/>
      <c r="AC82" s="1"/>
      <c r="AD82" s="1"/>
      <c r="AE82" s="1"/>
      <c r="AP82"/>
      <c r="AQ82"/>
      <c r="AR82"/>
      <c r="AS82"/>
      <c r="AT82"/>
      <c r="AU82"/>
      <c r="AV82"/>
      <c r="AW82"/>
    </row>
    <row r="83" spans="1:49" x14ac:dyDescent="0.35">
      <c r="A83" s="106" cm="1">
        <f t="array" ref="A83">SUM(G77:G82+K77:K82+O77:O82)</f>
        <v>0.49829999999999997</v>
      </c>
      <c r="B83" s="11" t="s">
        <v>77</v>
      </c>
      <c r="C83" s="20">
        <v>7.9799999999999996E-2</v>
      </c>
      <c r="D83" s="38">
        <f t="shared" si="0"/>
        <v>0.32631732784725148</v>
      </c>
      <c r="E83" s="32">
        <f t="shared" si="11"/>
        <v>38335.102071940863</v>
      </c>
      <c r="F83" s="47">
        <v>0</v>
      </c>
      <c r="G83" s="15">
        <v>-3.7100000000000001E-2</v>
      </c>
      <c r="H83" s="38">
        <f t="shared" si="1"/>
        <v>0.214267939549734</v>
      </c>
      <c r="I83" s="32">
        <f t="shared" si="5"/>
        <v>25171.765739723323</v>
      </c>
      <c r="J83" s="47">
        <v>0</v>
      </c>
      <c r="K83" s="17">
        <v>-3.0200000000000001E-2</v>
      </c>
      <c r="L83" s="38">
        <f t="shared" si="2"/>
        <v>0.20096918821199433</v>
      </c>
      <c r="M83" s="32">
        <f t="shared" si="6"/>
        <v>23609.455232571061</v>
      </c>
      <c r="N83" s="47">
        <v>0</v>
      </c>
      <c r="O83" s="17">
        <v>-4.9700000000000001E-2</v>
      </c>
      <c r="P83" s="38">
        <f t="shared" si="3"/>
        <v>0.2096671663989022</v>
      </c>
      <c r="Q83" s="31">
        <f t="shared" si="7"/>
        <v>24631.276181566787</v>
      </c>
      <c r="R83" s="47">
        <v>0</v>
      </c>
      <c r="S83" s="26">
        <v>4.9299999999999997E-2</v>
      </c>
      <c r="T83" s="38">
        <f t="shared" si="4"/>
        <v>4.8778377992118011E-2</v>
      </c>
      <c r="U83" s="31">
        <f t="shared" si="8"/>
        <v>5730.3855470000226</v>
      </c>
      <c r="V83" s="47">
        <v>0</v>
      </c>
      <c r="W83" s="37">
        <f t="shared" si="9"/>
        <v>117477.98477280205</v>
      </c>
      <c r="X83" s="40">
        <f t="shared" si="10"/>
        <v>9.2900775164528326E-4</v>
      </c>
      <c r="Y83" s="1"/>
      <c r="Z83" s="1"/>
      <c r="AA83" s="1"/>
      <c r="AB83" s="1"/>
      <c r="AC83" s="1"/>
      <c r="AD83" s="1"/>
      <c r="AE83" s="1"/>
      <c r="AP83"/>
      <c r="AQ83"/>
      <c r="AR83"/>
      <c r="AS83"/>
      <c r="AT83"/>
      <c r="AU83"/>
      <c r="AV83"/>
      <c r="AW83"/>
    </row>
    <row r="84" spans="1:49" x14ac:dyDescent="0.35">
      <c r="A84" s="105" cm="1">
        <f t="array" ref="A84">SUM(G78:G83+K78:K83+O78:O83)</f>
        <v>0.19769999999999999</v>
      </c>
      <c r="B84" s="10" t="s">
        <v>78</v>
      </c>
      <c r="C84" s="20">
        <v>2.2100000000000002E-2</v>
      </c>
      <c r="D84" s="38">
        <f t="shared" si="0"/>
        <v>0.34204605500931173</v>
      </c>
      <c r="E84" s="32">
        <f t="shared" si="11"/>
        <v>39182.307827730758</v>
      </c>
      <c r="F84" s="47">
        <v>0</v>
      </c>
      <c r="G84" s="15">
        <v>-5.4899999999999997E-2</v>
      </c>
      <c r="H84" s="38">
        <f t="shared" si="1"/>
        <v>0.20767586025547458</v>
      </c>
      <c r="I84" s="32">
        <f t="shared" si="5"/>
        <v>23789.835800612513</v>
      </c>
      <c r="J84" s="47">
        <v>0</v>
      </c>
      <c r="K84" s="17">
        <v>-7.85E-2</v>
      </c>
      <c r="L84" s="38">
        <f t="shared" si="2"/>
        <v>0.1899222642937442</v>
      </c>
      <c r="M84" s="32">
        <f t="shared" si="6"/>
        <v>21756.112996814234</v>
      </c>
      <c r="N84" s="47">
        <v>0</v>
      </c>
      <c r="O84" s="17">
        <v>-2.1600000000000001E-2</v>
      </c>
      <c r="P84" s="38">
        <f t="shared" si="3"/>
        <v>0.21037684195836059</v>
      </c>
      <c r="Q84" s="31">
        <f t="shared" si="7"/>
        <v>24099.240616044946</v>
      </c>
      <c r="R84" s="47">
        <v>0</v>
      </c>
      <c r="S84" s="27">
        <v>-8.9999999999999998E-4</v>
      </c>
      <c r="T84" s="38">
        <f t="shared" si="4"/>
        <v>4.9978978483108887E-2</v>
      </c>
      <c r="U84" s="31">
        <f t="shared" si="8"/>
        <v>5725.228200007723</v>
      </c>
      <c r="V84" s="47">
        <v>0</v>
      </c>
      <c r="W84" s="37">
        <f t="shared" si="9"/>
        <v>114552.72544121018</v>
      </c>
      <c r="X84" s="40">
        <f t="shared" si="10"/>
        <v>-2.4900489544906756E-2</v>
      </c>
      <c r="Y84" s="1"/>
      <c r="Z84" s="1"/>
      <c r="AA84" s="1"/>
      <c r="AB84" s="1"/>
      <c r="AC84" s="1"/>
      <c r="AD84" s="1"/>
      <c r="AE84" s="1"/>
      <c r="AP84"/>
      <c r="AQ84"/>
      <c r="AR84"/>
      <c r="AS84"/>
      <c r="AT84"/>
      <c r="AU84"/>
      <c r="AV84"/>
      <c r="AW84"/>
    </row>
    <row r="85" spans="1:49" x14ac:dyDescent="0.35">
      <c r="A85" s="105" cm="1">
        <f t="array" ref="A85">SUM(G79:G84+K79:K84+O79:O84)</f>
        <v>-7.0599999999999996E-2</v>
      </c>
      <c r="B85" s="11" t="s">
        <v>79</v>
      </c>
      <c r="C85" s="15">
        <v>-7.4999999999999997E-2</v>
      </c>
      <c r="D85" s="38">
        <f t="shared" si="0"/>
        <v>0.31500181822805084</v>
      </c>
      <c r="E85" s="32">
        <f t="shared" si="11"/>
        <v>36243.634740650952</v>
      </c>
      <c r="F85" s="47">
        <v>0</v>
      </c>
      <c r="G85" s="20">
        <v>3.9600000000000003E-2</v>
      </c>
      <c r="H85" s="38">
        <f t="shared" si="1"/>
        <v>0.21495078275055945</v>
      </c>
      <c r="I85" s="32">
        <f t="shared" si="5"/>
        <v>24731.913298316769</v>
      </c>
      <c r="J85" s="47">
        <v>0</v>
      </c>
      <c r="K85" s="19">
        <v>3.4799999999999998E-2</v>
      </c>
      <c r="L85" s="38">
        <f t="shared" si="2"/>
        <v>0.19566765556468926</v>
      </c>
      <c r="M85" s="32">
        <f t="shared" si="6"/>
        <v>22513.225729103367</v>
      </c>
      <c r="N85" s="47">
        <v>0</v>
      </c>
      <c r="O85" s="19">
        <v>7.9000000000000001E-2</v>
      </c>
      <c r="P85" s="38">
        <f t="shared" si="3"/>
        <v>0.22599879219972302</v>
      </c>
      <c r="Q85" s="31">
        <f t="shared" si="7"/>
        <v>26003.080624712497</v>
      </c>
      <c r="R85" s="47">
        <v>0</v>
      </c>
      <c r="S85" s="27">
        <v>-2.7699999999999999E-2</v>
      </c>
      <c r="T85" s="38">
        <f t="shared" si="4"/>
        <v>4.8380951256977577E-2</v>
      </c>
      <c r="U85" s="31">
        <f t="shared" si="8"/>
        <v>5566.6393788675086</v>
      </c>
      <c r="V85" s="47">
        <v>0</v>
      </c>
      <c r="W85" s="37">
        <f t="shared" si="9"/>
        <v>115058.49377165108</v>
      </c>
      <c r="X85" s="40">
        <f t="shared" si="10"/>
        <v>4.4151575485689154E-3</v>
      </c>
      <c r="Y85" s="1"/>
      <c r="Z85" s="1"/>
      <c r="AA85" s="1"/>
      <c r="AB85" s="1"/>
      <c r="AC85" s="1"/>
      <c r="AD85" s="1"/>
      <c r="AE85" s="1"/>
      <c r="AP85"/>
      <c r="AQ85"/>
      <c r="AR85"/>
      <c r="AS85"/>
      <c r="AT85"/>
      <c r="AU85"/>
      <c r="AV85"/>
      <c r="AW85"/>
    </row>
    <row r="86" spans="1:49" x14ac:dyDescent="0.35">
      <c r="A86" s="105" cm="1">
        <f t="array" ref="A86">SUM(G80:G85+K80:K85+O80:O85)</f>
        <v>3.9899999999999991E-2</v>
      </c>
      <c r="B86" s="10" t="s">
        <v>80</v>
      </c>
      <c r="C86" s="20">
        <v>5.4399999999999997E-2</v>
      </c>
      <c r="D86" s="38">
        <f t="shared" si="0"/>
        <v>0.33762051551299727</v>
      </c>
      <c r="E86" s="32">
        <f t="shared" si="11"/>
        <v>38215.288470542364</v>
      </c>
      <c r="F86" s="47">
        <v>0</v>
      </c>
      <c r="G86" s="15">
        <v>-4.9299999999999997E-2</v>
      </c>
      <c r="H86" s="38">
        <f t="shared" si="1"/>
        <v>0.20772697446917776</v>
      </c>
      <c r="I86" s="32">
        <f t="shared" si="5"/>
        <v>23512.629972709754</v>
      </c>
      <c r="J86" s="47">
        <v>0</v>
      </c>
      <c r="K86" s="17">
        <v>-7.6300000000000007E-2</v>
      </c>
      <c r="L86" s="38">
        <f t="shared" si="2"/>
        <v>0.18372165792373527</v>
      </c>
      <c r="M86" s="32">
        <f t="shared" si="6"/>
        <v>20795.466605972779</v>
      </c>
      <c r="N86" s="47">
        <v>0</v>
      </c>
      <c r="O86" s="17">
        <v>-3.4299999999999997E-2</v>
      </c>
      <c r="P86" s="38">
        <f t="shared" si="3"/>
        <v>0.221849635949392</v>
      </c>
      <c r="Q86" s="31">
        <f t="shared" si="7"/>
        <v>25111.174959284857</v>
      </c>
      <c r="R86" s="47">
        <v>0</v>
      </c>
      <c r="S86" s="27">
        <v>-2E-3</v>
      </c>
      <c r="T86" s="38">
        <f t="shared" si="4"/>
        <v>4.9081216144697674E-2</v>
      </c>
      <c r="U86" s="31">
        <f t="shared" si="8"/>
        <v>5555.5061001097738</v>
      </c>
      <c r="V86" s="47">
        <v>0</v>
      </c>
      <c r="W86" s="37">
        <f t="shared" si="9"/>
        <v>113190.06610861953</v>
      </c>
      <c r="X86" s="40">
        <f t="shared" si="10"/>
        <v>-1.6238937272546661E-2</v>
      </c>
      <c r="Y86" s="1"/>
      <c r="Z86" s="1"/>
      <c r="AA86" s="1"/>
      <c r="AB86" s="1"/>
      <c r="AC86" s="1"/>
      <c r="AD86" s="1"/>
      <c r="AE86" s="1"/>
      <c r="AP86"/>
      <c r="AQ86"/>
      <c r="AR86"/>
      <c r="AS86"/>
      <c r="AT86"/>
      <c r="AU86"/>
      <c r="AV86"/>
      <c r="AW86"/>
    </row>
    <row r="87" spans="1:49" x14ac:dyDescent="0.35">
      <c r="A87" s="105" cm="1">
        <f t="array" ref="A87">SUM(G81:G86+K81:K86+O81:O86)</f>
        <v>-0.1512</v>
      </c>
      <c r="B87" s="11" t="s">
        <v>81</v>
      </c>
      <c r="C87" s="20">
        <v>1.2800000000000001E-2</v>
      </c>
      <c r="D87" s="38">
        <f t="shared" si="0"/>
        <v>0.32674984205920909</v>
      </c>
      <c r="E87" s="32">
        <f t="shared" si="11"/>
        <v>38704.444162965308</v>
      </c>
      <c r="F87" s="47">
        <v>0</v>
      </c>
      <c r="G87" s="20">
        <v>5.11E-2</v>
      </c>
      <c r="H87" s="38">
        <f t="shared" si="1"/>
        <v>0.20864106781692141</v>
      </c>
      <c r="I87" s="32">
        <f t="shared" si="5"/>
        <v>24714.125364315223</v>
      </c>
      <c r="J87" s="47">
        <v>0</v>
      </c>
      <c r="K87" s="19">
        <v>8.4000000000000005E-2</v>
      </c>
      <c r="L87" s="38">
        <f t="shared" si="2"/>
        <v>0.19030600966845085</v>
      </c>
      <c r="M87" s="32">
        <f t="shared" si="6"/>
        <v>22542.285800874492</v>
      </c>
      <c r="N87" s="47">
        <v>0</v>
      </c>
      <c r="O87" s="19">
        <v>8.0100000000000005E-2</v>
      </c>
      <c r="P87" s="38">
        <f t="shared" si="3"/>
        <v>0.228973673357698</v>
      </c>
      <c r="Q87" s="31">
        <f t="shared" si="7"/>
        <v>27122.580073523575</v>
      </c>
      <c r="R87" s="47">
        <v>0</v>
      </c>
      <c r="S87" s="27">
        <v>-3.3500000000000002E-2</v>
      </c>
      <c r="T87" s="38">
        <f t="shared" si="4"/>
        <v>4.5329407097720632E-2</v>
      </c>
      <c r="U87" s="31">
        <f t="shared" si="8"/>
        <v>5369.3966457560964</v>
      </c>
      <c r="V87" s="47">
        <v>0</v>
      </c>
      <c r="W87" s="37">
        <f t="shared" si="9"/>
        <v>118452.8320474347</v>
      </c>
      <c r="X87" s="40">
        <f t="shared" si="10"/>
        <v>4.6494945358233952E-2</v>
      </c>
      <c r="Y87" s="1"/>
      <c r="Z87" s="1"/>
      <c r="AA87" s="1"/>
      <c r="AB87" s="1"/>
      <c r="AC87" s="1"/>
      <c r="AD87" s="1"/>
      <c r="AE87" s="1"/>
      <c r="AP87"/>
      <c r="AQ87"/>
      <c r="AR87"/>
      <c r="AS87"/>
      <c r="AT87"/>
      <c r="AU87"/>
      <c r="AV87"/>
      <c r="AW87"/>
    </row>
    <row r="88" spans="1:49" x14ac:dyDescent="0.35">
      <c r="A88" s="105" cm="1">
        <f t="array" ref="A88">SUM(G82:G87+K82:K87+O82:O87)</f>
        <v>-9.5600000000000018E-2</v>
      </c>
      <c r="B88" s="10" t="s">
        <v>82</v>
      </c>
      <c r="C88" s="20">
        <v>4.19E-2</v>
      </c>
      <c r="D88" s="38">
        <f t="shared" si="0"/>
        <v>0.32803210966413232</v>
      </c>
      <c r="E88" s="32">
        <f t="shared" si="11"/>
        <v>40326.160373393555</v>
      </c>
      <c r="F88" s="47">
        <v>0</v>
      </c>
      <c r="G88" s="20">
        <v>3.9300000000000002E-2</v>
      </c>
      <c r="H88" s="38">
        <f t="shared" si="1"/>
        <v>0.20893714532545513</v>
      </c>
      <c r="I88" s="32">
        <f t="shared" si="5"/>
        <v>25685.39049113281</v>
      </c>
      <c r="J88" s="47">
        <v>0</v>
      </c>
      <c r="K88" s="19">
        <v>4.3900000000000002E-2</v>
      </c>
      <c r="L88" s="38">
        <f t="shared" si="2"/>
        <v>0.19141956868864299</v>
      </c>
      <c r="M88" s="32">
        <f t="shared" si="6"/>
        <v>23531.892147532883</v>
      </c>
      <c r="N88" s="47">
        <v>0</v>
      </c>
      <c r="O88" s="19">
        <v>3.2599999999999997E-2</v>
      </c>
      <c r="P88" s="38">
        <f t="shared" si="3"/>
        <v>0.22782039726658654</v>
      </c>
      <c r="Q88" s="31">
        <f t="shared" si="7"/>
        <v>28006.776183920443</v>
      </c>
      <c r="R88" s="47">
        <v>0</v>
      </c>
      <c r="S88" s="26">
        <v>2.5999999999999999E-3</v>
      </c>
      <c r="T88" s="38">
        <f t="shared" si="4"/>
        <v>4.3790779055182881E-2</v>
      </c>
      <c r="U88" s="31">
        <f t="shared" si="8"/>
        <v>5383.3570770350625</v>
      </c>
      <c r="V88" s="47">
        <v>0</v>
      </c>
      <c r="W88" s="37">
        <f t="shared" si="9"/>
        <v>122933.57627301477</v>
      </c>
      <c r="X88" s="40">
        <f t="shared" si="10"/>
        <v>3.7827244381845926E-2</v>
      </c>
      <c r="Y88" s="1"/>
      <c r="Z88" s="1"/>
      <c r="AA88" s="1"/>
      <c r="AB88" s="1"/>
      <c r="AC88" s="1"/>
      <c r="AD88" s="1"/>
      <c r="AE88" s="1"/>
      <c r="AP88"/>
      <c r="AQ88"/>
      <c r="AR88"/>
      <c r="AS88"/>
      <c r="AT88"/>
      <c r="AU88"/>
      <c r="AV88"/>
      <c r="AW88"/>
    </row>
    <row r="89" spans="1:49" x14ac:dyDescent="0.35">
      <c r="A89" s="105" cm="1">
        <f t="array" ref="A89">SUM(G83:G88+K83:K88+O83:O88)</f>
        <v>5.2499999999999963E-2</v>
      </c>
      <c r="B89" s="11" t="s">
        <v>83</v>
      </c>
      <c r="C89" s="20">
        <v>3.3399999999999999E-2</v>
      </c>
      <c r="D89" s="38">
        <f t="shared" si="0"/>
        <v>0.33247724986787397</v>
      </c>
      <c r="E89" s="32">
        <f t="shared" si="11"/>
        <v>41673.054129864897</v>
      </c>
      <c r="F89" s="47">
        <v>0</v>
      </c>
      <c r="G89" s="20">
        <v>1.12E-2</v>
      </c>
      <c r="H89" s="38">
        <f t="shared" si="1"/>
        <v>0.20721912569396184</v>
      </c>
      <c r="I89" s="32">
        <f t="shared" si="5"/>
        <v>25973.066864633496</v>
      </c>
      <c r="J89" s="47">
        <v>0</v>
      </c>
      <c r="K89" s="19">
        <v>4.8800000000000003E-2</v>
      </c>
      <c r="L89" s="38">
        <f t="shared" si="2"/>
        <v>0.19690472209105717</v>
      </c>
      <c r="M89" s="32">
        <f t="shared" si="6"/>
        <v>24680.248484332486</v>
      </c>
      <c r="N89" s="47">
        <v>0</v>
      </c>
      <c r="O89" s="17">
        <v>-1.6E-2</v>
      </c>
      <c r="P89" s="38">
        <f t="shared" si="3"/>
        <v>0.21986941585728037</v>
      </c>
      <c r="Q89" s="31">
        <f t="shared" si="7"/>
        <v>27558.667764977716</v>
      </c>
      <c r="R89" s="47">
        <v>0</v>
      </c>
      <c r="S89" s="26">
        <v>1.35E-2</v>
      </c>
      <c r="T89" s="38">
        <f t="shared" si="4"/>
        <v>4.3529486489826699E-2</v>
      </c>
      <c r="U89" s="31">
        <f t="shared" si="8"/>
        <v>5456.0323975750362</v>
      </c>
      <c r="V89" s="47">
        <v>0</v>
      </c>
      <c r="W89" s="37">
        <f t="shared" si="9"/>
        <v>125341.06964138363</v>
      </c>
      <c r="X89" s="40">
        <f t="shared" si="10"/>
        <v>1.9583692603412306E-2</v>
      </c>
      <c r="Y89" s="1"/>
      <c r="Z89" s="1"/>
      <c r="AA89" s="1"/>
      <c r="AB89" s="1"/>
      <c r="AC89" s="1"/>
      <c r="AD89" s="1"/>
      <c r="AE89" s="1"/>
      <c r="AP89"/>
      <c r="AQ89"/>
      <c r="AR89"/>
      <c r="AS89"/>
      <c r="AT89"/>
      <c r="AU89"/>
      <c r="AV89"/>
      <c r="AW89"/>
    </row>
    <row r="90" spans="1:49" x14ac:dyDescent="0.35">
      <c r="A90" s="106" cm="1">
        <f t="array" ref="A90">SUM(G84:G89+K84:K89+O84:O89)</f>
        <v>0.2135</v>
      </c>
      <c r="B90" s="10" t="s">
        <v>84</v>
      </c>
      <c r="C90" s="15">
        <v>-1.46E-2</v>
      </c>
      <c r="D90" s="38">
        <f t="shared" si="0"/>
        <v>0.32436455796742769</v>
      </c>
      <c r="E90" s="32">
        <f t="shared" si="11"/>
        <v>41064.627539568872</v>
      </c>
      <c r="F90" s="47">
        <v>0</v>
      </c>
      <c r="G90" s="20">
        <v>2.4E-2</v>
      </c>
      <c r="H90" s="38">
        <f t="shared" si="1"/>
        <v>0.2100819290459924</v>
      </c>
      <c r="I90" s="32">
        <f t="shared" si="5"/>
        <v>26596.420469384699</v>
      </c>
      <c r="J90" s="47">
        <v>0</v>
      </c>
      <c r="K90" s="19">
        <v>3.3799999999999997E-2</v>
      </c>
      <c r="L90" s="38">
        <f t="shared" si="2"/>
        <v>0.20153550232153483</v>
      </c>
      <c r="M90" s="32">
        <f t="shared" si="6"/>
        <v>25514.440883102925</v>
      </c>
      <c r="N90" s="47">
        <v>0</v>
      </c>
      <c r="O90" s="19">
        <v>2.2599999999999999E-2</v>
      </c>
      <c r="P90" s="38">
        <f t="shared" si="3"/>
        <v>0.22260223166357496</v>
      </c>
      <c r="Q90" s="31">
        <f t="shared" si="7"/>
        <v>28181.493656466213</v>
      </c>
      <c r="R90" s="47">
        <v>0</v>
      </c>
      <c r="S90" s="27">
        <v>-3.9E-2</v>
      </c>
      <c r="T90" s="38">
        <f t="shared" si="4"/>
        <v>4.1415779001470192E-2</v>
      </c>
      <c r="U90" s="31">
        <f t="shared" si="8"/>
        <v>5243.2471340696102</v>
      </c>
      <c r="V90" s="47">
        <v>0</v>
      </c>
      <c r="W90" s="37">
        <f t="shared" si="9"/>
        <v>126600.22968259231</v>
      </c>
      <c r="X90" s="40">
        <f t="shared" si="10"/>
        <v>1.0045869600533219E-2</v>
      </c>
      <c r="Y90" s="1"/>
      <c r="Z90" s="1"/>
      <c r="AA90" s="1"/>
      <c r="AB90" s="1"/>
      <c r="AC90" s="1"/>
      <c r="AD90" s="1"/>
      <c r="AE90" s="1"/>
      <c r="AP90"/>
      <c r="AQ90"/>
      <c r="AR90"/>
      <c r="AS90"/>
      <c r="AT90"/>
      <c r="AU90"/>
      <c r="AV90"/>
      <c r="AW90"/>
    </row>
    <row r="91" spans="1:49" x14ac:dyDescent="0.35">
      <c r="A91" s="106" cm="1">
        <f t="array" ref="A91">SUM(G85:G90+K85:K90+O85:O90)</f>
        <v>0.44889999999999997</v>
      </c>
      <c r="B91" s="9" t="s">
        <v>85</v>
      </c>
      <c r="C91" s="15">
        <v>-5.0599999999999999E-2</v>
      </c>
      <c r="D91" s="38">
        <f t="shared" si="0"/>
        <v>0.31188263306450242</v>
      </c>
      <c r="E91" s="32">
        <f t="shared" si="11"/>
        <v>38986.757386066689</v>
      </c>
      <c r="F91" s="47">
        <v>0</v>
      </c>
      <c r="G91" s="20">
        <v>3.5400000000000001E-2</v>
      </c>
      <c r="H91" s="38">
        <f t="shared" si="1"/>
        <v>0.22029539936612139</v>
      </c>
      <c r="I91" s="32">
        <f t="shared" si="5"/>
        <v>27537.933754000918</v>
      </c>
      <c r="J91" s="47">
        <v>0</v>
      </c>
      <c r="K91" s="19">
        <v>8.6999999999999994E-3</v>
      </c>
      <c r="L91" s="38">
        <f t="shared" si="2"/>
        <v>0.20588378946314603</v>
      </c>
      <c r="M91" s="32">
        <f t="shared" si="6"/>
        <v>25736.416518785922</v>
      </c>
      <c r="N91" s="47">
        <v>0</v>
      </c>
      <c r="O91" s="17">
        <v>-2.6499999999999999E-2</v>
      </c>
      <c r="P91" s="38">
        <f t="shared" si="3"/>
        <v>0.21946943219052001</v>
      </c>
      <c r="Q91" s="31">
        <f t="shared" si="7"/>
        <v>27434.684074569857</v>
      </c>
      <c r="R91" s="47">
        <v>0</v>
      </c>
      <c r="S91" s="26">
        <v>1.2500000000000001E-2</v>
      </c>
      <c r="T91" s="38">
        <f t="shared" si="4"/>
        <v>4.2468745915710232E-2</v>
      </c>
      <c r="U91" s="31">
        <f t="shared" si="8"/>
        <v>5308.7877232454803</v>
      </c>
      <c r="V91" s="47">
        <v>0</v>
      </c>
      <c r="W91" s="37">
        <f t="shared" si="9"/>
        <v>125004.57945666886</v>
      </c>
      <c r="X91" s="40">
        <f t="shared" si="10"/>
        <v>-1.2603849376292664E-2</v>
      </c>
      <c r="Y91" s="1"/>
      <c r="Z91" s="1"/>
      <c r="AA91" s="1"/>
      <c r="AB91" s="1"/>
      <c r="AC91" s="1"/>
      <c r="AD91" s="1"/>
      <c r="AE91" s="1"/>
      <c r="AP91"/>
      <c r="AQ91"/>
      <c r="AR91"/>
      <c r="AS91"/>
      <c r="AT91"/>
      <c r="AU91"/>
      <c r="AV91"/>
      <c r="AW91"/>
    </row>
    <row r="92" spans="1:49" x14ac:dyDescent="0.35">
      <c r="A92" s="106" cm="1">
        <f t="array" ref="A92">SUM(G86:G91+K86:K91+O86:O91)</f>
        <v>0.31309999999999999</v>
      </c>
      <c r="B92" s="10" t="s">
        <v>86</v>
      </c>
      <c r="C92" s="20">
        <v>4.7300000000000002E-2</v>
      </c>
      <c r="D92" s="38">
        <f t="shared" si="0"/>
        <v>0.31859090564287346</v>
      </c>
      <c r="E92" s="32">
        <f t="shared" si="11"/>
        <v>40830.831010427646</v>
      </c>
      <c r="F92" s="47">
        <v>0</v>
      </c>
      <c r="G92" s="20">
        <v>2.0500000000000001E-2</v>
      </c>
      <c r="H92" s="38">
        <f t="shared" si="1"/>
        <v>0.21927519977846166</v>
      </c>
      <c r="I92" s="32">
        <f t="shared" si="5"/>
        <v>28102.461395957936</v>
      </c>
      <c r="J92" s="47">
        <v>0</v>
      </c>
      <c r="K92" s="19">
        <v>4.3700000000000003E-2</v>
      </c>
      <c r="L92" s="38">
        <f t="shared" si="2"/>
        <v>0.20958920750151899</v>
      </c>
      <c r="M92" s="32">
        <f t="shared" si="6"/>
        <v>26861.097920656866</v>
      </c>
      <c r="N92" s="47">
        <v>0</v>
      </c>
      <c r="O92" s="17">
        <v>-1.1599999999999999E-2</v>
      </c>
      <c r="P92" s="38">
        <f t="shared" si="3"/>
        <v>0.21158157984418804</v>
      </c>
      <c r="Q92" s="31">
        <f t="shared" si="7"/>
        <v>27116.441739304846</v>
      </c>
      <c r="R92" s="47">
        <v>0</v>
      </c>
      <c r="S92" s="27">
        <v>-1.11E-2</v>
      </c>
      <c r="T92" s="38">
        <f t="shared" si="4"/>
        <v>4.0963107232957756E-2</v>
      </c>
      <c r="U92" s="31">
        <f t="shared" si="8"/>
        <v>5249.8601795174554</v>
      </c>
      <c r="V92" s="47">
        <v>0</v>
      </c>
      <c r="W92" s="37">
        <f t="shared" si="9"/>
        <v>128160.69224586476</v>
      </c>
      <c r="X92" s="40">
        <f t="shared" si="10"/>
        <v>2.5247977337421679E-2</v>
      </c>
      <c r="Y92" s="1"/>
      <c r="Z92" s="1"/>
      <c r="AA92" s="1"/>
      <c r="AB92" s="1"/>
      <c r="AC92" s="1"/>
      <c r="AD92" s="1"/>
      <c r="AE92" s="1"/>
      <c r="AP92"/>
      <c r="AQ92"/>
      <c r="AR92"/>
      <c r="AS92"/>
      <c r="AT92"/>
      <c r="AU92"/>
      <c r="AV92"/>
      <c r="AW92"/>
    </row>
    <row r="93" spans="1:49" x14ac:dyDescent="0.35">
      <c r="A93" s="106" cm="1">
        <f t="array" ref="A93">SUM(G87:G92+K87:K92+O87:O92)</f>
        <v>0.52559999999999996</v>
      </c>
      <c r="B93" s="11" t="s">
        <v>87</v>
      </c>
      <c r="C93" s="15">
        <v>-7.0000000000000001E-3</v>
      </c>
      <c r="D93" s="38">
        <f t="shared" si="0"/>
        <v>0.31592038875617312</v>
      </c>
      <c r="E93" s="32">
        <f t="shared" si="11"/>
        <v>40545.015193354651</v>
      </c>
      <c r="F93" s="47">
        <v>0</v>
      </c>
      <c r="G93" s="15">
        <v>-2.1499999999999998E-2</v>
      </c>
      <c r="H93" s="38">
        <f t="shared" si="1"/>
        <v>0.21426211006235049</v>
      </c>
      <c r="I93" s="32">
        <f t="shared" si="5"/>
        <v>27498.25847594484</v>
      </c>
      <c r="J93" s="47">
        <v>0</v>
      </c>
      <c r="K93" s="19">
        <v>2.2000000000000001E-3</v>
      </c>
      <c r="L93" s="38">
        <f t="shared" si="2"/>
        <v>0.20975790951485429</v>
      </c>
      <c r="M93" s="32">
        <f t="shared" si="6"/>
        <v>26920.192336082313</v>
      </c>
      <c r="N93" s="47">
        <v>0</v>
      </c>
      <c r="O93" s="19">
        <v>4.1200000000000001E-2</v>
      </c>
      <c r="P93" s="38">
        <f t="shared" si="3"/>
        <v>0.21999208066013998</v>
      </c>
      <c r="Q93" s="31">
        <f t="shared" si="7"/>
        <v>28233.639138964205</v>
      </c>
      <c r="R93" s="47">
        <v>0</v>
      </c>
      <c r="S93" s="27">
        <v>-2.0500000000000001E-2</v>
      </c>
      <c r="T93" s="38">
        <f t="shared" si="4"/>
        <v>4.0067511006482037E-2</v>
      </c>
      <c r="U93" s="31">
        <f t="shared" si="8"/>
        <v>5142.2380458373473</v>
      </c>
      <c r="V93" s="47">
        <v>0</v>
      </c>
      <c r="W93" s="37">
        <f t="shared" si="9"/>
        <v>128339.34319018337</v>
      </c>
      <c r="X93" s="40">
        <f t="shared" si="10"/>
        <v>1.3939605130712795E-3</v>
      </c>
      <c r="Y93" s="1"/>
      <c r="Z93" s="1"/>
      <c r="AA93" s="1"/>
      <c r="AB93" s="1"/>
      <c r="AC93" s="1"/>
      <c r="AD93" s="1"/>
      <c r="AE93" s="1"/>
      <c r="AP93"/>
      <c r="AQ93"/>
      <c r="AR93"/>
      <c r="AS93"/>
      <c r="AT93"/>
      <c r="AU93"/>
      <c r="AV93"/>
      <c r="AW93"/>
    </row>
    <row r="94" spans="1:49" x14ac:dyDescent="0.35">
      <c r="A94" s="106" cm="1">
        <f t="array" ref="A94">SUM(G88:G93+K88:K93+O88:O93)</f>
        <v>0.33230000000000004</v>
      </c>
      <c r="B94" s="10" t="s">
        <v>88</v>
      </c>
      <c r="C94" s="20">
        <v>6.1199999999999997E-2</v>
      </c>
      <c r="D94" s="38">
        <f t="shared" ref="D94:D157" si="12">E94/W94</f>
        <v>0.32973428694899315</v>
      </c>
      <c r="E94" s="32">
        <f t="shared" si="11"/>
        <v>43026.370123187953</v>
      </c>
      <c r="F94" s="47">
        <v>0</v>
      </c>
      <c r="G94" s="15">
        <v>-1.1999999999999999E-3</v>
      </c>
      <c r="H94" s="38">
        <f t="shared" ref="H94:H157" si="13">I94/W94</f>
        <v>0.21048110920337823</v>
      </c>
      <c r="I94" s="32">
        <f t="shared" si="5"/>
        <v>27465.260565773708</v>
      </c>
      <c r="J94" s="47">
        <v>0</v>
      </c>
      <c r="K94" s="17">
        <v>-3.2000000000000002E-3</v>
      </c>
      <c r="L94" s="38">
        <f t="shared" ref="L94:L157" si="14">M94/W94</f>
        <v>0.20564378463199934</v>
      </c>
      <c r="M94" s="32">
        <f t="shared" si="6"/>
        <v>26834.04772060685</v>
      </c>
      <c r="N94" s="47">
        <v>0</v>
      </c>
      <c r="O94" s="17">
        <v>-2.3E-3</v>
      </c>
      <c r="P94" s="38">
        <f t="shared" ref="P94:P157" si="15">Q94/W94</f>
        <v>0.21587195864928788</v>
      </c>
      <c r="Q94" s="31">
        <f t="shared" si="7"/>
        <v>28168.701768944586</v>
      </c>
      <c r="R94" s="47">
        <v>0</v>
      </c>
      <c r="S94" s="27">
        <v>-2.8899999999999999E-2</v>
      </c>
      <c r="T94" s="38">
        <f t="shared" si="4"/>
        <v>3.8268860566341455E-2</v>
      </c>
      <c r="U94" s="31">
        <f t="shared" si="8"/>
        <v>4993.6273663126476</v>
      </c>
      <c r="V94" s="47">
        <v>0</v>
      </c>
      <c r="W94" s="37">
        <f t="shared" si="9"/>
        <v>130488.00754482574</v>
      </c>
      <c r="X94" s="40">
        <f t="shared" si="10"/>
        <v>1.6742055095749553E-2</v>
      </c>
      <c r="Y94" s="1"/>
      <c r="Z94" s="1"/>
      <c r="AA94" s="1"/>
      <c r="AB94" s="1"/>
      <c r="AC94" s="1"/>
      <c r="AD94" s="1"/>
      <c r="AE94" s="1"/>
      <c r="AP94"/>
      <c r="AQ94"/>
      <c r="AR94"/>
      <c r="AS94"/>
      <c r="AT94"/>
      <c r="AU94"/>
      <c r="AV94"/>
      <c r="AW94"/>
    </row>
    <row r="95" spans="1:49" x14ac:dyDescent="0.35">
      <c r="A95" s="106" cm="1">
        <f t="array" ref="A95">SUM(G89:G94+K89:K94+O89:O94)</f>
        <v>0.20980000000000001</v>
      </c>
      <c r="B95" s="11" t="s">
        <v>89</v>
      </c>
      <c r="C95" s="15">
        <v>-1.38E-2</v>
      </c>
      <c r="D95" s="38">
        <f t="shared" si="12"/>
        <v>0.32997139090462824</v>
      </c>
      <c r="E95" s="32">
        <f t="shared" si="11"/>
        <v>42432.606215487962</v>
      </c>
      <c r="F95" s="47">
        <v>0</v>
      </c>
      <c r="G95" s="15">
        <v>-9.1000000000000004E-3</v>
      </c>
      <c r="H95" s="38">
        <f t="shared" si="13"/>
        <v>0.21163628643841137</v>
      </c>
      <c r="I95" s="32">
        <f t="shared" si="5"/>
        <v>27215.326694625168</v>
      </c>
      <c r="J95" s="47">
        <v>0</v>
      </c>
      <c r="K95" s="17">
        <v>-1.3599999999999999E-2</v>
      </c>
      <c r="L95" s="38">
        <f t="shared" si="14"/>
        <v>0.20583339237131945</v>
      </c>
      <c r="M95" s="32">
        <f t="shared" si="6"/>
        <v>26469.104671606598</v>
      </c>
      <c r="N95" s="47">
        <v>0</v>
      </c>
      <c r="O95" s="17">
        <v>-2.5100000000000001E-2</v>
      </c>
      <c r="P95" s="38">
        <f t="shared" si="15"/>
        <v>0.21355192107506343</v>
      </c>
      <c r="Q95" s="31">
        <f t="shared" si="7"/>
        <v>27461.667354544075</v>
      </c>
      <c r="R95" s="47">
        <v>0</v>
      </c>
      <c r="S95" s="26">
        <v>4.4999999999999997E-3</v>
      </c>
      <c r="T95" s="38">
        <f t="shared" ref="T95:T158" si="16">U95/W95</f>
        <v>3.9007009210577495E-2</v>
      </c>
      <c r="U95" s="31">
        <f t="shared" si="8"/>
        <v>5016.0986894610542</v>
      </c>
      <c r="V95" s="47">
        <v>0</v>
      </c>
      <c r="W95" s="37">
        <f t="shared" si="9"/>
        <v>128594.80362572486</v>
      </c>
      <c r="X95" s="40">
        <f t="shared" si="10"/>
        <v>-1.4508643014190525E-2</v>
      </c>
      <c r="Y95" s="1"/>
      <c r="Z95" s="1"/>
      <c r="AA95" s="1"/>
      <c r="AB95" s="1"/>
      <c r="AC95" s="1"/>
      <c r="AD95" s="1"/>
      <c r="AE95" s="1"/>
      <c r="AP95"/>
      <c r="AQ95"/>
      <c r="AR95"/>
      <c r="AS95"/>
      <c r="AT95"/>
      <c r="AU95"/>
      <c r="AV95"/>
      <c r="AW95"/>
    </row>
    <row r="96" spans="1:49" x14ac:dyDescent="0.35">
      <c r="A96" s="105" cm="1">
        <f t="array" ref="A96">SUM(G90:G95+K90:K95+O90:O95)</f>
        <v>0.11800000000000001</v>
      </c>
      <c r="B96" s="10" t="s">
        <v>90</v>
      </c>
      <c r="C96" s="15">
        <v>-3.5499999999999997E-2</v>
      </c>
      <c r="D96" s="38">
        <f t="shared" si="12"/>
        <v>0.27929760949563298</v>
      </c>
      <c r="E96" s="32">
        <f t="shared" si="11"/>
        <v>34724.764464838139</v>
      </c>
      <c r="F96" s="48">
        <v>-6429.74</v>
      </c>
      <c r="G96" s="15">
        <v>-3.1199999999999999E-2</v>
      </c>
      <c r="H96" s="38">
        <f t="shared" si="13"/>
        <v>0.2287689280665981</v>
      </c>
      <c r="I96" s="32">
        <f t="shared" ref="I96:I159" si="17">((I95+J96)*G96)+I95+J96</f>
        <v>28442.589101752863</v>
      </c>
      <c r="J96" s="49">
        <v>2143.25</v>
      </c>
      <c r="K96" s="17">
        <v>-3.6900000000000002E-2</v>
      </c>
      <c r="L96" s="38">
        <f t="shared" si="14"/>
        <v>0.22164242473561191</v>
      </c>
      <c r="M96" s="32">
        <f t="shared" ref="M96:M159" si="18">((M95+N96)*K96)+M95+N96</f>
        <v>27556.558784224315</v>
      </c>
      <c r="N96" s="49">
        <v>2143.25</v>
      </c>
      <c r="O96" s="17">
        <v>-3.2099999999999997E-2</v>
      </c>
      <c r="P96" s="38">
        <f t="shared" si="15"/>
        <v>0.23047416640055596</v>
      </c>
      <c r="Q96" s="31">
        <f t="shared" ref="Q96:Q159" si="19">((Q95+R96)*O96)+Q95+R96</f>
        <v>28654.599507463212</v>
      </c>
      <c r="R96" s="49">
        <v>2143.25</v>
      </c>
      <c r="S96" s="27">
        <v>-1.3100000000000001E-2</v>
      </c>
      <c r="T96" s="38">
        <f t="shared" si="16"/>
        <v>3.9816871301600935E-2</v>
      </c>
      <c r="U96" s="31">
        <f t="shared" ref="U96:U159" si="20">((U95+V96)*S96)+U95+V96</f>
        <v>4950.3877966291147</v>
      </c>
      <c r="V96" s="47">
        <v>0</v>
      </c>
      <c r="W96" s="37">
        <f t="shared" ref="W96:W159" si="21">Q96+M96+I96+E96+U96</f>
        <v>124328.89965490765</v>
      </c>
      <c r="X96" s="40">
        <f t="shared" ref="X96:X159" si="22">W96/W95-1</f>
        <v>-3.3173222016288584E-2</v>
      </c>
      <c r="Y96" s="1"/>
      <c r="Z96" s="1"/>
      <c r="AA96" s="1"/>
      <c r="AB96" s="1"/>
      <c r="AC96" s="1"/>
      <c r="AD96" s="1"/>
      <c r="AE96" s="1"/>
      <c r="AP96"/>
      <c r="AQ96"/>
      <c r="AR96"/>
      <c r="AS96"/>
      <c r="AT96"/>
      <c r="AU96"/>
      <c r="AV96"/>
      <c r="AW96"/>
    </row>
    <row r="97" spans="1:49" x14ac:dyDescent="0.35">
      <c r="A97" s="105" cm="1">
        <f t="array" ref="A97">SUM(G91:G96+K91:K96+O91:O96)</f>
        <v>-6.2599999999999961E-2</v>
      </c>
      <c r="B97" s="11" t="s">
        <v>91</v>
      </c>
      <c r="C97" s="20">
        <v>8.43E-2</v>
      </c>
      <c r="D97" s="38">
        <f t="shared" si="12"/>
        <v>0.37366350333849485</v>
      </c>
      <c r="E97" s="32">
        <f t="shared" ref="E97:E160" si="23">((E96+F97)*C97)+E96+F97</f>
        <v>47183.449457223993</v>
      </c>
      <c r="F97" s="49">
        <v>8790.36</v>
      </c>
      <c r="G97" s="15">
        <v>-2.1499999999999998E-2</v>
      </c>
      <c r="H97" s="38">
        <f t="shared" si="13"/>
        <v>0.19769892835601738</v>
      </c>
      <c r="I97" s="32">
        <f t="shared" si="17"/>
        <v>24963.951016065177</v>
      </c>
      <c r="J97" s="48">
        <v>-2930.12</v>
      </c>
      <c r="K97" s="17">
        <v>-3.6999999999999998E-2</v>
      </c>
      <c r="L97" s="38">
        <f t="shared" si="14"/>
        <v>0.18781007835037644</v>
      </c>
      <c r="M97" s="32">
        <f t="shared" si="18"/>
        <v>23715.260549208015</v>
      </c>
      <c r="N97" s="48">
        <v>-2930.12</v>
      </c>
      <c r="O97" s="17">
        <v>-1.03E-2</v>
      </c>
      <c r="P97" s="38">
        <f t="shared" si="15"/>
        <v>0.20162350490841488</v>
      </c>
      <c r="Q97" s="31">
        <f t="shared" si="19"/>
        <v>25459.517368536341</v>
      </c>
      <c r="R97" s="48">
        <v>-2930.12</v>
      </c>
      <c r="S97" s="26">
        <v>0</v>
      </c>
      <c r="T97" s="38">
        <f t="shared" si="16"/>
        <v>3.9203985046696456E-2</v>
      </c>
      <c r="U97" s="31">
        <f t="shared" si="20"/>
        <v>4950.3877966291147</v>
      </c>
      <c r="V97" s="47">
        <v>0</v>
      </c>
      <c r="W97" s="37">
        <f t="shared" si="21"/>
        <v>126272.56618766264</v>
      </c>
      <c r="X97" s="40">
        <f t="shared" si="22"/>
        <v>1.56332641738961E-2</v>
      </c>
      <c r="Y97" s="1"/>
      <c r="Z97" s="1"/>
      <c r="AA97" s="1"/>
      <c r="AB97" s="1"/>
      <c r="AC97" s="1"/>
      <c r="AD97" s="1"/>
      <c r="AE97" s="1"/>
      <c r="AP97"/>
      <c r="AQ97"/>
      <c r="AR97"/>
      <c r="AS97"/>
      <c r="AT97"/>
      <c r="AU97"/>
      <c r="AV97"/>
      <c r="AW97"/>
    </row>
    <row r="98" spans="1:49" x14ac:dyDescent="0.35">
      <c r="A98" s="105" cm="1">
        <f t="array" ref="A98">SUM(G92:G97+K92:K97+O92:O97)</f>
        <v>-0.14899999999999997</v>
      </c>
      <c r="B98" s="10" t="s">
        <v>92</v>
      </c>
      <c r="C98" s="20">
        <v>0.14180000000000001</v>
      </c>
      <c r="D98" s="38">
        <f t="shared" si="12"/>
        <v>0.41946892910196787</v>
      </c>
      <c r="E98" s="32">
        <f t="shared" si="23"/>
        <v>53874.062590258356</v>
      </c>
      <c r="F98" s="47">
        <v>0</v>
      </c>
      <c r="G98" s="15">
        <v>-3.9300000000000002E-2</v>
      </c>
      <c r="H98" s="38">
        <f t="shared" si="13"/>
        <v>0.18673304674792837</v>
      </c>
      <c r="I98" s="32">
        <f t="shared" si="17"/>
        <v>23982.867741133814</v>
      </c>
      <c r="J98" s="47">
        <v>0</v>
      </c>
      <c r="K98" s="17">
        <v>-7.2099999999999997E-2</v>
      </c>
      <c r="L98" s="38">
        <f t="shared" si="14"/>
        <v>0.1713362060431749</v>
      </c>
      <c r="M98" s="32">
        <f t="shared" si="18"/>
        <v>22005.390263610116</v>
      </c>
      <c r="N98" s="47">
        <v>0</v>
      </c>
      <c r="O98" s="17">
        <v>-7.5800000000000006E-2</v>
      </c>
      <c r="P98" s="38">
        <f t="shared" si="15"/>
        <v>0.18320452725939981</v>
      </c>
      <c r="Q98" s="31">
        <f t="shared" si="19"/>
        <v>23529.685952001288</v>
      </c>
      <c r="R98" s="47">
        <v>0</v>
      </c>
      <c r="S98" s="26">
        <v>1.8499999999999999E-2</v>
      </c>
      <c r="T98" s="38">
        <f t="shared" si="16"/>
        <v>3.9257290847529061E-2</v>
      </c>
      <c r="U98" s="31">
        <f t="shared" si="20"/>
        <v>5041.9699708667531</v>
      </c>
      <c r="V98" s="47">
        <v>0</v>
      </c>
      <c r="W98" s="37">
        <f t="shared" si="21"/>
        <v>128433.97651787032</v>
      </c>
      <c r="X98" s="40">
        <f t="shared" si="22"/>
        <v>1.7117022291250894E-2</v>
      </c>
      <c r="Y98" s="1"/>
      <c r="Z98" s="1"/>
      <c r="AA98" s="1"/>
      <c r="AB98" s="1"/>
      <c r="AC98" s="1"/>
      <c r="AD98" s="1"/>
      <c r="AE98" s="1"/>
      <c r="AP98"/>
      <c r="AQ98"/>
      <c r="AR98"/>
      <c r="AS98"/>
      <c r="AT98"/>
      <c r="AU98"/>
      <c r="AV98"/>
      <c r="AW98"/>
    </row>
    <row r="99" spans="1:49" x14ac:dyDescent="0.35">
      <c r="A99" s="106" cm="1">
        <f t="array" ref="A99">SUM(G93:G98+K93:K98+O93:O98)</f>
        <v>-0.38879999999999998</v>
      </c>
      <c r="B99" s="11" t="s">
        <v>93</v>
      </c>
      <c r="C99" s="20">
        <v>1.83E-2</v>
      </c>
      <c r="D99" s="38">
        <f t="shared" si="12"/>
        <v>0.42058868235663233</v>
      </c>
      <c r="E99" s="32">
        <f t="shared" si="23"/>
        <v>54859.957935660081</v>
      </c>
      <c r="F99" s="47">
        <v>0</v>
      </c>
      <c r="G99" s="20">
        <v>6.1400000000000003E-2</v>
      </c>
      <c r="H99" s="38">
        <f t="shared" si="13"/>
        <v>0.19515617950919914</v>
      </c>
      <c r="I99" s="32">
        <f t="shared" si="17"/>
        <v>25455.41582043943</v>
      </c>
      <c r="J99" s="47">
        <v>0</v>
      </c>
      <c r="K99" s="19">
        <v>1.2E-2</v>
      </c>
      <c r="L99" s="38">
        <f t="shared" si="14"/>
        <v>0.17073073085197454</v>
      </c>
      <c r="M99" s="32">
        <f t="shared" si="18"/>
        <v>22269.454946773436</v>
      </c>
      <c r="N99" s="47">
        <v>0</v>
      </c>
      <c r="O99" s="17">
        <v>-6.13E-2</v>
      </c>
      <c r="P99" s="38">
        <f t="shared" si="15"/>
        <v>0.16933434818833479</v>
      </c>
      <c r="Q99" s="31">
        <f t="shared" si="19"/>
        <v>22087.316203143608</v>
      </c>
      <c r="R99" s="47">
        <v>0</v>
      </c>
      <c r="S99" s="26">
        <v>0.14319999999999999</v>
      </c>
      <c r="T99" s="38">
        <f t="shared" si="16"/>
        <v>4.4190059093859119E-2</v>
      </c>
      <c r="U99" s="31">
        <f t="shared" si="20"/>
        <v>5763.9800706948718</v>
      </c>
      <c r="V99" s="47">
        <v>0</v>
      </c>
      <c r="W99" s="37">
        <f t="shared" si="21"/>
        <v>130436.12497671144</v>
      </c>
      <c r="X99" s="40">
        <f t="shared" si="22"/>
        <v>1.5588931473771828E-2</v>
      </c>
      <c r="Y99" s="1"/>
      <c r="Z99" s="1"/>
      <c r="AA99" s="1"/>
      <c r="AB99" s="1"/>
      <c r="AC99" s="1"/>
      <c r="AD99" s="1"/>
      <c r="AE99" s="1"/>
      <c r="AP99"/>
      <c r="AQ99"/>
      <c r="AR99"/>
      <c r="AS99"/>
      <c r="AT99"/>
      <c r="AU99"/>
      <c r="AV99"/>
      <c r="AW99"/>
    </row>
    <row r="100" spans="1:49" x14ac:dyDescent="0.35">
      <c r="A100" s="106" cm="1">
        <f t="array" ref="A100">SUM(G94:G99+K94:K99+O94:O99)</f>
        <v>-0.39859999999999995</v>
      </c>
      <c r="B100" s="10" t="s">
        <v>94</v>
      </c>
      <c r="C100" s="15">
        <v>-3.27E-2</v>
      </c>
      <c r="D100" s="38">
        <f t="shared" si="12"/>
        <v>0.43489950384486997</v>
      </c>
      <c r="E100" s="32">
        <f t="shared" si="23"/>
        <v>56776.880628163999</v>
      </c>
      <c r="F100" s="49">
        <v>3836.29</v>
      </c>
      <c r="G100" s="20">
        <v>1.49E-2</v>
      </c>
      <c r="H100" s="38">
        <f t="shared" si="13"/>
        <v>0.1809885677658391</v>
      </c>
      <c r="I100" s="32">
        <f t="shared" si="17"/>
        <v>23628.369810163978</v>
      </c>
      <c r="J100" s="48">
        <v>-2173.94</v>
      </c>
      <c r="K100" s="19">
        <v>5.45E-2</v>
      </c>
      <c r="L100" s="38">
        <f t="shared" si="14"/>
        <v>0.1623166636586893</v>
      </c>
      <c r="M100" s="32">
        <f t="shared" si="18"/>
        <v>21190.72051137259</v>
      </c>
      <c r="N100" s="48">
        <v>-2173.94</v>
      </c>
      <c r="O100" s="19">
        <v>6.5500000000000003E-2</v>
      </c>
      <c r="P100" s="38">
        <f t="shared" si="15"/>
        <v>0.16252333908164587</v>
      </c>
      <c r="Q100" s="31">
        <f t="shared" si="19"/>
        <v>21217.702344449517</v>
      </c>
      <c r="R100" s="48">
        <v>-2173.94</v>
      </c>
      <c r="S100" s="27">
        <v>-8.4199999999999997E-2</v>
      </c>
      <c r="T100" s="38">
        <f t="shared" si="16"/>
        <v>5.9271925648955802E-2</v>
      </c>
      <c r="U100" s="31">
        <f t="shared" si="20"/>
        <v>7738.0521647423629</v>
      </c>
      <c r="V100" s="49">
        <v>2685.52</v>
      </c>
      <c r="W100" s="37">
        <f t="shared" si="21"/>
        <v>130551.72545889244</v>
      </c>
      <c r="X100" s="40">
        <f t="shared" si="22"/>
        <v>8.8626124244073345E-4</v>
      </c>
      <c r="Y100" s="1"/>
      <c r="Z100" s="1"/>
      <c r="AA100" s="1"/>
      <c r="AB100" s="1"/>
      <c r="AC100" s="1"/>
      <c r="AD100" s="1"/>
      <c r="AE100" s="1"/>
      <c r="AP100"/>
      <c r="AQ100"/>
      <c r="AR100"/>
      <c r="AS100"/>
      <c r="AT100"/>
      <c r="AU100"/>
      <c r="AV100"/>
      <c r="AW100"/>
    </row>
    <row r="101" spans="1:49" x14ac:dyDescent="0.35">
      <c r="A101" s="106" cm="1">
        <f t="array" ref="A101">SUM(G95:G100+K95:K100+O95:O100)</f>
        <v>-0.25699999999999995</v>
      </c>
      <c r="B101" s="11" t="s">
        <v>95</v>
      </c>
      <c r="C101" s="20">
        <v>0.12180000000000001</v>
      </c>
      <c r="D101" s="38">
        <f t="shared" si="12"/>
        <v>0.45626490458717367</v>
      </c>
      <c r="E101" s="32">
        <f t="shared" si="23"/>
        <v>65903.821208674373</v>
      </c>
      <c r="F101" s="49">
        <v>1971.4</v>
      </c>
      <c r="G101" s="20">
        <v>9.6699999999999994E-2</v>
      </c>
      <c r="H101" s="38">
        <f t="shared" si="13"/>
        <v>0.16288174780703593</v>
      </c>
      <c r="I101" s="32">
        <f t="shared" si="17"/>
        <v>23526.967508806832</v>
      </c>
      <c r="J101" s="48">
        <v>-2175.86</v>
      </c>
      <c r="K101" s="19">
        <v>9.8100000000000007E-2</v>
      </c>
      <c r="L101" s="38">
        <f t="shared" si="14"/>
        <v>0.14455779116066858</v>
      </c>
      <c r="M101" s="32">
        <f t="shared" si="18"/>
        <v>20880.218327538241</v>
      </c>
      <c r="N101" s="48">
        <v>-2175.86</v>
      </c>
      <c r="O101" s="19">
        <v>8.0600000000000005E-2</v>
      </c>
      <c r="P101" s="38">
        <f t="shared" si="15"/>
        <v>0.14245588546060148</v>
      </c>
      <c r="Q101" s="31">
        <f t="shared" si="19"/>
        <v>20576.614837412148</v>
      </c>
      <c r="R101" s="48">
        <v>-2175.86</v>
      </c>
      <c r="S101" s="26">
        <v>0.10249999999999999</v>
      </c>
      <c r="T101" s="38">
        <f t="shared" si="16"/>
        <v>9.3839670984520326E-2</v>
      </c>
      <c r="U101" s="31">
        <f t="shared" si="20"/>
        <v>13554.390961628455</v>
      </c>
      <c r="V101" s="49">
        <v>4556.18</v>
      </c>
      <c r="W101" s="37">
        <f t="shared" si="21"/>
        <v>144442.01284406005</v>
      </c>
      <c r="X101" s="40">
        <f t="shared" si="22"/>
        <v>0.10639681196355633</v>
      </c>
      <c r="Y101" s="1"/>
      <c r="Z101" s="1"/>
      <c r="AA101" s="1"/>
      <c r="AB101" s="1"/>
      <c r="AC101" s="1"/>
      <c r="AD101" s="1"/>
      <c r="AE101" s="1"/>
      <c r="AP101"/>
      <c r="AQ101"/>
      <c r="AR101"/>
      <c r="AS101"/>
      <c r="AT101"/>
      <c r="AU101"/>
      <c r="AV101"/>
      <c r="AW101"/>
    </row>
    <row r="102" spans="1:49" x14ac:dyDescent="0.35">
      <c r="A102" s="105" cm="1">
        <f t="array" ref="A102">SUM(G96:G101+K96:K101+O96:O101)</f>
        <v>6.6200000000000037E-2</v>
      </c>
      <c r="B102" s="10" t="s">
        <v>96</v>
      </c>
      <c r="C102" s="15">
        <v>-9.35E-2</v>
      </c>
      <c r="D102" s="38">
        <f t="shared" si="12"/>
        <v>0.42555906181012371</v>
      </c>
      <c r="E102" s="32">
        <f t="shared" si="23"/>
        <v>58921.503945663324</v>
      </c>
      <c r="F102" s="48">
        <v>-904.92</v>
      </c>
      <c r="G102" s="20">
        <v>2.0199999999999999E-2</v>
      </c>
      <c r="H102" s="38">
        <f t="shared" si="13"/>
        <v>0.16629713288714093</v>
      </c>
      <c r="I102" s="32">
        <f t="shared" si="17"/>
        <v>23024.952470484732</v>
      </c>
      <c r="J102" s="48">
        <v>-957.91</v>
      </c>
      <c r="K102" s="19">
        <v>1.1900000000000001E-2</v>
      </c>
      <c r="L102" s="38">
        <f t="shared" si="14"/>
        <v>0.14560063611203911</v>
      </c>
      <c r="M102" s="32">
        <f t="shared" si="18"/>
        <v>20159.383796635946</v>
      </c>
      <c r="N102" s="48">
        <v>-957.91</v>
      </c>
      <c r="O102" s="17">
        <v>-4.07E-2</v>
      </c>
      <c r="P102" s="38">
        <f t="shared" si="15"/>
        <v>0.13592858533628105</v>
      </c>
      <c r="Q102" s="31">
        <f t="shared" si="19"/>
        <v>18820.223550529474</v>
      </c>
      <c r="R102" s="48">
        <v>-957.91</v>
      </c>
      <c r="S102" s="26">
        <v>1.14E-2</v>
      </c>
      <c r="T102" s="38">
        <f t="shared" si="16"/>
        <v>0.12661458385441521</v>
      </c>
      <c r="U102" s="31">
        <f t="shared" si="20"/>
        <v>17530.637628591019</v>
      </c>
      <c r="V102" s="49">
        <v>3778.65</v>
      </c>
      <c r="W102" s="37">
        <f t="shared" si="21"/>
        <v>138456.7013919045</v>
      </c>
      <c r="X102" s="40">
        <f t="shared" si="22"/>
        <v>-4.1437469156687223E-2</v>
      </c>
      <c r="Y102" s="1"/>
      <c r="Z102" s="1"/>
      <c r="AA102" s="1"/>
      <c r="AB102" s="1"/>
      <c r="AC102" s="1"/>
      <c r="AD102" s="1"/>
      <c r="AE102" s="1"/>
      <c r="AP102"/>
      <c r="AQ102"/>
      <c r="AR102"/>
      <c r="AS102"/>
      <c r="AT102"/>
      <c r="AU102"/>
      <c r="AV102"/>
      <c r="AW102"/>
    </row>
    <row r="103" spans="1:49" x14ac:dyDescent="0.35">
      <c r="A103" s="105" cm="1">
        <f t="array" ref="A103">SUM(G97:G102+K97:K102+O97:O102)</f>
        <v>0.1578</v>
      </c>
      <c r="B103" s="9" t="s">
        <v>97</v>
      </c>
      <c r="C103" s="20">
        <v>4.3499999999999997E-2</v>
      </c>
      <c r="D103" s="38">
        <f t="shared" si="12"/>
        <v>0.43767791060931699</v>
      </c>
      <c r="E103" s="32">
        <f t="shared" si="23"/>
        <v>61484.589367299675</v>
      </c>
      <c r="F103" s="47">
        <v>0</v>
      </c>
      <c r="G103" s="15">
        <v>-1.9099999999999999E-2</v>
      </c>
      <c r="H103" s="38">
        <f t="shared" si="13"/>
        <v>0.16077252350350632</v>
      </c>
      <c r="I103" s="32">
        <f t="shared" si="17"/>
        <v>22585.175878298473</v>
      </c>
      <c r="J103" s="47">
        <v>0</v>
      </c>
      <c r="K103" s="19">
        <v>7.1000000000000004E-3</v>
      </c>
      <c r="L103" s="38">
        <f t="shared" si="14"/>
        <v>0.14452341019556053</v>
      </c>
      <c r="M103" s="32">
        <f t="shared" si="18"/>
        <v>20302.515421592063</v>
      </c>
      <c r="N103" s="47">
        <v>0</v>
      </c>
      <c r="O103" s="19">
        <v>4.3200000000000002E-2</v>
      </c>
      <c r="P103" s="38">
        <f t="shared" si="15"/>
        <v>0.13975929711233565</v>
      </c>
      <c r="Q103" s="31">
        <f t="shared" si="19"/>
        <v>19633.257207912346</v>
      </c>
      <c r="R103" s="47">
        <v>0</v>
      </c>
      <c r="S103" s="27">
        <v>-6.0299999999999999E-2</v>
      </c>
      <c r="T103" s="38">
        <f t="shared" si="16"/>
        <v>0.11726685857928046</v>
      </c>
      <c r="U103" s="31">
        <f t="shared" si="20"/>
        <v>16473.54017958698</v>
      </c>
      <c r="V103" s="47">
        <v>0</v>
      </c>
      <c r="W103" s="37">
        <f t="shared" si="21"/>
        <v>140479.07805468954</v>
      </c>
      <c r="X103" s="40">
        <f t="shared" si="22"/>
        <v>1.4606563947097584E-2</v>
      </c>
      <c r="Y103" s="1"/>
      <c r="Z103" s="1"/>
      <c r="AA103" s="1"/>
      <c r="AB103" s="1"/>
      <c r="AC103" s="1"/>
      <c r="AD103" s="1"/>
      <c r="AE103" s="1"/>
      <c r="AP103"/>
      <c r="AQ103"/>
      <c r="AR103"/>
      <c r="AS103"/>
      <c r="AT103"/>
      <c r="AU103"/>
      <c r="AV103"/>
      <c r="AW103"/>
    </row>
    <row r="104" spans="1:49" x14ac:dyDescent="0.35">
      <c r="A104" s="106" cm="1">
        <f t="array" ref="A104">SUM(G98:G103+K98:K103+O98:O103)</f>
        <v>0.25780000000000003</v>
      </c>
      <c r="B104" s="10" t="s">
        <v>98</v>
      </c>
      <c r="C104" s="15">
        <v>-5.7000000000000002E-2</v>
      </c>
      <c r="D104" s="38">
        <f t="shared" si="12"/>
        <v>0.42434908344721589</v>
      </c>
      <c r="E104" s="32">
        <f t="shared" si="23"/>
        <v>57979.967773363591</v>
      </c>
      <c r="F104" s="47">
        <v>0</v>
      </c>
      <c r="G104" s="20">
        <v>4.5999999999999999E-3</v>
      </c>
      <c r="H104" s="38">
        <f t="shared" si="13"/>
        <v>0.1660588207814977</v>
      </c>
      <c r="I104" s="32">
        <f t="shared" si="17"/>
        <v>22689.067687338644</v>
      </c>
      <c r="J104" s="47">
        <v>0</v>
      </c>
      <c r="K104" s="17">
        <v>-9.7999999999999997E-3</v>
      </c>
      <c r="L104" s="38">
        <f t="shared" si="14"/>
        <v>0.14713570343512047</v>
      </c>
      <c r="M104" s="32">
        <f t="shared" si="18"/>
        <v>20103.550770460461</v>
      </c>
      <c r="N104" s="47">
        <v>0</v>
      </c>
      <c r="O104" s="19">
        <v>1.6299999999999999E-2</v>
      </c>
      <c r="P104" s="38">
        <f t="shared" si="15"/>
        <v>0.14603588287576585</v>
      </c>
      <c r="Q104" s="31">
        <f t="shared" si="19"/>
        <v>19953.279300401318</v>
      </c>
      <c r="R104" s="47">
        <v>0</v>
      </c>
      <c r="S104" s="27">
        <v>-3.44E-2</v>
      </c>
      <c r="T104" s="38">
        <f t="shared" si="16"/>
        <v>0.11642050946040013</v>
      </c>
      <c r="U104" s="31">
        <f t="shared" si="20"/>
        <v>15906.850397409187</v>
      </c>
      <c r="V104" s="47">
        <v>0</v>
      </c>
      <c r="W104" s="37">
        <f t="shared" si="21"/>
        <v>136632.71592897319</v>
      </c>
      <c r="X104" s="40">
        <f t="shared" si="22"/>
        <v>-2.7380320108727707E-2</v>
      </c>
      <c r="Y104" s="1"/>
      <c r="Z104" s="1"/>
      <c r="AA104" s="1"/>
      <c r="AB104" s="1"/>
      <c r="AC104" s="1"/>
      <c r="AD104" s="1"/>
      <c r="AE104" s="1"/>
      <c r="AP104"/>
      <c r="AQ104"/>
      <c r="AR104"/>
      <c r="AS104"/>
      <c r="AT104"/>
      <c r="AU104"/>
      <c r="AV104"/>
      <c r="AW104"/>
    </row>
    <row r="105" spans="1:49" x14ac:dyDescent="0.35">
      <c r="A105" s="106" cm="1">
        <f t="array" ref="A105">SUM(G99:G104+K99:K104+O99:O104)</f>
        <v>0.45610000000000001</v>
      </c>
      <c r="B105" s="11" t="s">
        <v>99</v>
      </c>
      <c r="C105" s="20">
        <v>5.8900000000000001E-2</v>
      </c>
      <c r="D105" s="38">
        <f t="shared" si="12"/>
        <v>0.41841961841701902</v>
      </c>
      <c r="E105" s="32">
        <f t="shared" si="23"/>
        <v>61394.987875214705</v>
      </c>
      <c r="F105" s="47">
        <v>0</v>
      </c>
      <c r="G105" s="20">
        <v>0.1109</v>
      </c>
      <c r="H105" s="38">
        <f t="shared" si="13"/>
        <v>0.18902005472037314</v>
      </c>
      <c r="I105" s="32">
        <f t="shared" si="17"/>
        <v>27735.037882864497</v>
      </c>
      <c r="J105" s="49">
        <v>2277.21</v>
      </c>
      <c r="K105" s="19">
        <v>0.10050000000000001</v>
      </c>
      <c r="L105" s="38">
        <f t="shared" si="14"/>
        <v>0.16785876096663713</v>
      </c>
      <c r="M105" s="32">
        <f t="shared" si="18"/>
        <v>24630.027227891736</v>
      </c>
      <c r="N105" s="49">
        <v>2277.21</v>
      </c>
      <c r="O105" s="19">
        <v>4.3499999999999997E-2</v>
      </c>
      <c r="P105" s="38">
        <f t="shared" si="15"/>
        <v>0.15809589602026683</v>
      </c>
      <c r="Q105" s="31">
        <f t="shared" si="19"/>
        <v>23197.515584968776</v>
      </c>
      <c r="R105" s="49">
        <v>2277.21</v>
      </c>
      <c r="S105" s="26">
        <v>7.6899999999999996E-2</v>
      </c>
      <c r="T105" s="38">
        <f t="shared" si="16"/>
        <v>6.6605669875703946E-2</v>
      </c>
      <c r="U105" s="31">
        <f t="shared" si="20"/>
        <v>9773.0940769699555</v>
      </c>
      <c r="V105" s="48">
        <v>-6831.64</v>
      </c>
      <c r="W105" s="37">
        <f t="shared" si="21"/>
        <v>146730.66264790966</v>
      </c>
      <c r="X105" s="40">
        <f t="shared" si="22"/>
        <v>7.3905774691515047E-2</v>
      </c>
      <c r="Y105" s="1"/>
      <c r="Z105" s="1"/>
      <c r="AA105" s="1"/>
      <c r="AB105" s="1"/>
      <c r="AC105" s="1"/>
      <c r="AD105" s="1"/>
      <c r="AE105" s="1"/>
      <c r="AP105"/>
      <c r="AQ105"/>
      <c r="AR105"/>
      <c r="AS105"/>
      <c r="AT105"/>
      <c r="AU105"/>
      <c r="AV105"/>
      <c r="AW105"/>
    </row>
    <row r="106" spans="1:49" x14ac:dyDescent="0.35">
      <c r="A106" s="106" cm="1">
        <f t="array" ref="A106">SUM(G100:G105+K100:K105+O100:O105)</f>
        <v>0.69890000000000008</v>
      </c>
      <c r="B106" s="10" t="s">
        <v>100</v>
      </c>
      <c r="C106" s="20">
        <v>3.1600000000000003E-2</v>
      </c>
      <c r="D106" s="38">
        <f t="shared" si="12"/>
        <v>0.37072756330721057</v>
      </c>
      <c r="E106" s="32">
        <f t="shared" si="23"/>
        <v>55766.705144071493</v>
      </c>
      <c r="F106" s="48">
        <v>-7336.53</v>
      </c>
      <c r="G106" s="20">
        <v>2.5899999999999999E-2</v>
      </c>
      <c r="H106" s="38">
        <f t="shared" si="13"/>
        <v>0.20583159531322603</v>
      </c>
      <c r="I106" s="32">
        <f t="shared" si="17"/>
        <v>30962.224073030688</v>
      </c>
      <c r="J106" s="49">
        <v>2445.5100000000002</v>
      </c>
      <c r="K106" s="19">
        <v>1.7000000000000001E-2</v>
      </c>
      <c r="L106" s="38">
        <f t="shared" si="14"/>
        <v>0.18305345331711093</v>
      </c>
      <c r="M106" s="32">
        <f t="shared" si="18"/>
        <v>27535.821360765898</v>
      </c>
      <c r="N106" s="49">
        <v>2445.5100000000002</v>
      </c>
      <c r="O106" s="19">
        <v>1.61E-2</v>
      </c>
      <c r="P106" s="38">
        <f t="shared" si="15"/>
        <v>0.17321504374122007</v>
      </c>
      <c r="Q106" s="31">
        <f t="shared" si="19"/>
        <v>26055.878296886774</v>
      </c>
      <c r="R106" s="49">
        <v>2445.5100000000002</v>
      </c>
      <c r="S106" s="26">
        <v>3.39E-2</v>
      </c>
      <c r="T106" s="38">
        <f t="shared" si="16"/>
        <v>6.7172344321232466E-2</v>
      </c>
      <c r="U106" s="31">
        <f t="shared" si="20"/>
        <v>10104.401966179237</v>
      </c>
      <c r="V106" s="47">
        <v>0</v>
      </c>
      <c r="W106" s="37">
        <f t="shared" si="21"/>
        <v>150425.03084093408</v>
      </c>
      <c r="X106" s="40">
        <f t="shared" si="22"/>
        <v>2.5177888018466321E-2</v>
      </c>
      <c r="Y106" s="1"/>
      <c r="Z106" s="1"/>
      <c r="AA106" s="1"/>
      <c r="AB106" s="1"/>
      <c r="AC106" s="1"/>
      <c r="AD106" s="1"/>
      <c r="AE106" s="1"/>
      <c r="AP106"/>
      <c r="AQ106"/>
      <c r="AR106"/>
      <c r="AS106"/>
      <c r="AT106"/>
      <c r="AU106"/>
      <c r="AV106"/>
      <c r="AW106"/>
    </row>
    <row r="107" spans="1:49" x14ac:dyDescent="0.35">
      <c r="A107" s="106" cm="1">
        <f t="array" ref="A107">SUM(G101:G106+K101:K106+O101:O106)</f>
        <v>0.623</v>
      </c>
      <c r="B107" s="11" t="s">
        <v>101</v>
      </c>
      <c r="C107" s="20">
        <v>2.5999999999999999E-3</v>
      </c>
      <c r="D107" s="38">
        <f t="shared" si="12"/>
        <v>0.32234254419683156</v>
      </c>
      <c r="E107" s="32">
        <f t="shared" si="23"/>
        <v>48370.89332744608</v>
      </c>
      <c r="F107" s="48">
        <v>-7521.25</v>
      </c>
      <c r="G107" s="20">
        <v>2.8E-3</v>
      </c>
      <c r="H107" s="38">
        <f t="shared" si="13"/>
        <v>0.22366319720244088</v>
      </c>
      <c r="I107" s="32">
        <f t="shared" si="17"/>
        <v>33563.018124435177</v>
      </c>
      <c r="J107" s="49">
        <v>2507.08</v>
      </c>
      <c r="K107" s="17">
        <v>-5.0000000000000001E-4</v>
      </c>
      <c r="L107" s="38">
        <f t="shared" si="14"/>
        <v>0.20010511572590267</v>
      </c>
      <c r="M107" s="32">
        <f t="shared" si="18"/>
        <v>30027.879910085518</v>
      </c>
      <c r="N107" s="49">
        <v>2507.08</v>
      </c>
      <c r="O107" s="17">
        <v>-4.4600000000000001E-2</v>
      </c>
      <c r="P107" s="38">
        <f t="shared" si="15"/>
        <v>0.18185361724030646</v>
      </c>
      <c r="Q107" s="31">
        <f t="shared" si="19"/>
        <v>27289.050356845626</v>
      </c>
      <c r="R107" s="49">
        <v>2507.08</v>
      </c>
      <c r="S107" s="26">
        <v>6.9800000000000001E-2</v>
      </c>
      <c r="T107" s="38">
        <f t="shared" si="16"/>
        <v>7.2035525634518593E-2</v>
      </c>
      <c r="U107" s="31">
        <f>((U106+V107)*S107)+U106+V107</f>
        <v>10809.689223418547</v>
      </c>
      <c r="V107" s="47">
        <v>0</v>
      </c>
      <c r="W107" s="37">
        <f t="shared" si="21"/>
        <v>150060.53094223092</v>
      </c>
      <c r="X107" s="40">
        <f t="shared" si="22"/>
        <v>-2.4231332821769147E-3</v>
      </c>
      <c r="Y107" s="1"/>
      <c r="Z107" s="1"/>
      <c r="AA107" s="1"/>
      <c r="AB107" s="1"/>
      <c r="AC107" s="1"/>
      <c r="AD107" s="1"/>
      <c r="AE107" s="1"/>
      <c r="AP107"/>
      <c r="AQ107"/>
      <c r="AR107"/>
      <c r="AS107"/>
      <c r="AT107"/>
      <c r="AU107"/>
      <c r="AV107"/>
      <c r="AW107"/>
    </row>
    <row r="108" spans="1:49" x14ac:dyDescent="0.35">
      <c r="A108" s="106" cm="1">
        <f t="array" ref="A108">SUM(G102:G107+K102:K107+O102:O107)</f>
        <v>0.30530000000000002</v>
      </c>
      <c r="B108" s="10" t="s">
        <v>102</v>
      </c>
      <c r="C108" s="20">
        <v>5.4899999999999997E-2</v>
      </c>
      <c r="D108" s="38">
        <f t="shared" si="12"/>
        <v>0.27739647846680449</v>
      </c>
      <c r="E108" s="32">
        <f t="shared" si="23"/>
        <v>44323.68406512287</v>
      </c>
      <c r="F108" s="48">
        <v>-6353.94</v>
      </c>
      <c r="G108" s="20">
        <v>7.0999999999999994E-2</v>
      </c>
      <c r="H108" s="38">
        <f t="shared" si="13"/>
        <v>0.24172902297061546</v>
      </c>
      <c r="I108" s="32">
        <f t="shared" si="17"/>
        <v>38624.574121270074</v>
      </c>
      <c r="J108" s="49">
        <v>2501.0100000000002</v>
      </c>
      <c r="K108" s="19">
        <v>7.6899999999999996E-2</v>
      </c>
      <c r="L108" s="38">
        <f t="shared" si="14"/>
        <v>0.21923491101269529</v>
      </c>
      <c r="M108" s="32">
        <f t="shared" si="18"/>
        <v>35030.361544171094</v>
      </c>
      <c r="N108" s="49">
        <v>2501.0100000000002</v>
      </c>
      <c r="O108" s="19">
        <v>6.9400000000000003E-2</v>
      </c>
      <c r="P108" s="38">
        <f t="shared" si="15"/>
        <v>0.19937773397080172</v>
      </c>
      <c r="Q108" s="31">
        <f t="shared" si="19"/>
        <v>31857.490545610715</v>
      </c>
      <c r="R108" s="49">
        <v>2501.0100000000002</v>
      </c>
      <c r="S108" s="26">
        <v>2.98E-2</v>
      </c>
      <c r="T108" s="38">
        <f t="shared" si="16"/>
        <v>6.2261853579083204E-2</v>
      </c>
      <c r="U108" s="31">
        <f t="shared" si="20"/>
        <v>9948.4850802764195</v>
      </c>
      <c r="V108" s="48">
        <v>-1149.0899999999999</v>
      </c>
      <c r="W108" s="37">
        <f t="shared" si="21"/>
        <v>159784.59535645114</v>
      </c>
      <c r="X108" s="40">
        <f t="shared" si="22"/>
        <v>6.4800946345869637E-2</v>
      </c>
      <c r="Y108" s="1"/>
      <c r="Z108" s="1"/>
      <c r="AA108" s="1"/>
      <c r="AB108" s="1"/>
      <c r="AC108" s="1"/>
      <c r="AD108" s="1"/>
      <c r="AE108" s="1"/>
      <c r="AP108"/>
      <c r="AQ108"/>
      <c r="AR108"/>
      <c r="AS108"/>
      <c r="AT108"/>
      <c r="AU108"/>
      <c r="AV108"/>
      <c r="AW108"/>
    </row>
    <row r="109" spans="1:49" x14ac:dyDescent="0.35">
      <c r="A109" s="106" cm="1">
        <f t="array" ref="A109">SUM(G103:G108+K103:K108+O103:O108)</f>
        <v>0.53120000000000001</v>
      </c>
      <c r="B109" s="11" t="s">
        <v>103</v>
      </c>
      <c r="C109" s="15">
        <v>-8.6E-3</v>
      </c>
      <c r="D109" s="38">
        <f t="shared" si="12"/>
        <v>0.35242080969806461</v>
      </c>
      <c r="E109" s="32">
        <f t="shared" si="23"/>
        <v>55443.662384162817</v>
      </c>
      <c r="F109" s="49">
        <v>11600.93</v>
      </c>
      <c r="G109" s="15">
        <v>-6.1999999999999998E-3</v>
      </c>
      <c r="H109" s="38">
        <f t="shared" si="13"/>
        <v>0.2304171556922949</v>
      </c>
      <c r="I109" s="32">
        <f t="shared" si="17"/>
        <v>36249.763453718202</v>
      </c>
      <c r="J109" s="48">
        <v>-2148.66</v>
      </c>
      <c r="K109" s="17">
        <v>-3.3500000000000002E-2</v>
      </c>
      <c r="L109" s="38">
        <f t="shared" si="14"/>
        <v>0.20200670083410874</v>
      </c>
      <c r="M109" s="32">
        <f t="shared" si="18"/>
        <v>31780.164542441362</v>
      </c>
      <c r="N109" s="48">
        <v>-2148.66</v>
      </c>
      <c r="O109" s="17">
        <v>-1.9E-2</v>
      </c>
      <c r="P109" s="38">
        <f t="shared" si="15"/>
        <v>0.18525255154853068</v>
      </c>
      <c r="Q109" s="31">
        <f t="shared" si="19"/>
        <v>29144.36276524411</v>
      </c>
      <c r="R109" s="48">
        <v>-2148.66</v>
      </c>
      <c r="S109" s="27">
        <v>-1.8599999999999998E-2</v>
      </c>
      <c r="T109" s="38">
        <f t="shared" si="16"/>
        <v>2.9902782227000872E-2</v>
      </c>
      <c r="U109" s="31">
        <f t="shared" si="20"/>
        <v>4704.3753277832775</v>
      </c>
      <c r="V109" s="48">
        <v>-5154.95</v>
      </c>
      <c r="W109" s="37">
        <f t="shared" si="21"/>
        <v>157322.3284733498</v>
      </c>
      <c r="X109" s="40">
        <f t="shared" si="22"/>
        <v>-1.5409914063420627E-2</v>
      </c>
      <c r="Y109" s="1"/>
      <c r="Z109" s="1"/>
      <c r="AA109" s="1"/>
      <c r="AB109" s="1"/>
      <c r="AC109" s="1"/>
      <c r="AD109" s="1"/>
      <c r="AE109" s="1"/>
      <c r="AP109"/>
      <c r="AQ109"/>
      <c r="AR109"/>
      <c r="AS109"/>
      <c r="AT109"/>
      <c r="AU109"/>
      <c r="AV109"/>
      <c r="AW109"/>
    </row>
    <row r="110" spans="1:49" x14ac:dyDescent="0.35">
      <c r="A110" s="106" cm="1">
        <f t="array" ref="A110">SUM(G104:G109+K104:K109+O104:O109)</f>
        <v>0.44130000000000003</v>
      </c>
      <c r="B110" s="10" t="s">
        <v>104</v>
      </c>
      <c r="C110" s="20">
        <v>5.3199999999999997E-2</v>
      </c>
      <c r="D110" s="38">
        <f t="shared" si="12"/>
        <v>0.28811647293614268</v>
      </c>
      <c r="E110" s="32">
        <f t="shared" si="23"/>
        <v>46778.723071000277</v>
      </c>
      <c r="F110" s="48">
        <v>-11027.86</v>
      </c>
      <c r="G110" s="20">
        <v>2.47E-2</v>
      </c>
      <c r="H110" s="38">
        <f t="shared" si="13"/>
        <v>0.2453302793442057</v>
      </c>
      <c r="I110" s="32">
        <f t="shared" si="17"/>
        <v>39831.936999025042</v>
      </c>
      <c r="J110" s="49">
        <v>2622.04</v>
      </c>
      <c r="K110" s="19">
        <v>4.0399999999999998E-2</v>
      </c>
      <c r="L110" s="38">
        <f t="shared" si="14"/>
        <v>0.22044809193353809</v>
      </c>
      <c r="M110" s="32">
        <f t="shared" si="18"/>
        <v>35792.053605955996</v>
      </c>
      <c r="N110" s="49">
        <v>2622.04</v>
      </c>
      <c r="O110" s="19">
        <v>8.9999999999999993E-3</v>
      </c>
      <c r="P110" s="38">
        <f t="shared" si="15"/>
        <v>0.19741444681758205</v>
      </c>
      <c r="Q110" s="31">
        <f t="shared" si="19"/>
        <v>32052.30039013131</v>
      </c>
      <c r="R110" s="49">
        <v>2622.04</v>
      </c>
      <c r="S110" s="26">
        <v>5.0000000000000001E-3</v>
      </c>
      <c r="T110" s="38">
        <f t="shared" si="16"/>
        <v>4.8690708968531338E-2</v>
      </c>
      <c r="U110" s="31">
        <f t="shared" si="20"/>
        <v>7905.445904422194</v>
      </c>
      <c r="V110" s="49">
        <v>3161.74</v>
      </c>
      <c r="W110" s="37">
        <f t="shared" si="21"/>
        <v>162360.45997053484</v>
      </c>
      <c r="X110" s="40">
        <f t="shared" si="22"/>
        <v>3.2024262201525211E-2</v>
      </c>
      <c r="Y110" s="1"/>
      <c r="Z110" s="1"/>
      <c r="AA110" s="1"/>
      <c r="AB110" s="1"/>
      <c r="AC110" s="1"/>
      <c r="AD110" s="1"/>
      <c r="AE110" s="1"/>
      <c r="AP110"/>
      <c r="AQ110"/>
      <c r="AR110"/>
      <c r="AS110"/>
      <c r="AT110"/>
      <c r="AU110"/>
      <c r="AV110"/>
      <c r="AW110"/>
    </row>
    <row r="111" spans="1:49" x14ac:dyDescent="0.35">
      <c r="A111" s="106" cm="1">
        <f t="array" ref="A111">SUM(G105:G110+K105:K110+O105:O110)</f>
        <v>0.50429999999999997</v>
      </c>
      <c r="B111" s="11" t="s">
        <v>105</v>
      </c>
      <c r="C111" s="20">
        <v>3.7199999999999997E-2</v>
      </c>
      <c r="D111" s="38">
        <f t="shared" si="12"/>
        <v>0.29124121057483321</v>
      </c>
      <c r="E111" s="32">
        <f t="shared" si="23"/>
        <v>48518.891569241488</v>
      </c>
      <c r="F111" s="47">
        <v>0</v>
      </c>
      <c r="G111" s="20">
        <v>1.4200000000000001E-2</v>
      </c>
      <c r="H111" s="38">
        <f t="shared" si="13"/>
        <v>0.24249176212882337</v>
      </c>
      <c r="I111" s="32">
        <f t="shared" si="17"/>
        <v>40397.5505044112</v>
      </c>
      <c r="J111" s="47">
        <v>0</v>
      </c>
      <c r="K111" s="19">
        <v>1.8599999999999998E-2</v>
      </c>
      <c r="L111" s="38">
        <f t="shared" si="14"/>
        <v>0.21884279151345581</v>
      </c>
      <c r="M111" s="32">
        <f t="shared" si="18"/>
        <v>36457.785803026774</v>
      </c>
      <c r="N111" s="47">
        <v>0</v>
      </c>
      <c r="O111" s="19">
        <v>4.1799999999999997E-2</v>
      </c>
      <c r="P111" s="38">
        <f t="shared" si="15"/>
        <v>0.2004405169793633</v>
      </c>
      <c r="Q111" s="31">
        <f t="shared" si="19"/>
        <v>33392.086546438797</v>
      </c>
      <c r="R111" s="47">
        <v>0</v>
      </c>
      <c r="S111" s="27">
        <v>-9.9000000000000008E-3</v>
      </c>
      <c r="T111" s="38">
        <f t="shared" si="16"/>
        <v>4.69837188035244E-2</v>
      </c>
      <c r="U111" s="31">
        <f t="shared" si="20"/>
        <v>7827.1819899684142</v>
      </c>
      <c r="V111" s="47">
        <v>0</v>
      </c>
      <c r="W111" s="37">
        <f t="shared" si="21"/>
        <v>166593.49641308666</v>
      </c>
      <c r="X111" s="40">
        <f t="shared" si="22"/>
        <v>2.6071843128062211E-2</v>
      </c>
      <c r="Y111" s="1"/>
      <c r="Z111" s="1"/>
      <c r="AA111" s="1"/>
      <c r="AB111" s="1"/>
      <c r="AC111" s="1"/>
      <c r="AD111" s="1"/>
      <c r="AE111" s="1"/>
      <c r="AP111"/>
      <c r="AQ111"/>
      <c r="AR111"/>
      <c r="AS111"/>
      <c r="AT111"/>
      <c r="AU111"/>
      <c r="AV111"/>
      <c r="AW111"/>
    </row>
    <row r="112" spans="1:49" x14ac:dyDescent="0.35">
      <c r="A112" s="106" cm="1">
        <f t="array" ref="A112">SUM(G106:G111+K106:K111+O106:O111)</f>
        <v>0.32399999999999995</v>
      </c>
      <c r="B112" s="10" t="s">
        <v>106</v>
      </c>
      <c r="C112" s="15">
        <v>-2.86E-2</v>
      </c>
      <c r="D112" s="38">
        <f t="shared" si="12"/>
        <v>0.28812514591829391</v>
      </c>
      <c r="E112" s="32">
        <f t="shared" si="23"/>
        <v>47131.251270361179</v>
      </c>
      <c r="F112" s="47">
        <v>0</v>
      </c>
      <c r="G112" s="15">
        <v>-1.89E-2</v>
      </c>
      <c r="H112" s="38">
        <f t="shared" si="13"/>
        <v>0.24229279572463006</v>
      </c>
      <c r="I112" s="32">
        <f t="shared" si="17"/>
        <v>39634.036799877831</v>
      </c>
      <c r="J112" s="47">
        <v>0</v>
      </c>
      <c r="K112" s="17">
        <v>-2.0799999999999999E-2</v>
      </c>
      <c r="L112" s="38">
        <f t="shared" si="14"/>
        <v>0.21823976567863329</v>
      </c>
      <c r="M112" s="32">
        <f t="shared" si="18"/>
        <v>35699.463858323819</v>
      </c>
      <c r="N112" s="47">
        <v>0</v>
      </c>
      <c r="O112" s="17">
        <v>-3.3999999999999998E-3</v>
      </c>
      <c r="P112" s="38">
        <f t="shared" si="15"/>
        <v>0.20344013390090265</v>
      </c>
      <c r="Q112" s="31">
        <f t="shared" si="19"/>
        <v>33278.553452180902</v>
      </c>
      <c r="R112" s="47">
        <v>0</v>
      </c>
      <c r="S112" s="26">
        <v>1.1000000000000001E-3</v>
      </c>
      <c r="T112" s="38">
        <f t="shared" si="16"/>
        <v>4.7902158777540088E-2</v>
      </c>
      <c r="U112" s="31">
        <f t="shared" si="20"/>
        <v>7835.7918901573794</v>
      </c>
      <c r="V112" s="47">
        <v>0</v>
      </c>
      <c r="W112" s="37">
        <f t="shared" si="21"/>
        <v>163579.09727090111</v>
      </c>
      <c r="X112" s="40">
        <f t="shared" si="22"/>
        <v>-1.8094338657200781E-2</v>
      </c>
      <c r="Y112" s="1"/>
      <c r="Z112" s="1"/>
      <c r="AA112" s="1"/>
      <c r="AB112" s="1"/>
      <c r="AC112" s="1"/>
      <c r="AD112" s="1"/>
      <c r="AE112" s="1"/>
      <c r="AP112"/>
      <c r="AQ112"/>
      <c r="AR112"/>
      <c r="AS112"/>
      <c r="AT112"/>
      <c r="AU112"/>
      <c r="AV112"/>
      <c r="AW112"/>
    </row>
    <row r="113" spans="1:49" x14ac:dyDescent="0.35">
      <c r="A113" s="106" cm="1">
        <f t="array" ref="A113">SUM(G107:G112+K107:K112+O107:O112)</f>
        <v>0.22189999999999996</v>
      </c>
      <c r="B113" s="11" t="s">
        <v>107</v>
      </c>
      <c r="C113" s="20">
        <v>2.9700000000000001E-2</v>
      </c>
      <c r="D113" s="38">
        <f t="shared" si="12"/>
        <v>0.28609616982628511</v>
      </c>
      <c r="E113" s="32">
        <f t="shared" si="23"/>
        <v>48531.049433090906</v>
      </c>
      <c r="F113" s="47">
        <v>0</v>
      </c>
      <c r="G113" s="20">
        <v>3.56E-2</v>
      </c>
      <c r="H113" s="38">
        <f t="shared" si="13"/>
        <v>0.24196508961494093</v>
      </c>
      <c r="I113" s="32">
        <f t="shared" si="17"/>
        <v>41045.008509953484</v>
      </c>
      <c r="J113" s="47">
        <v>0</v>
      </c>
      <c r="K113" s="19">
        <v>3.8399999999999997E-2</v>
      </c>
      <c r="L113" s="38">
        <f t="shared" si="14"/>
        <v>0.21853385875220821</v>
      </c>
      <c r="M113" s="32">
        <f t="shared" si="18"/>
        <v>37070.323270483452</v>
      </c>
      <c r="N113" s="47">
        <v>0</v>
      </c>
      <c r="O113" s="19">
        <v>4.8599999999999997E-2</v>
      </c>
      <c r="P113" s="38">
        <f t="shared" si="15"/>
        <v>0.2057153289965809</v>
      </c>
      <c r="Q113" s="31">
        <f t="shared" si="19"/>
        <v>34895.891149956893</v>
      </c>
      <c r="R113" s="47">
        <v>0</v>
      </c>
      <c r="S113" s="26">
        <v>3.2399999999999998E-2</v>
      </c>
      <c r="T113" s="38">
        <f t="shared" si="16"/>
        <v>4.7689552809985006E-2</v>
      </c>
      <c r="U113" s="31">
        <f t="shared" si="20"/>
        <v>8089.6715473984787</v>
      </c>
      <c r="V113" s="47">
        <v>0</v>
      </c>
      <c r="W113" s="37">
        <f t="shared" si="21"/>
        <v>169631.94391088319</v>
      </c>
      <c r="X113" s="40">
        <f t="shared" si="22"/>
        <v>3.7002567815605625E-2</v>
      </c>
      <c r="Y113" s="1"/>
      <c r="Z113" s="1"/>
      <c r="AA113" s="1"/>
      <c r="AB113" s="1"/>
      <c r="AC113" s="1"/>
      <c r="AD113" s="1"/>
      <c r="AE113" s="1"/>
      <c r="AP113"/>
      <c r="AQ113"/>
      <c r="AR113"/>
      <c r="AS113"/>
      <c r="AT113"/>
      <c r="AU113"/>
      <c r="AV113"/>
      <c r="AW113"/>
    </row>
    <row r="114" spans="1:49" x14ac:dyDescent="0.35">
      <c r="A114" s="106" cm="1">
        <f t="array" ref="A114">SUM(G108:G113+K108:K113+O108:O113)</f>
        <v>0.38679999999999998</v>
      </c>
      <c r="B114" s="10" t="s">
        <v>108</v>
      </c>
      <c r="C114" s="15">
        <v>-4.6100000000000002E-2</v>
      </c>
      <c r="D114" s="38">
        <f t="shared" si="12"/>
        <v>0.27569675764974522</v>
      </c>
      <c r="E114" s="32">
        <f t="shared" si="23"/>
        <v>46293.768054225417</v>
      </c>
      <c r="F114" s="47">
        <v>0</v>
      </c>
      <c r="G114" s="15">
        <v>-1.66E-2</v>
      </c>
      <c r="H114" s="38">
        <f t="shared" si="13"/>
        <v>0.24038074742986754</v>
      </c>
      <c r="I114" s="32">
        <f t="shared" si="17"/>
        <v>40363.661368688256</v>
      </c>
      <c r="J114" s="47">
        <v>0</v>
      </c>
      <c r="K114" s="19">
        <v>3.2000000000000002E-3</v>
      </c>
      <c r="L114" s="38">
        <f t="shared" si="14"/>
        <v>0.22147414001964372</v>
      </c>
      <c r="M114" s="32">
        <f t="shared" si="18"/>
        <v>37188.948304949001</v>
      </c>
      <c r="N114" s="47">
        <v>0</v>
      </c>
      <c r="O114" s="19">
        <v>3.6499999999999998E-2</v>
      </c>
      <c r="P114" s="38">
        <f t="shared" si="15"/>
        <v>0.21540348587127706</v>
      </c>
      <c r="Q114" s="31">
        <f t="shared" si="19"/>
        <v>36169.59117693032</v>
      </c>
      <c r="R114" s="47">
        <v>0</v>
      </c>
      <c r="S114" s="27">
        <v>-2.35E-2</v>
      </c>
      <c r="T114" s="38">
        <f t="shared" si="16"/>
        <v>4.7044869029466453E-2</v>
      </c>
      <c r="U114" s="31">
        <f t="shared" si="20"/>
        <v>7899.5642660346148</v>
      </c>
      <c r="V114" s="47">
        <v>0</v>
      </c>
      <c r="W114" s="37">
        <f t="shared" si="21"/>
        <v>167915.53317082761</v>
      </c>
      <c r="X114" s="40">
        <f t="shared" si="22"/>
        <v>-1.0118440551251995E-2</v>
      </c>
      <c r="Y114" s="1"/>
      <c r="Z114" s="1"/>
      <c r="AA114" s="1"/>
      <c r="AB114" s="1"/>
      <c r="AC114" s="1"/>
      <c r="AD114" s="1"/>
      <c r="AE114" s="1"/>
      <c r="AP114"/>
      <c r="AQ114"/>
      <c r="AR114"/>
      <c r="AS114"/>
      <c r="AT114"/>
      <c r="AU114"/>
      <c r="AV114"/>
      <c r="AW114"/>
    </row>
    <row r="115" spans="1:49" x14ac:dyDescent="0.35">
      <c r="A115" s="105" cm="1">
        <f t="array" ref="A115">SUM(G109:G114+K109:K114+O109:O114)</f>
        <v>0.19259999999999999</v>
      </c>
      <c r="B115" s="9" t="s">
        <v>109</v>
      </c>
      <c r="C115" s="15">
        <v>-3.56E-2</v>
      </c>
      <c r="D115" s="38">
        <f t="shared" si="12"/>
        <v>0.34072683472535248</v>
      </c>
      <c r="E115" s="32">
        <f t="shared" si="23"/>
        <v>56678.210459494992</v>
      </c>
      <c r="F115" s="49">
        <v>12476.67</v>
      </c>
      <c r="G115" s="20">
        <v>0.02</v>
      </c>
      <c r="H115" s="38">
        <f t="shared" si="13"/>
        <v>0.22200164386644775</v>
      </c>
      <c r="I115" s="32">
        <f t="shared" si="17"/>
        <v>36928.866796062022</v>
      </c>
      <c r="J115" s="48">
        <v>-4158.8900000000003</v>
      </c>
      <c r="K115" s="19">
        <v>3.1699999999999999E-2</v>
      </c>
      <c r="L115" s="38">
        <f t="shared" si="14"/>
        <v>0.204858024374588</v>
      </c>
      <c r="M115" s="32">
        <f t="shared" si="18"/>
        <v>34077.111153215883</v>
      </c>
      <c r="N115" s="48">
        <v>-4158.8900000000003</v>
      </c>
      <c r="O115" s="17">
        <v>-3.1899999999999998E-2</v>
      </c>
      <c r="P115" s="38">
        <f t="shared" si="15"/>
        <v>0.18629689501100477</v>
      </c>
      <c r="Q115" s="31">
        <f t="shared" si="19"/>
        <v>30989.559809386243</v>
      </c>
      <c r="R115" s="48">
        <v>-4158.8900000000003</v>
      </c>
      <c r="S115" s="27">
        <v>-2.8899999999999999E-2</v>
      </c>
      <c r="T115" s="38">
        <f t="shared" si="16"/>
        <v>4.6116602022607055E-2</v>
      </c>
      <c r="U115" s="31">
        <f t="shared" si="20"/>
        <v>7671.266858746214</v>
      </c>
      <c r="V115" s="47">
        <v>0</v>
      </c>
      <c r="W115" s="37">
        <f t="shared" si="21"/>
        <v>166345.01507690534</v>
      </c>
      <c r="X115" s="40">
        <f t="shared" si="22"/>
        <v>-9.3530244895480008E-3</v>
      </c>
      <c r="Y115" s="1"/>
      <c r="Z115" s="1"/>
      <c r="AA115" s="1"/>
      <c r="AB115" s="1"/>
      <c r="AC115" s="1"/>
      <c r="AD115" s="1"/>
      <c r="AE115" s="1"/>
      <c r="AP115"/>
      <c r="AQ115"/>
      <c r="AR115"/>
      <c r="AS115"/>
      <c r="AT115"/>
      <c r="AU115"/>
      <c r="AV115"/>
      <c r="AW115"/>
    </row>
    <row r="116" spans="1:49" x14ac:dyDescent="0.35">
      <c r="A116" s="106" cm="1">
        <f t="array" ref="A116">SUM(G110:G115+K110:K115+O110:O115)</f>
        <v>0.27109999999999995</v>
      </c>
      <c r="B116" s="10" t="s">
        <v>110</v>
      </c>
      <c r="C116" s="15">
        <v>-5.74E-2</v>
      </c>
      <c r="D116" s="38">
        <f t="shared" si="12"/>
        <v>0.32912562196621675</v>
      </c>
      <c r="E116" s="32">
        <f t="shared" si="23"/>
        <v>53424.881179119977</v>
      </c>
      <c r="F116" s="47">
        <v>0</v>
      </c>
      <c r="G116" s="20">
        <v>3.5999999999999999E-3</v>
      </c>
      <c r="H116" s="38">
        <f t="shared" si="13"/>
        <v>0.22832042363135402</v>
      </c>
      <c r="I116" s="32">
        <f t="shared" si="17"/>
        <v>37061.810716527849</v>
      </c>
      <c r="J116" s="47">
        <v>0</v>
      </c>
      <c r="K116" s="19">
        <v>2.5999999999999999E-3</v>
      </c>
      <c r="L116" s="38">
        <f t="shared" si="14"/>
        <v>0.21047891630233481</v>
      </c>
      <c r="M116" s="32">
        <f t="shared" si="18"/>
        <v>34165.711642214243</v>
      </c>
      <c r="N116" s="47">
        <v>0</v>
      </c>
      <c r="O116" s="17">
        <v>-3.0099999999999998E-2</v>
      </c>
      <c r="P116" s="38">
        <f t="shared" si="15"/>
        <v>0.18516568007592324</v>
      </c>
      <c r="Q116" s="31">
        <f t="shared" si="19"/>
        <v>30056.774059123716</v>
      </c>
      <c r="R116" s="47">
        <v>0</v>
      </c>
      <c r="S116" s="27">
        <v>-7.4000000000000003E-3</v>
      </c>
      <c r="T116" s="38">
        <f t="shared" si="16"/>
        <v>4.6909358024171045E-2</v>
      </c>
      <c r="U116" s="31">
        <f t="shared" si="20"/>
        <v>7614.4994839914916</v>
      </c>
      <c r="V116" s="47">
        <v>0</v>
      </c>
      <c r="W116" s="37">
        <f t="shared" si="21"/>
        <v>162323.6770809773</v>
      </c>
      <c r="X116" s="40">
        <f t="shared" si="22"/>
        <v>-2.417468292674041E-2</v>
      </c>
      <c r="Y116" s="1"/>
      <c r="Z116" s="1"/>
      <c r="AA116" s="1"/>
      <c r="AB116" s="1"/>
      <c r="AC116" s="1"/>
      <c r="AD116" s="1"/>
      <c r="AE116" s="1"/>
      <c r="AP116"/>
      <c r="AQ116"/>
      <c r="AR116"/>
      <c r="AS116"/>
      <c r="AT116"/>
      <c r="AU116"/>
      <c r="AV116"/>
      <c r="AW116"/>
    </row>
    <row r="117" spans="1:49" x14ac:dyDescent="0.35">
      <c r="A117" s="105" cm="1">
        <f t="array" ref="A117">SUM(G111:G116+K111:K116+O111:O116)</f>
        <v>0.17309999999999995</v>
      </c>
      <c r="B117" s="11" t="s">
        <v>111</v>
      </c>
      <c r="C117" s="20">
        <v>3.3799999999999997E-2</v>
      </c>
      <c r="D117" s="38">
        <f t="shared" si="12"/>
        <v>0.27744454208896324</v>
      </c>
      <c r="E117" s="32">
        <f t="shared" si="23"/>
        <v>47001.335712974229</v>
      </c>
      <c r="F117" s="48">
        <v>-7960.25</v>
      </c>
      <c r="G117" s="20">
        <v>6.0600000000000001E-2</v>
      </c>
      <c r="H117" s="38">
        <f t="shared" si="13"/>
        <v>0.24896748355557882</v>
      </c>
      <c r="I117" s="32">
        <f t="shared" si="17"/>
        <v>42177.093079949438</v>
      </c>
      <c r="J117" s="49">
        <v>2705.39</v>
      </c>
      <c r="K117" s="19">
        <v>6.8400000000000002E-2</v>
      </c>
      <c r="L117" s="38">
        <f t="shared" si="14"/>
        <v>0.2325337410520715</v>
      </c>
      <c r="M117" s="32">
        <f t="shared" si="18"/>
        <v>39393.084994541699</v>
      </c>
      <c r="N117" s="49">
        <v>2705.39</v>
      </c>
      <c r="O117" s="19">
        <v>1.34E-2</v>
      </c>
      <c r="P117" s="38">
        <f t="shared" si="15"/>
        <v>0.19598348059275211</v>
      </c>
      <c r="Q117" s="31">
        <f t="shared" si="19"/>
        <v>33201.177057515975</v>
      </c>
      <c r="R117" s="49">
        <v>2705.39</v>
      </c>
      <c r="S117" s="26">
        <v>2.3699999999999999E-2</v>
      </c>
      <c r="T117" s="38">
        <f t="shared" si="16"/>
        <v>4.5070752710634335E-2</v>
      </c>
      <c r="U117" s="31">
        <f t="shared" si="20"/>
        <v>7635.34781776209</v>
      </c>
      <c r="V117" s="48">
        <v>-155.91999999999999</v>
      </c>
      <c r="W117" s="37">
        <f t="shared" si="21"/>
        <v>169408.03866274343</v>
      </c>
      <c r="X117" s="40">
        <f t="shared" si="22"/>
        <v>4.3643427189195672E-2</v>
      </c>
      <c r="Y117" s="1"/>
      <c r="Z117" s="1"/>
      <c r="AA117" s="1"/>
      <c r="AB117" s="1"/>
      <c r="AC117" s="1"/>
      <c r="AD117" s="1"/>
      <c r="AE117" s="1"/>
      <c r="AP117"/>
      <c r="AQ117"/>
      <c r="AR117"/>
      <c r="AS117"/>
      <c r="AT117"/>
      <c r="AU117"/>
      <c r="AV117"/>
      <c r="AW117"/>
    </row>
    <row r="118" spans="1:49" x14ac:dyDescent="0.35">
      <c r="A118" s="106" cm="1">
        <f t="array" ref="A118">SUM(G112:G117+K112:K117+O112:O117)</f>
        <v>0.24089999999999998</v>
      </c>
      <c r="B118" s="10" t="s">
        <v>112</v>
      </c>
      <c r="C118" s="15">
        <v>-8.2299999999999998E-2</v>
      </c>
      <c r="D118" s="38">
        <f t="shared" si="12"/>
        <v>0.26282798255348572</v>
      </c>
      <c r="E118" s="32">
        <f t="shared" si="23"/>
        <v>43530.416467796451</v>
      </c>
      <c r="F118" s="49">
        <v>432.92</v>
      </c>
      <c r="G118" s="20">
        <v>1.06E-2</v>
      </c>
      <c r="H118" s="38">
        <f t="shared" si="13"/>
        <v>0.25647575857991944</v>
      </c>
      <c r="I118" s="32">
        <f t="shared" si="17"/>
        <v>42478.340686596901</v>
      </c>
      <c r="J118" s="48">
        <v>-144.30000000000001</v>
      </c>
      <c r="K118" s="17">
        <v>-1.0800000000000001E-2</v>
      </c>
      <c r="L118" s="38">
        <f t="shared" si="14"/>
        <v>0.23441700017687253</v>
      </c>
      <c r="M118" s="32">
        <f t="shared" si="18"/>
        <v>38824.898116600649</v>
      </c>
      <c r="N118" s="48">
        <v>-144.30000000000001</v>
      </c>
      <c r="O118" s="19">
        <v>4.7000000000000002E-3</v>
      </c>
      <c r="P118" s="38">
        <f t="shared" si="15"/>
        <v>0.20052891505974996</v>
      </c>
      <c r="Q118" s="31">
        <f t="shared" si="19"/>
        <v>33212.244379686301</v>
      </c>
      <c r="R118" s="48">
        <v>-144.30000000000001</v>
      </c>
      <c r="S118" s="27">
        <v>-7.6E-3</v>
      </c>
      <c r="T118" s="38">
        <f t="shared" si="16"/>
        <v>4.5750343629972282E-2</v>
      </c>
      <c r="U118" s="31">
        <f t="shared" si="20"/>
        <v>7577.3191743470979</v>
      </c>
      <c r="V118" s="47">
        <v>0</v>
      </c>
      <c r="W118" s="37">
        <f t="shared" si="21"/>
        <v>165623.2188250274</v>
      </c>
      <c r="X118" s="40">
        <f t="shared" si="22"/>
        <v>-2.2341441808737428E-2</v>
      </c>
      <c r="Y118" s="1"/>
      <c r="Z118" s="1"/>
      <c r="AA118" s="1"/>
      <c r="AB118" s="1"/>
      <c r="AC118" s="1"/>
      <c r="AD118" s="1"/>
      <c r="AE118" s="1"/>
      <c r="AP118"/>
      <c r="AQ118"/>
      <c r="AR118"/>
      <c r="AS118"/>
      <c r="AT118"/>
      <c r="AU118"/>
      <c r="AV118"/>
      <c r="AW118"/>
    </row>
    <row r="119" spans="1:49" x14ac:dyDescent="0.35">
      <c r="A119" s="106" cm="1">
        <f t="array" ref="A119">SUM(G113:G118+K113:K118+O113:O118)</f>
        <v>0.28849999999999998</v>
      </c>
      <c r="B119" s="11" t="s">
        <v>113</v>
      </c>
      <c r="C119" s="15">
        <v>-9.7999999999999997E-3</v>
      </c>
      <c r="D119" s="38">
        <f t="shared" si="12"/>
        <v>0.26663203717141482</v>
      </c>
      <c r="E119" s="32">
        <f t="shared" si="23"/>
        <v>45920.026402412048</v>
      </c>
      <c r="F119" s="49">
        <v>2844.08</v>
      </c>
      <c r="G119" s="20">
        <v>7.3999999999999996E-2</v>
      </c>
      <c r="H119" s="38">
        <f t="shared" si="13"/>
        <v>0.2589880127217517</v>
      </c>
      <c r="I119" s="32">
        <f t="shared" si="17"/>
        <v>44603.553677405071</v>
      </c>
      <c r="J119" s="48">
        <v>-948.03</v>
      </c>
      <c r="K119" s="19">
        <v>9.35E-2</v>
      </c>
      <c r="L119" s="38">
        <f t="shared" si="14"/>
        <v>0.24049333833751824</v>
      </c>
      <c r="M119" s="32">
        <f t="shared" si="18"/>
        <v>41418.35528550281</v>
      </c>
      <c r="N119" s="48">
        <v>-948.03</v>
      </c>
      <c r="O119" s="19">
        <v>1.2999999999999999E-3</v>
      </c>
      <c r="P119" s="38">
        <f t="shared" si="15"/>
        <v>0.18758387914403901</v>
      </c>
      <c r="Q119" s="31">
        <f t="shared" si="19"/>
        <v>32306.157858379891</v>
      </c>
      <c r="R119" s="48">
        <v>-948.03</v>
      </c>
      <c r="S119" s="26">
        <v>5.2400000000000002E-2</v>
      </c>
      <c r="T119" s="38">
        <f t="shared" si="16"/>
        <v>4.6302732625276205E-2</v>
      </c>
      <c r="U119" s="31">
        <f t="shared" si="20"/>
        <v>7974.3706990828859</v>
      </c>
      <c r="V119" s="47">
        <v>0</v>
      </c>
      <c r="W119" s="37">
        <f t="shared" si="21"/>
        <v>172222.46392278271</v>
      </c>
      <c r="X119" s="40">
        <f t="shared" si="22"/>
        <v>3.9844927206293956E-2</v>
      </c>
      <c r="Y119" s="1"/>
      <c r="Z119" s="1"/>
      <c r="AA119" s="1"/>
      <c r="AB119" s="1"/>
      <c r="AC119" s="1"/>
      <c r="AD119" s="1"/>
      <c r="AE119" s="1"/>
      <c r="AP119"/>
      <c r="AQ119"/>
      <c r="AR119"/>
      <c r="AS119"/>
      <c r="AT119"/>
      <c r="AU119"/>
      <c r="AV119"/>
      <c r="AW119"/>
    </row>
    <row r="120" spans="1:49" x14ac:dyDescent="0.35">
      <c r="A120" s="106" cm="1">
        <f t="array" ref="A120">SUM(G114:G119+K114:K119+O114:O119)</f>
        <v>0.3347</v>
      </c>
      <c r="B120" s="10" t="s">
        <v>114</v>
      </c>
      <c r="C120" s="15">
        <v>-7.85E-2</v>
      </c>
      <c r="D120" s="38">
        <f t="shared" si="12"/>
        <v>0.26184580438267757</v>
      </c>
      <c r="E120" s="32">
        <f t="shared" si="23"/>
        <v>44436.836919822701</v>
      </c>
      <c r="F120" s="49">
        <v>2302.2600000000002</v>
      </c>
      <c r="G120" s="20">
        <v>2.0199999999999999E-2</v>
      </c>
      <c r="H120" s="38">
        <f t="shared" si="13"/>
        <v>0.26352392093361282</v>
      </c>
      <c r="I120" s="32">
        <f t="shared" si="17"/>
        <v>44721.623577688653</v>
      </c>
      <c r="J120" s="48">
        <v>-767.42</v>
      </c>
      <c r="K120" s="19">
        <v>2.7300000000000001E-2</v>
      </c>
      <c r="L120" s="38">
        <f t="shared" si="14"/>
        <v>0.24607659691082492</v>
      </c>
      <c r="M120" s="32">
        <f t="shared" si="18"/>
        <v>41760.70581879704</v>
      </c>
      <c r="N120" s="48">
        <v>-767.42</v>
      </c>
      <c r="O120" s="17">
        <v>-3.2000000000000001E-2</v>
      </c>
      <c r="P120" s="38">
        <f t="shared" si="15"/>
        <v>0.17989626580050566</v>
      </c>
      <c r="Q120" s="31">
        <f t="shared" si="19"/>
        <v>30529.498246911735</v>
      </c>
      <c r="R120" s="48">
        <v>-767.42</v>
      </c>
      <c r="S120" s="26">
        <v>3.5499999999999997E-2</v>
      </c>
      <c r="T120" s="38">
        <f t="shared" si="16"/>
        <v>4.8657411972378953E-2</v>
      </c>
      <c r="U120" s="31">
        <f t="shared" si="20"/>
        <v>8257.4608589003292</v>
      </c>
      <c r="V120" s="47">
        <v>0</v>
      </c>
      <c r="W120" s="37">
        <f t="shared" si="21"/>
        <v>169706.12542212047</v>
      </c>
      <c r="X120" s="40">
        <f t="shared" si="22"/>
        <v>-1.4610977240404943E-2</v>
      </c>
      <c r="Y120" s="1"/>
      <c r="Z120" s="1"/>
      <c r="AA120" s="1"/>
      <c r="AB120" s="1"/>
      <c r="AC120" s="1"/>
      <c r="AD120" s="1"/>
      <c r="AE120" s="1"/>
      <c r="AP120"/>
      <c r="AQ120"/>
      <c r="AR120"/>
      <c r="AS120"/>
      <c r="AT120"/>
      <c r="AU120"/>
      <c r="AV120"/>
      <c r="AW120"/>
    </row>
    <row r="121" spans="1:49" x14ac:dyDescent="0.35">
      <c r="A121" s="106" cm="1">
        <f t="array" ref="A121">SUM(G115:G120+K115:K120+O115:O120)</f>
        <v>0.3271</v>
      </c>
      <c r="B121" s="11" t="s">
        <v>115</v>
      </c>
      <c r="C121" s="20">
        <v>0.11700000000000001</v>
      </c>
      <c r="D121" s="38">
        <f t="shared" si="12"/>
        <v>0.28521132301322821</v>
      </c>
      <c r="E121" s="32">
        <f t="shared" si="23"/>
        <v>53077.289799441955</v>
      </c>
      <c r="F121" s="49">
        <v>3080.88</v>
      </c>
      <c r="G121" s="20">
        <v>9.4600000000000004E-2</v>
      </c>
      <c r="H121" s="38">
        <f t="shared" si="13"/>
        <v>0.25700517473207291</v>
      </c>
      <c r="I121" s="32">
        <f t="shared" si="17"/>
        <v>47828.178752138003</v>
      </c>
      <c r="J121" s="48">
        <v>-1026.96</v>
      </c>
      <c r="K121" s="19">
        <v>0.11459999999999999</v>
      </c>
      <c r="L121" s="38">
        <f t="shared" si="14"/>
        <v>0.24396718317097679</v>
      </c>
      <c r="M121" s="32">
        <f t="shared" si="18"/>
        <v>45401.833089631182</v>
      </c>
      <c r="N121" s="48">
        <v>-1026.96</v>
      </c>
      <c r="O121" s="19">
        <v>5.6800000000000003E-2</v>
      </c>
      <c r="P121" s="38">
        <f t="shared" si="15"/>
        <v>0.16753679797329216</v>
      </c>
      <c r="Q121" s="31">
        <f t="shared" si="19"/>
        <v>31178.282419336323</v>
      </c>
      <c r="R121" s="48">
        <v>-1026.96</v>
      </c>
      <c r="S121" s="26">
        <v>4.2999999999999997E-2</v>
      </c>
      <c r="T121" s="38">
        <f t="shared" si="16"/>
        <v>4.6279521110429871E-2</v>
      </c>
      <c r="U121" s="31">
        <f t="shared" si="20"/>
        <v>8612.5316758330428</v>
      </c>
      <c r="V121" s="47">
        <v>0</v>
      </c>
      <c r="W121" s="37">
        <f t="shared" si="21"/>
        <v>186098.11573638051</v>
      </c>
      <c r="X121" s="40">
        <f t="shared" si="22"/>
        <v>9.6590445827970273E-2</v>
      </c>
      <c r="Y121" s="1"/>
      <c r="Z121" s="1"/>
      <c r="AA121" s="1"/>
      <c r="AB121" s="1"/>
      <c r="AC121" s="1"/>
      <c r="AD121" s="1"/>
      <c r="AE121" s="1"/>
      <c r="AP121"/>
      <c r="AQ121"/>
      <c r="AR121"/>
      <c r="AS121"/>
      <c r="AT121"/>
      <c r="AU121"/>
      <c r="AV121"/>
      <c r="AW121"/>
    </row>
    <row r="122" spans="1:49" x14ac:dyDescent="0.35">
      <c r="A122" s="106" cm="1">
        <f t="array" ref="A122">SUM(G116:G121+K116:K121+O116:O121)</f>
        <v>0.57329999999999992</v>
      </c>
      <c r="B122" s="10" t="s">
        <v>116</v>
      </c>
      <c r="C122" s="20">
        <v>9.8500000000000004E-2</v>
      </c>
      <c r="D122" s="38">
        <f t="shared" si="12"/>
        <v>0.30221399091149614</v>
      </c>
      <c r="E122" s="32">
        <f t="shared" si="23"/>
        <v>58305.402844686985</v>
      </c>
      <c r="F122" s="47">
        <v>0</v>
      </c>
      <c r="G122" s="20">
        <v>8.6E-3</v>
      </c>
      <c r="H122" s="38">
        <f t="shared" si="13"/>
        <v>0.25003947203046267</v>
      </c>
      <c r="I122" s="32">
        <f t="shared" si="17"/>
        <v>48239.501089406389</v>
      </c>
      <c r="J122" s="47">
        <v>0</v>
      </c>
      <c r="K122" s="19">
        <v>8.3000000000000001E-3</v>
      </c>
      <c r="L122" s="38">
        <f t="shared" si="14"/>
        <v>0.23728425449185092</v>
      </c>
      <c r="M122" s="32">
        <f t="shared" si="18"/>
        <v>45778.668304275117</v>
      </c>
      <c r="N122" s="47">
        <v>0</v>
      </c>
      <c r="O122" s="19">
        <v>1.47E-2</v>
      </c>
      <c r="P122" s="38">
        <f t="shared" si="15"/>
        <v>0.16398178619277631</v>
      </c>
      <c r="Q122" s="31">
        <f t="shared" si="19"/>
        <v>31636.603170900566</v>
      </c>
      <c r="R122" s="47">
        <v>0</v>
      </c>
      <c r="S122" s="26">
        <v>4.1200000000000001E-2</v>
      </c>
      <c r="T122" s="38">
        <f t="shared" si="16"/>
        <v>4.6480496373413956E-2</v>
      </c>
      <c r="U122" s="31">
        <f t="shared" si="20"/>
        <v>8967.367980877365</v>
      </c>
      <c r="V122" s="47">
        <v>0</v>
      </c>
      <c r="W122" s="37">
        <f t="shared" si="21"/>
        <v>192927.54339014643</v>
      </c>
      <c r="X122" s="40">
        <f t="shared" si="22"/>
        <v>3.6697994639774967E-2</v>
      </c>
      <c r="Y122" s="1"/>
      <c r="Z122" s="1"/>
      <c r="AA122" s="1"/>
      <c r="AB122" s="1"/>
      <c r="AC122" s="1"/>
      <c r="AD122" s="1"/>
      <c r="AE122" s="1"/>
      <c r="AP122"/>
      <c r="AQ122"/>
      <c r="AR122"/>
      <c r="AS122"/>
      <c r="AT122"/>
      <c r="AU122"/>
      <c r="AV122"/>
      <c r="AW122"/>
    </row>
    <row r="123" spans="1:49" x14ac:dyDescent="0.35">
      <c r="A123" s="106" cm="1">
        <f t="array" ref="A123">SUM(G117:G122+K117:K122+O117:O122)</f>
        <v>0.62879999999999991</v>
      </c>
      <c r="B123" s="11" t="s">
        <v>117</v>
      </c>
      <c r="C123" s="15">
        <v>-9.5500000000000002E-2</v>
      </c>
      <c r="D123" s="38">
        <f t="shared" si="12"/>
        <v>0.28205957448736124</v>
      </c>
      <c r="E123" s="32">
        <f t="shared" si="23"/>
        <v>52737.236873019378</v>
      </c>
      <c r="F123" s="47">
        <v>0</v>
      </c>
      <c r="G123" s="15">
        <v>-2.0899999999999998E-2</v>
      </c>
      <c r="H123" s="38">
        <f t="shared" si="13"/>
        <v>0.252611625216286</v>
      </c>
      <c r="I123" s="32">
        <f t="shared" si="17"/>
        <v>47231.295516637794</v>
      </c>
      <c r="J123" s="47">
        <v>0</v>
      </c>
      <c r="K123" s="19">
        <v>9.9000000000000008E-3</v>
      </c>
      <c r="L123" s="38">
        <f t="shared" si="14"/>
        <v>0.24726634085427521</v>
      </c>
      <c r="M123" s="32">
        <f t="shared" si="18"/>
        <v>46231.877120487443</v>
      </c>
      <c r="N123" s="47">
        <v>0</v>
      </c>
      <c r="O123" s="19">
        <v>1.9300000000000001E-2</v>
      </c>
      <c r="P123" s="38">
        <f t="shared" si="15"/>
        <v>0.17247070798006203</v>
      </c>
      <c r="Q123" s="31">
        <f t="shared" si="19"/>
        <v>32247.189612098948</v>
      </c>
      <c r="R123" s="47">
        <v>0</v>
      </c>
      <c r="S123" s="27">
        <v>-4.9399999999999999E-2</v>
      </c>
      <c r="T123" s="38">
        <f t="shared" si="16"/>
        <v>4.5591751462015509E-2</v>
      </c>
      <c r="U123" s="31">
        <f t="shared" si="20"/>
        <v>8524.3800026220233</v>
      </c>
      <c r="V123" s="47">
        <v>0</v>
      </c>
      <c r="W123" s="37">
        <f t="shared" si="21"/>
        <v>186971.97912486558</v>
      </c>
      <c r="X123" s="40">
        <f t="shared" si="22"/>
        <v>-3.0869435025341341E-2</v>
      </c>
      <c r="Y123" s="1"/>
      <c r="Z123" s="1"/>
      <c r="AA123" s="1"/>
      <c r="AB123" s="1"/>
      <c r="AC123" s="1"/>
      <c r="AD123" s="1"/>
      <c r="AE123" s="1"/>
      <c r="AP123"/>
      <c r="AQ123"/>
      <c r="AR123"/>
      <c r="AS123"/>
      <c r="AT123"/>
      <c r="AU123"/>
      <c r="AV123"/>
      <c r="AW123"/>
    </row>
    <row r="124" spans="1:49" x14ac:dyDescent="0.35">
      <c r="A124" s="106" cm="1">
        <f t="array" ref="A124">SUM(G118:G123+K118:K123+O118:O123)</f>
        <v>0.49470000000000003</v>
      </c>
      <c r="B124" s="10" t="s">
        <v>118</v>
      </c>
      <c r="C124" s="15">
        <v>-3.5299999999999998E-2</v>
      </c>
      <c r="D124" s="38">
        <f t="shared" si="12"/>
        <v>0.27468957706432751</v>
      </c>
      <c r="E124" s="32">
        <f t="shared" si="23"/>
        <v>50875.612411401795</v>
      </c>
      <c r="F124" s="47">
        <v>0</v>
      </c>
      <c r="G124" s="20">
        <v>1.0999999999999999E-2</v>
      </c>
      <c r="H124" s="38">
        <f t="shared" si="13"/>
        <v>0.25781818357457714</v>
      </c>
      <c r="I124" s="32">
        <f t="shared" si="17"/>
        <v>47750.839767320809</v>
      </c>
      <c r="J124" s="47">
        <v>0</v>
      </c>
      <c r="K124" s="17">
        <v>-8.8000000000000005E-3</v>
      </c>
      <c r="L124" s="38">
        <f t="shared" si="14"/>
        <v>0.24742031253253655</v>
      </c>
      <c r="M124" s="32">
        <f t="shared" si="18"/>
        <v>45825.036601827152</v>
      </c>
      <c r="N124" s="47">
        <v>0</v>
      </c>
      <c r="O124" s="19">
        <v>8.2000000000000007E-3</v>
      </c>
      <c r="P124" s="38">
        <f t="shared" si="15"/>
        <v>0.17553797941983856</v>
      </c>
      <c r="Q124" s="31">
        <f t="shared" si="19"/>
        <v>32511.616566918157</v>
      </c>
      <c r="R124" s="47">
        <v>0</v>
      </c>
      <c r="S124" s="27">
        <v>-3.2399999999999998E-2</v>
      </c>
      <c r="T124" s="38">
        <f t="shared" si="16"/>
        <v>4.4533947408720291E-2</v>
      </c>
      <c r="U124" s="31">
        <f t="shared" si="20"/>
        <v>8248.1900905370694</v>
      </c>
      <c r="V124" s="47">
        <v>0</v>
      </c>
      <c r="W124" s="37">
        <f t="shared" si="21"/>
        <v>185211.29543800498</v>
      </c>
      <c r="X124" s="40">
        <f t="shared" si="22"/>
        <v>-9.416831843475193E-3</v>
      </c>
      <c r="Y124" s="1"/>
      <c r="Z124" s="1"/>
      <c r="AA124" s="1"/>
      <c r="AB124" s="1"/>
      <c r="AC124" s="1"/>
      <c r="AD124" s="1"/>
      <c r="AE124" s="1"/>
      <c r="AP124"/>
      <c r="AQ124"/>
      <c r="AR124"/>
      <c r="AS124"/>
      <c r="AT124"/>
      <c r="AU124"/>
      <c r="AV124"/>
      <c r="AW124"/>
    </row>
    <row r="125" spans="1:49" x14ac:dyDescent="0.35">
      <c r="A125" s="106" cm="1">
        <f t="array" ref="A125">SUM(G119:G124+K119:K124+O119:O124)</f>
        <v>0.50060000000000004</v>
      </c>
      <c r="B125" s="11" t="s">
        <v>119</v>
      </c>
      <c r="C125" s="20">
        <v>7.3000000000000001E-3</v>
      </c>
      <c r="D125" s="38">
        <f t="shared" si="12"/>
        <v>0.26451670590320769</v>
      </c>
      <c r="E125" s="32">
        <f t="shared" si="23"/>
        <v>52237.73429700503</v>
      </c>
      <c r="F125" s="49">
        <v>983.55</v>
      </c>
      <c r="G125" s="20">
        <v>9.4700000000000006E-2</v>
      </c>
      <c r="H125" s="38">
        <f t="shared" si="13"/>
        <v>0.26287714061051826</v>
      </c>
      <c r="I125" s="32">
        <f t="shared" si="17"/>
        <v>51913.946898286093</v>
      </c>
      <c r="J125" s="48">
        <v>-327.85</v>
      </c>
      <c r="K125" s="19">
        <v>0.107</v>
      </c>
      <c r="L125" s="38">
        <f t="shared" si="14"/>
        <v>0.25503567605563321</v>
      </c>
      <c r="M125" s="32">
        <f t="shared" si="18"/>
        <v>50365.385568222657</v>
      </c>
      <c r="N125" s="48">
        <v>-327.85</v>
      </c>
      <c r="O125" s="19">
        <v>6.2199999999999998E-2</v>
      </c>
      <c r="P125" s="38">
        <f t="shared" si="15"/>
        <v>0.17310592791009718</v>
      </c>
      <c r="Q125" s="31">
        <f t="shared" si="19"/>
        <v>34185.596847380468</v>
      </c>
      <c r="R125" s="48">
        <v>-327.85</v>
      </c>
      <c r="S125" s="26">
        <v>6.4600000000000005E-2</v>
      </c>
      <c r="T125" s="38">
        <f t="shared" si="16"/>
        <v>4.4464549520543691E-2</v>
      </c>
      <c r="U125" s="31">
        <f t="shared" si="20"/>
        <v>8781.0231703857644</v>
      </c>
      <c r="V125" s="47">
        <v>0</v>
      </c>
      <c r="W125" s="37">
        <f t="shared" si="21"/>
        <v>197483.68678128</v>
      </c>
      <c r="X125" s="40">
        <f t="shared" si="22"/>
        <v>6.6261570679326809E-2</v>
      </c>
      <c r="Y125" s="1"/>
      <c r="Z125" s="1"/>
      <c r="AA125" s="1"/>
      <c r="AB125" s="1"/>
      <c r="AC125" s="1"/>
      <c r="AD125" s="1"/>
      <c r="AE125" s="1"/>
      <c r="AP125"/>
      <c r="AQ125"/>
      <c r="AR125"/>
      <c r="AS125"/>
      <c r="AT125"/>
      <c r="AU125"/>
      <c r="AV125"/>
      <c r="AW125"/>
    </row>
    <row r="126" spans="1:49" x14ac:dyDescent="0.35">
      <c r="A126" s="106" cm="1">
        <f t="array" ref="A126">SUM(G120:G125+K120:K125+O120:O125)</f>
        <v>0.59570000000000012</v>
      </c>
      <c r="B126" s="10" t="s">
        <v>120</v>
      </c>
      <c r="C126" s="15">
        <v>-2.1600000000000001E-2</v>
      </c>
      <c r="D126" s="38">
        <f t="shared" si="12"/>
        <v>0.27032226092922618</v>
      </c>
      <c r="E126" s="32">
        <f t="shared" si="23"/>
        <v>54101.052916189721</v>
      </c>
      <c r="F126" s="49">
        <v>3057.7</v>
      </c>
      <c r="G126" s="20">
        <v>3.9800000000000002E-2</v>
      </c>
      <c r="H126" s="38">
        <f t="shared" si="13"/>
        <v>0.26442262345841155</v>
      </c>
      <c r="I126" s="32">
        <f t="shared" si="17"/>
        <v>52920.326630837873</v>
      </c>
      <c r="J126" s="48">
        <v>-1019.23</v>
      </c>
      <c r="K126" s="19">
        <v>3.2399999999999998E-2</v>
      </c>
      <c r="L126" s="38">
        <f t="shared" si="14"/>
        <v>0.25455252723753247</v>
      </c>
      <c r="M126" s="32">
        <f t="shared" si="18"/>
        <v>50944.971008633067</v>
      </c>
      <c r="N126" s="48">
        <v>-1019.23</v>
      </c>
      <c r="O126" s="19">
        <v>2.5000000000000001E-3</v>
      </c>
      <c r="P126" s="38">
        <f t="shared" si="15"/>
        <v>0.166133943919691</v>
      </c>
      <c r="Q126" s="31">
        <f t="shared" si="19"/>
        <v>33249.282764498916</v>
      </c>
      <c r="R126" s="48">
        <v>-1019.23</v>
      </c>
      <c r="S126" s="26">
        <v>1.5800000000000002E-2</v>
      </c>
      <c r="T126" s="38">
        <f t="shared" si="16"/>
        <v>4.4568644455138855E-2</v>
      </c>
      <c r="U126" s="31">
        <f t="shared" si="20"/>
        <v>8919.7633364778594</v>
      </c>
      <c r="V126" s="47">
        <v>0</v>
      </c>
      <c r="W126" s="37">
        <f t="shared" si="21"/>
        <v>200135.39665663743</v>
      </c>
      <c r="X126" s="40">
        <f t="shared" si="22"/>
        <v>1.3427488207136351E-2</v>
      </c>
      <c r="Y126" s="1"/>
      <c r="Z126" s="1"/>
      <c r="AA126" s="1"/>
      <c r="AB126" s="1"/>
      <c r="AC126" s="1"/>
      <c r="AD126" s="1"/>
      <c r="AE126" s="1"/>
      <c r="AP126"/>
      <c r="AQ126"/>
      <c r="AR126"/>
      <c r="AS126"/>
      <c r="AT126"/>
      <c r="AU126"/>
      <c r="AV126"/>
      <c r="AW126"/>
    </row>
    <row r="127" spans="1:49" x14ac:dyDescent="0.35">
      <c r="A127" s="106" cm="1">
        <f t="array" ref="A127">SUM(G121:G126+K121:K126+O121:O126)</f>
        <v>0.65490000000000004</v>
      </c>
      <c r="B127" s="9" t="s">
        <v>121</v>
      </c>
      <c r="C127" s="20">
        <v>5.2200000000000003E-2</v>
      </c>
      <c r="D127" s="38">
        <f t="shared" si="12"/>
        <v>0.29528838420095493</v>
      </c>
      <c r="E127" s="32">
        <f t="shared" si="23"/>
        <v>58963.091970414825</v>
      </c>
      <c r="F127" s="49">
        <v>1936.86</v>
      </c>
      <c r="G127" s="15">
        <v>-1.6799999999999999E-2</v>
      </c>
      <c r="H127" s="38">
        <f t="shared" si="13"/>
        <v>0.25739469283259542</v>
      </c>
      <c r="I127" s="32">
        <f t="shared" si="17"/>
        <v>51396.491559439797</v>
      </c>
      <c r="J127" s="48">
        <v>-645.62</v>
      </c>
      <c r="K127" s="17">
        <v>-8.8000000000000005E-3</v>
      </c>
      <c r="L127" s="38">
        <f t="shared" si="14"/>
        <v>0.24968346858622573</v>
      </c>
      <c r="M127" s="32">
        <f t="shared" si="18"/>
        <v>49856.716719757096</v>
      </c>
      <c r="N127" s="48">
        <v>-645.62</v>
      </c>
      <c r="O127" s="17">
        <v>-6.8500000000000005E-2</v>
      </c>
      <c r="P127" s="38">
        <f t="shared" si="15"/>
        <v>0.15209515001067633</v>
      </c>
      <c r="Q127" s="31">
        <f t="shared" si="19"/>
        <v>30370.311865130741</v>
      </c>
      <c r="R127" s="48">
        <v>-645.62</v>
      </c>
      <c r="S127" s="26">
        <v>1.9429999999999999E-2</v>
      </c>
      <c r="T127" s="38">
        <f t="shared" si="16"/>
        <v>4.5538304369547589E-2</v>
      </c>
      <c r="U127" s="31">
        <f t="shared" si="20"/>
        <v>9093.0743381056236</v>
      </c>
      <c r="V127" s="47">
        <v>0</v>
      </c>
      <c r="W127" s="37">
        <f t="shared" si="21"/>
        <v>199679.68645284808</v>
      </c>
      <c r="X127" s="40">
        <f t="shared" si="22"/>
        <v>-2.2770095215649544E-3</v>
      </c>
      <c r="Y127" s="1"/>
      <c r="Z127" s="1"/>
      <c r="AA127" s="1"/>
      <c r="AB127" s="1"/>
      <c r="AC127" s="1"/>
      <c r="AD127" s="1"/>
      <c r="AE127" s="1"/>
      <c r="AP127"/>
      <c r="AQ127"/>
      <c r="AR127"/>
      <c r="AS127"/>
      <c r="AT127"/>
      <c r="AU127"/>
      <c r="AV127"/>
      <c r="AW127"/>
    </row>
    <row r="128" spans="1:49" x14ac:dyDescent="0.35">
      <c r="A128" s="106" cm="1">
        <f t="array" ref="A128">SUM(G122:G127+K122:K127+O122:O127)</f>
        <v>0.29479999999999995</v>
      </c>
      <c r="B128" s="10" t="s">
        <v>122</v>
      </c>
      <c r="C128" s="20">
        <v>2.7E-2</v>
      </c>
      <c r="D128" s="38">
        <f t="shared" si="12"/>
        <v>0.30027817682772706</v>
      </c>
      <c r="E128" s="32">
        <f t="shared" si="23"/>
        <v>60555.095453616028</v>
      </c>
      <c r="F128" s="47">
        <v>0</v>
      </c>
      <c r="G128" s="20">
        <v>5.7999999999999996E-3</v>
      </c>
      <c r="H128" s="38">
        <f t="shared" si="13"/>
        <v>0.25634106402208651</v>
      </c>
      <c r="I128" s="32">
        <f t="shared" si="17"/>
        <v>51694.591210484548</v>
      </c>
      <c r="J128" s="47">
        <v>0</v>
      </c>
      <c r="K128" s="19">
        <v>1.03E-2</v>
      </c>
      <c r="L128" s="38">
        <f t="shared" si="14"/>
        <v>0.24977392886784638</v>
      </c>
      <c r="M128" s="32">
        <f t="shared" si="18"/>
        <v>50370.240901970596</v>
      </c>
      <c r="N128" s="47">
        <v>0</v>
      </c>
      <c r="O128" s="17">
        <v>-3.2000000000000002E-3</v>
      </c>
      <c r="P128" s="38">
        <f t="shared" si="15"/>
        <v>0.15011716643249309</v>
      </c>
      <c r="Q128" s="31">
        <f t="shared" si="19"/>
        <v>30273.126867162322</v>
      </c>
      <c r="R128" s="47">
        <v>0</v>
      </c>
      <c r="S128" s="27">
        <v>-3.5499999999999997E-2</v>
      </c>
      <c r="T128" s="38">
        <f t="shared" si="16"/>
        <v>4.3489663849846975E-2</v>
      </c>
      <c r="U128" s="31">
        <f t="shared" si="20"/>
        <v>8770.2701991028734</v>
      </c>
      <c r="V128" s="47">
        <v>0</v>
      </c>
      <c r="W128" s="37">
        <f t="shared" si="21"/>
        <v>201663.32463233636</v>
      </c>
      <c r="X128" s="40">
        <f t="shared" si="22"/>
        <v>9.9341010331397417E-3</v>
      </c>
      <c r="Y128" s="1"/>
      <c r="Z128" s="1"/>
      <c r="AA128" s="1"/>
      <c r="AB128" s="1"/>
      <c r="AC128" s="1"/>
      <c r="AD128" s="1"/>
      <c r="AE128" s="1"/>
      <c r="AP128"/>
      <c r="AQ128"/>
      <c r="AR128"/>
      <c r="AS128"/>
      <c r="AT128"/>
      <c r="AU128"/>
      <c r="AV128"/>
      <c r="AW128"/>
    </row>
    <row r="129" spans="1:49" x14ac:dyDescent="0.35">
      <c r="A129" s="106" cm="1">
        <f t="array" ref="A129">SUM(G123:G128+K123:K128+O123:O128)</f>
        <v>0.27609999999999996</v>
      </c>
      <c r="B129" s="11" t="s">
        <v>123</v>
      </c>
      <c r="C129" s="15">
        <v>-5.7000000000000002E-2</v>
      </c>
      <c r="D129" s="38">
        <f t="shared" si="12"/>
        <v>0.29188934464526967</v>
      </c>
      <c r="E129" s="32">
        <f t="shared" si="23"/>
        <v>57103.455012759914</v>
      </c>
      <c r="F129" s="47">
        <v>0</v>
      </c>
      <c r="G129" s="15">
        <v>-1.8599999999999998E-2</v>
      </c>
      <c r="H129" s="38">
        <f t="shared" si="13"/>
        <v>0.2593265692997383</v>
      </c>
      <c r="I129" s="32">
        <f t="shared" si="17"/>
        <v>50733.071813969538</v>
      </c>
      <c r="J129" s="47">
        <v>0</v>
      </c>
      <c r="K129" s="17">
        <v>-3.5099999999999999E-2</v>
      </c>
      <c r="L129" s="38">
        <f t="shared" si="14"/>
        <v>0.2484346624638103</v>
      </c>
      <c r="M129" s="32">
        <f t="shared" si="18"/>
        <v>48602.245446311426</v>
      </c>
      <c r="N129" s="47">
        <v>0</v>
      </c>
      <c r="O129" s="19">
        <v>1.24E-2</v>
      </c>
      <c r="P129" s="38">
        <f t="shared" si="15"/>
        <v>0.1566625795028373</v>
      </c>
      <c r="Q129" s="31">
        <f t="shared" si="19"/>
        <v>30648.513640315134</v>
      </c>
      <c r="R129" s="47">
        <v>0</v>
      </c>
      <c r="S129" s="27">
        <v>-2.5499999999999998E-2</v>
      </c>
      <c r="T129" s="38">
        <f t="shared" si="16"/>
        <v>4.368684408834448E-2</v>
      </c>
      <c r="U129" s="31">
        <f t="shared" si="20"/>
        <v>8546.6283090257493</v>
      </c>
      <c r="V129" s="47">
        <v>0</v>
      </c>
      <c r="W129" s="37">
        <f t="shared" si="21"/>
        <v>195633.91422238175</v>
      </c>
      <c r="X129" s="40">
        <f t="shared" si="22"/>
        <v>-2.9898398337660836E-2</v>
      </c>
      <c r="Y129" s="1"/>
      <c r="Z129" s="1"/>
      <c r="AA129" s="1"/>
      <c r="AB129" s="1"/>
      <c r="AC129" s="1"/>
      <c r="AD129" s="1"/>
      <c r="AE129" s="1"/>
      <c r="AP129"/>
      <c r="AQ129"/>
      <c r="AR129"/>
      <c r="AS129"/>
      <c r="AT129"/>
      <c r="AU129"/>
      <c r="AV129"/>
      <c r="AW129"/>
    </row>
    <row r="130" spans="1:49" x14ac:dyDescent="0.35">
      <c r="A130" s="106" cm="1">
        <f t="array" ref="A130">SUM(G124:G129+K124:K129+O124:O129)</f>
        <v>0.22649999999999998</v>
      </c>
      <c r="B130" s="10" t="s">
        <v>124</v>
      </c>
      <c r="C130" s="15">
        <v>-7.9000000000000008E-3</v>
      </c>
      <c r="D130" s="38">
        <f t="shared" si="12"/>
        <v>0.29528436502826955</v>
      </c>
      <c r="E130" s="32">
        <f t="shared" si="23"/>
        <v>56652.337718159113</v>
      </c>
      <c r="F130" s="47">
        <v>0</v>
      </c>
      <c r="G130" s="15">
        <v>-8.8999999999999999E-3</v>
      </c>
      <c r="H130" s="38">
        <f t="shared" si="13"/>
        <v>0.26207841400308957</v>
      </c>
      <c r="I130" s="32">
        <f t="shared" si="17"/>
        <v>50281.547474825209</v>
      </c>
      <c r="J130" s="47">
        <v>0</v>
      </c>
      <c r="K130" s="17">
        <v>-5.1900000000000002E-2</v>
      </c>
      <c r="L130" s="38">
        <f t="shared" si="14"/>
        <v>0.24017793009572627</v>
      </c>
      <c r="M130" s="32">
        <f t="shared" si="18"/>
        <v>46079.78890764786</v>
      </c>
      <c r="N130" s="47">
        <v>0</v>
      </c>
      <c r="O130" s="17">
        <v>-7.3000000000000001E-3</v>
      </c>
      <c r="P130" s="38">
        <f t="shared" si="15"/>
        <v>0.15858059975817804</v>
      </c>
      <c r="Q130" s="31">
        <f t="shared" si="19"/>
        <v>30424.779490740832</v>
      </c>
      <c r="R130" s="47">
        <v>0</v>
      </c>
      <c r="S130" s="27">
        <v>-1.4999999999999999E-2</v>
      </c>
      <c r="T130" s="38">
        <f t="shared" si="16"/>
        <v>4.3878691114736711E-2</v>
      </c>
      <c r="U130" s="31">
        <f t="shared" si="20"/>
        <v>8418.4288843903632</v>
      </c>
      <c r="V130" s="47">
        <v>0</v>
      </c>
      <c r="W130" s="37">
        <f t="shared" si="21"/>
        <v>191856.88247576336</v>
      </c>
      <c r="X130" s="40">
        <f t="shared" si="22"/>
        <v>-1.9306630763032961E-2</v>
      </c>
      <c r="Y130" s="1"/>
      <c r="Z130" s="1"/>
      <c r="AA130" s="1"/>
      <c r="AB130" s="1"/>
      <c r="AC130" s="1"/>
      <c r="AD130" s="1"/>
      <c r="AE130" s="1"/>
      <c r="AP130"/>
      <c r="AQ130"/>
      <c r="AR130"/>
      <c r="AS130"/>
      <c r="AT130"/>
      <c r="AU130"/>
      <c r="AV130"/>
      <c r="AW130"/>
    </row>
    <row r="131" spans="1:49" x14ac:dyDescent="0.35">
      <c r="A131" s="105" cm="1">
        <f t="array" ref="A131">SUM(G125:G130+K125:K130+O125:O130)</f>
        <v>0.14799999999999996</v>
      </c>
      <c r="B131" s="11" t="s">
        <v>125</v>
      </c>
      <c r="C131" s="15">
        <v>-3.3000000000000002E-2</v>
      </c>
      <c r="D131" s="38">
        <f t="shared" si="12"/>
        <v>0.28519567822236441</v>
      </c>
      <c r="E131" s="32">
        <f t="shared" si="23"/>
        <v>54782.810573459865</v>
      </c>
      <c r="F131" s="47">
        <v>0</v>
      </c>
      <c r="G131" s="20">
        <v>1.9400000000000001E-2</v>
      </c>
      <c r="H131" s="38">
        <f t="shared" si="13"/>
        <v>0.26684059167087243</v>
      </c>
      <c r="I131" s="32">
        <f t="shared" si="17"/>
        <v>51257.009495836821</v>
      </c>
      <c r="J131" s="47">
        <v>0</v>
      </c>
      <c r="K131" s="19">
        <v>6.3E-3</v>
      </c>
      <c r="L131" s="38">
        <f t="shared" si="14"/>
        <v>0.24139962112788921</v>
      </c>
      <c r="M131" s="32">
        <f t="shared" si="18"/>
        <v>46370.091577766041</v>
      </c>
      <c r="N131" s="47">
        <v>0</v>
      </c>
      <c r="O131" s="19">
        <v>2.7900000000000001E-2</v>
      </c>
      <c r="P131" s="38">
        <f t="shared" si="15"/>
        <v>0.1628084478344031</v>
      </c>
      <c r="Q131" s="31">
        <f t="shared" si="19"/>
        <v>31273.630838532499</v>
      </c>
      <c r="R131" s="47">
        <v>0</v>
      </c>
      <c r="S131" s="27">
        <v>-1.6000000000000001E-3</v>
      </c>
      <c r="T131" s="38">
        <f t="shared" si="16"/>
        <v>4.3755661144470978E-2</v>
      </c>
      <c r="U131" s="31">
        <f t="shared" si="20"/>
        <v>8404.9593981753387</v>
      </c>
      <c r="V131" s="47">
        <v>0</v>
      </c>
      <c r="W131" s="37">
        <f t="shared" si="21"/>
        <v>192088.50188377054</v>
      </c>
      <c r="X131" s="40">
        <f t="shared" si="22"/>
        <v>1.2072509727996117E-3</v>
      </c>
      <c r="Y131" s="1"/>
      <c r="Z131" s="1"/>
      <c r="AA131" s="1"/>
      <c r="AB131" s="1"/>
      <c r="AC131" s="1"/>
      <c r="AD131" s="1"/>
      <c r="AE131" s="1"/>
      <c r="AP131"/>
      <c r="AQ131"/>
      <c r="AR131"/>
      <c r="AS131"/>
      <c r="AT131"/>
      <c r="AU131"/>
      <c r="AV131"/>
      <c r="AW131"/>
    </row>
    <row r="132" spans="1:49" x14ac:dyDescent="0.35">
      <c r="A132" s="105" cm="1">
        <f t="array" ref="A132">SUM(G126:G131+K126:K131+O126:O131)</f>
        <v>-6.2299999999999987E-2</v>
      </c>
      <c r="B132" s="10" t="s">
        <v>126</v>
      </c>
      <c r="C132" s="20">
        <v>5.0599999999999999E-2</v>
      </c>
      <c r="D132" s="38">
        <f t="shared" si="12"/>
        <v>0.29156941201347519</v>
      </c>
      <c r="E132" s="32">
        <f t="shared" si="23"/>
        <v>57554.820788476936</v>
      </c>
      <c r="F132" s="47">
        <v>0</v>
      </c>
      <c r="G132" s="20">
        <v>9.1000000000000004E-3</v>
      </c>
      <c r="H132" s="38">
        <f t="shared" si="13"/>
        <v>0.26202801427163996</v>
      </c>
      <c r="I132" s="32">
        <f t="shared" si="17"/>
        <v>51723.448282248937</v>
      </c>
      <c r="J132" s="47">
        <v>0</v>
      </c>
      <c r="K132" s="19">
        <v>4.24E-2</v>
      </c>
      <c r="L132" s="38">
        <f t="shared" si="14"/>
        <v>0.24486832549433812</v>
      </c>
      <c r="M132" s="32">
        <f t="shared" si="18"/>
        <v>48336.18346066332</v>
      </c>
      <c r="N132" s="47">
        <v>0</v>
      </c>
      <c r="O132" s="19">
        <v>6.0000000000000001E-3</v>
      </c>
      <c r="P132" s="38">
        <f t="shared" si="15"/>
        <v>0.15938099770583714</v>
      </c>
      <c r="Q132" s="31">
        <f t="shared" si="19"/>
        <v>31461.272623563695</v>
      </c>
      <c r="R132" s="47">
        <v>0</v>
      </c>
      <c r="S132" s="27">
        <v>-0.01</v>
      </c>
      <c r="T132" s="38">
        <f t="shared" si="16"/>
        <v>4.2153250514709605E-2</v>
      </c>
      <c r="U132" s="31">
        <f t="shared" si="20"/>
        <v>8320.9098041935849</v>
      </c>
      <c r="V132" s="47">
        <v>0</v>
      </c>
      <c r="W132" s="37">
        <f t="shared" si="21"/>
        <v>197396.63495914647</v>
      </c>
      <c r="X132" s="40">
        <f t="shared" si="22"/>
        <v>2.7633788713640861E-2</v>
      </c>
      <c r="Y132" s="1"/>
      <c r="Z132" s="1"/>
      <c r="AA132" s="1"/>
      <c r="AB132" s="1"/>
      <c r="AC132" s="1"/>
      <c r="AD132" s="1"/>
      <c r="AE132" s="1"/>
      <c r="AP132"/>
      <c r="AQ132"/>
      <c r="AR132"/>
      <c r="AS132"/>
      <c r="AT132"/>
      <c r="AU132"/>
      <c r="AV132"/>
      <c r="AW132"/>
    </row>
    <row r="133" spans="1:49" x14ac:dyDescent="0.35">
      <c r="A133" s="105" cm="1">
        <f t="array" ref="A133">SUM(G127:G132+K127:K132+O127:O132)</f>
        <v>-7.9499999999999987E-2</v>
      </c>
      <c r="B133" s="11" t="s">
        <v>127</v>
      </c>
      <c r="C133" s="15">
        <v>-1.4800000000000001E-2</v>
      </c>
      <c r="D133" s="38">
        <f t="shared" si="12"/>
        <v>0.28958829921362972</v>
      </c>
      <c r="E133" s="32">
        <f t="shared" si="23"/>
        <v>56703.00944080748</v>
      </c>
      <c r="F133" s="47">
        <v>0</v>
      </c>
      <c r="G133" s="20">
        <v>4.4999999999999997E-3</v>
      </c>
      <c r="H133" s="38">
        <f t="shared" si="13"/>
        <v>0.26534585801139776</v>
      </c>
      <c r="I133" s="32">
        <f t="shared" si="17"/>
        <v>51956.203799519055</v>
      </c>
      <c r="J133" s="47">
        <v>0</v>
      </c>
      <c r="K133" s="17">
        <v>-4.5499999999999999E-2</v>
      </c>
      <c r="L133" s="38">
        <f t="shared" si="14"/>
        <v>0.23562598884757649</v>
      </c>
      <c r="M133" s="32">
        <f t="shared" si="18"/>
        <v>46136.887113203142</v>
      </c>
      <c r="N133" s="47">
        <v>0</v>
      </c>
      <c r="O133" s="19">
        <v>3.3799999999999997E-2</v>
      </c>
      <c r="P133" s="38">
        <f t="shared" si="15"/>
        <v>0.16610691598874724</v>
      </c>
      <c r="Q133" s="31">
        <f t="shared" si="19"/>
        <v>32524.663638240148</v>
      </c>
      <c r="R133" s="47">
        <v>0</v>
      </c>
      <c r="S133" s="26">
        <v>1.9699999999999999E-2</v>
      </c>
      <c r="T133" s="38">
        <f t="shared" si="16"/>
        <v>4.3332937938648911E-2</v>
      </c>
      <c r="U133" s="31">
        <f t="shared" si="20"/>
        <v>8484.831727336199</v>
      </c>
      <c r="V133" s="47">
        <v>0</v>
      </c>
      <c r="W133" s="37">
        <f t="shared" si="21"/>
        <v>195805.595719106</v>
      </c>
      <c r="X133" s="40">
        <f t="shared" si="22"/>
        <v>-8.0601132859724478E-3</v>
      </c>
      <c r="Y133" s="1"/>
      <c r="Z133" s="1"/>
      <c r="AA133" s="1"/>
      <c r="AB133" s="1"/>
      <c r="AC133" s="1"/>
      <c r="AD133" s="1"/>
      <c r="AE133" s="1"/>
      <c r="AP133"/>
      <c r="AQ133"/>
      <c r="AR133"/>
      <c r="AS133"/>
      <c r="AT133"/>
      <c r="AU133"/>
      <c r="AV133"/>
      <c r="AW133"/>
    </row>
    <row r="134" spans="1:49" x14ac:dyDescent="0.35">
      <c r="A134" s="105" cm="1">
        <f t="array" ref="A134">SUM(G128:G133+K128:K133+O128:O133)</f>
        <v>7.4000000000000107E-3</v>
      </c>
      <c r="B134" s="10" t="s">
        <v>128</v>
      </c>
      <c r="C134" s="20">
        <v>1E-3</v>
      </c>
      <c r="D134" s="38">
        <f t="shared" si="12"/>
        <v>0.28307069882922725</v>
      </c>
      <c r="E134" s="32">
        <f t="shared" si="23"/>
        <v>56759.712450248291</v>
      </c>
      <c r="F134" s="47">
        <v>0</v>
      </c>
      <c r="G134" s="20">
        <v>3.44E-2</v>
      </c>
      <c r="H134" s="38">
        <f t="shared" si="13"/>
        <v>0.26802830134418276</v>
      </c>
      <c r="I134" s="32">
        <f t="shared" si="17"/>
        <v>53743.497210222507</v>
      </c>
      <c r="J134" s="47">
        <v>0</v>
      </c>
      <c r="K134" s="19">
        <v>4.4999999999999998E-2</v>
      </c>
      <c r="L134" s="38">
        <f t="shared" si="14"/>
        <v>0.24044697069888282</v>
      </c>
      <c r="M134" s="32">
        <f t="shared" si="18"/>
        <v>48213.047033297284</v>
      </c>
      <c r="N134" s="47">
        <v>0</v>
      </c>
      <c r="O134" s="19">
        <v>2.5000000000000001E-2</v>
      </c>
      <c r="P134" s="38">
        <f t="shared" si="15"/>
        <v>0.16626139103797502</v>
      </c>
      <c r="Q134" s="31">
        <f t="shared" si="19"/>
        <v>33337.780229196149</v>
      </c>
      <c r="R134" s="47">
        <v>0</v>
      </c>
      <c r="S134" s="27">
        <v>-2.8999999999999998E-3</v>
      </c>
      <c r="T134" s="38">
        <f t="shared" si="16"/>
        <v>4.2192638089732178E-2</v>
      </c>
      <c r="U134" s="31">
        <f t="shared" si="20"/>
        <v>8460.2257153269238</v>
      </c>
      <c r="V134" s="47">
        <v>0</v>
      </c>
      <c r="W134" s="37">
        <f t="shared" si="21"/>
        <v>200514.26263829114</v>
      </c>
      <c r="X134" s="40">
        <f t="shared" si="22"/>
        <v>2.4047662692643357E-2</v>
      </c>
      <c r="Y134" s="1"/>
      <c r="Z134" s="1"/>
      <c r="AA134" s="1"/>
      <c r="AB134" s="1"/>
      <c r="AC134" s="1"/>
      <c r="AD134" s="1"/>
      <c r="AE134" s="1"/>
      <c r="AP134"/>
      <c r="AQ134"/>
      <c r="AR134"/>
      <c r="AS134"/>
      <c r="AT134"/>
      <c r="AU134"/>
      <c r="AV134"/>
      <c r="AW134"/>
    </row>
    <row r="135" spans="1:49" x14ac:dyDescent="0.35">
      <c r="A135" s="105" cm="1">
        <f t="array" ref="A135">SUM(G129:G134+K129:K134+O129:O134)</f>
        <v>9.8899999999999988E-2</v>
      </c>
      <c r="B135" s="11" t="s">
        <v>129</v>
      </c>
      <c r="C135" s="20">
        <v>2.5399999999999999E-2</v>
      </c>
      <c r="D135" s="38">
        <f t="shared" si="12"/>
        <v>0.27956330750117059</v>
      </c>
      <c r="E135" s="32">
        <f t="shared" si="23"/>
        <v>58201.409146484599</v>
      </c>
      <c r="F135" s="47">
        <v>0</v>
      </c>
      <c r="G135" s="20">
        <v>7.51E-2</v>
      </c>
      <c r="H135" s="38">
        <f t="shared" si="13"/>
        <v>0.27753736176483623</v>
      </c>
      <c r="I135" s="32">
        <f t="shared" si="17"/>
        <v>57779.633850710219</v>
      </c>
      <c r="J135" s="47">
        <v>0</v>
      </c>
      <c r="K135" s="19">
        <v>2.4400000000000002E-2</v>
      </c>
      <c r="L135" s="38">
        <f t="shared" si="14"/>
        <v>0.2372361238124682</v>
      </c>
      <c r="M135" s="32">
        <f t="shared" si="18"/>
        <v>49389.445380909739</v>
      </c>
      <c r="N135" s="47">
        <v>0</v>
      </c>
      <c r="O135" s="19">
        <v>7.1999999999999998E-3</v>
      </c>
      <c r="P135" s="38">
        <f t="shared" si="15"/>
        <v>0.16128688957952264</v>
      </c>
      <c r="Q135" s="31">
        <f t="shared" si="19"/>
        <v>33577.812246846363</v>
      </c>
      <c r="R135" s="47">
        <v>0</v>
      </c>
      <c r="S135" s="26">
        <v>9.1999999999999998E-2</v>
      </c>
      <c r="T135" s="38">
        <f t="shared" si="16"/>
        <v>4.4376317342002217E-2</v>
      </c>
      <c r="U135" s="31">
        <f t="shared" si="20"/>
        <v>9238.5664811370007</v>
      </c>
      <c r="V135" s="47">
        <v>0</v>
      </c>
      <c r="W135" s="37">
        <f t="shared" si="21"/>
        <v>208186.86710608794</v>
      </c>
      <c r="X135" s="40">
        <f t="shared" si="22"/>
        <v>3.8264631985992281E-2</v>
      </c>
      <c r="Y135" s="1"/>
      <c r="Z135" s="1"/>
      <c r="AA135" s="1"/>
      <c r="AB135" s="1"/>
      <c r="AC135" s="1"/>
      <c r="AD135" s="1"/>
      <c r="AE135" s="1"/>
      <c r="AP135"/>
      <c r="AQ135"/>
      <c r="AR135"/>
      <c r="AS135"/>
      <c r="AT135"/>
      <c r="AU135"/>
      <c r="AV135"/>
      <c r="AW135"/>
    </row>
    <row r="136" spans="1:49" x14ac:dyDescent="0.35">
      <c r="A136" s="106" cm="1">
        <f t="array" ref="A136">SUM(G130:G135+K130:K135+O130:O135)</f>
        <v>0.24690000000000001</v>
      </c>
      <c r="B136" s="10" t="s">
        <v>130</v>
      </c>
      <c r="C136" s="15">
        <v>-4.5999999999999999E-2</v>
      </c>
      <c r="D136" s="38">
        <f t="shared" si="12"/>
        <v>0.33573160067402336</v>
      </c>
      <c r="E136" s="32">
        <f t="shared" si="23"/>
        <v>69513.590785746303</v>
      </c>
      <c r="F136" s="49">
        <v>14663.99</v>
      </c>
      <c r="G136" s="20">
        <v>6.0000000000000001E-3</v>
      </c>
      <c r="H136" s="38">
        <f t="shared" si="13"/>
        <v>0.25698481477374729</v>
      </c>
      <c r="I136" s="32">
        <f t="shared" si="17"/>
        <v>53208.983653814481</v>
      </c>
      <c r="J136" s="48">
        <v>-4888</v>
      </c>
      <c r="K136" s="19">
        <v>4.8000000000000001E-2</v>
      </c>
      <c r="L136" s="38">
        <f t="shared" si="14"/>
        <v>0.22524642022625863</v>
      </c>
      <c r="M136" s="32">
        <f t="shared" si="18"/>
        <v>46637.514759193407</v>
      </c>
      <c r="N136" s="48">
        <v>-4888</v>
      </c>
      <c r="O136" s="17">
        <v>-2.8E-3</v>
      </c>
      <c r="P136" s="38">
        <f t="shared" si="15"/>
        <v>0.13817595473994948</v>
      </c>
      <c r="Q136" s="31">
        <f t="shared" si="19"/>
        <v>28609.480772555195</v>
      </c>
      <c r="R136" s="48">
        <v>-4888</v>
      </c>
      <c r="S136" s="27">
        <v>-1.7000000000000001E-2</v>
      </c>
      <c r="T136" s="38">
        <f t="shared" si="16"/>
        <v>4.3861209586021202E-2</v>
      </c>
      <c r="U136" s="31">
        <f t="shared" si="20"/>
        <v>9081.5108509576712</v>
      </c>
      <c r="V136" s="47">
        <v>0</v>
      </c>
      <c r="W136" s="37">
        <f t="shared" si="21"/>
        <v>207051.08082226707</v>
      </c>
      <c r="X136" s="40">
        <f t="shared" si="22"/>
        <v>-5.4556096626503514E-3</v>
      </c>
      <c r="Y136" s="1"/>
      <c r="Z136" s="1"/>
      <c r="AA136" s="1"/>
      <c r="AB136" s="1"/>
      <c r="AC136" s="1"/>
      <c r="AD136" s="1"/>
      <c r="AE136" s="1"/>
      <c r="AP136"/>
      <c r="AQ136"/>
      <c r="AR136"/>
      <c r="AS136"/>
      <c r="AT136"/>
      <c r="AU136"/>
      <c r="AV136"/>
      <c r="AW136"/>
    </row>
    <row r="137" spans="1:49" x14ac:dyDescent="0.35">
      <c r="A137" s="106" cm="1">
        <f t="array" ref="A137">SUM(G131:G136+K131:K136+O131:O136)</f>
        <v>0.36620000000000003</v>
      </c>
      <c r="B137" s="11" t="s">
        <v>131</v>
      </c>
      <c r="C137" s="20">
        <v>4.6199999999999998E-2</v>
      </c>
      <c r="D137" s="38">
        <f t="shared" si="12"/>
        <v>0.28348935871540787</v>
      </c>
      <c r="E137" s="32">
        <f t="shared" si="23"/>
        <v>61894.280870047776</v>
      </c>
      <c r="F137" s="48">
        <v>-10352.549999999999</v>
      </c>
      <c r="G137" s="20">
        <v>7.6799999999999993E-2</v>
      </c>
      <c r="H137" s="38">
        <f t="shared" si="13"/>
        <v>0.27944515365882644</v>
      </c>
      <c r="I137" s="32">
        <f t="shared" si="17"/>
        <v>61011.30887842743</v>
      </c>
      <c r="J137" s="49">
        <v>3450.85</v>
      </c>
      <c r="K137" s="19">
        <v>5.2200000000000003E-2</v>
      </c>
      <c r="L137" s="38">
        <f t="shared" si="14"/>
        <v>0.24139117629916673</v>
      </c>
      <c r="M137" s="32">
        <f t="shared" si="18"/>
        <v>52702.977399623305</v>
      </c>
      <c r="N137" s="49">
        <v>3450.85</v>
      </c>
      <c r="O137" s="19">
        <v>3.4799999999999998E-2</v>
      </c>
      <c r="P137" s="38">
        <f t="shared" si="15"/>
        <v>0.1519534828996896</v>
      </c>
      <c r="Q137" s="31">
        <f t="shared" si="19"/>
        <v>33176.030283440115</v>
      </c>
      <c r="R137" s="49">
        <v>3450.85</v>
      </c>
      <c r="S137" s="26">
        <v>5.11E-2</v>
      </c>
      <c r="T137" s="38">
        <f t="shared" si="16"/>
        <v>4.3720828426909317E-2</v>
      </c>
      <c r="U137" s="31">
        <f t="shared" si="20"/>
        <v>9545.5760554416083</v>
      </c>
      <c r="V137" s="47">
        <v>0</v>
      </c>
      <c r="W137" s="37">
        <f t="shared" si="21"/>
        <v>218330.17348698023</v>
      </c>
      <c r="X137" s="40">
        <f t="shared" si="22"/>
        <v>5.4474927732423462E-2</v>
      </c>
      <c r="Y137" s="1"/>
      <c r="Z137" s="1"/>
      <c r="AA137" s="1"/>
      <c r="AB137" s="1"/>
      <c r="AC137" s="1"/>
      <c r="AD137" s="1"/>
      <c r="AE137" s="1"/>
      <c r="AP137"/>
      <c r="AQ137"/>
      <c r="AR137"/>
      <c r="AS137"/>
      <c r="AT137"/>
      <c r="AU137"/>
      <c r="AV137"/>
      <c r="AW137"/>
    </row>
    <row r="138" spans="1:49" x14ac:dyDescent="0.35">
      <c r="A138" s="106" cm="1">
        <f t="array" ref="A138">SUM(G132:G137+K132:K137+O132:O137)</f>
        <v>0.47640000000000005</v>
      </c>
      <c r="B138" s="10" t="s">
        <v>132</v>
      </c>
      <c r="C138" s="20">
        <v>6.6299999999999998E-2</v>
      </c>
      <c r="D138" s="38">
        <f t="shared" si="12"/>
        <v>0.28732941877843216</v>
      </c>
      <c r="E138" s="32">
        <f t="shared" si="23"/>
        <v>65997.87169173194</v>
      </c>
      <c r="F138" s="47">
        <v>0</v>
      </c>
      <c r="G138" s="20">
        <v>4.6699999999999998E-2</v>
      </c>
      <c r="H138" s="38">
        <f t="shared" si="13"/>
        <v>0.2780242833537257</v>
      </c>
      <c r="I138" s="32">
        <f t="shared" si="17"/>
        <v>63860.537003049991</v>
      </c>
      <c r="J138" s="47">
        <v>0</v>
      </c>
      <c r="K138" s="19">
        <v>7.7499999999999999E-2</v>
      </c>
      <c r="L138" s="38">
        <f t="shared" si="14"/>
        <v>0.2472308110147822</v>
      </c>
      <c r="M138" s="32">
        <f t="shared" si="18"/>
        <v>56787.458148094112</v>
      </c>
      <c r="N138" s="47">
        <v>0</v>
      </c>
      <c r="O138" s="17">
        <v>-4.7999999999999996E-3</v>
      </c>
      <c r="P138" s="38">
        <f t="shared" si="15"/>
        <v>0.14374241923184841</v>
      </c>
      <c r="Q138" s="31">
        <f t="shared" si="19"/>
        <v>33016.7853380796</v>
      </c>
      <c r="R138" s="47">
        <v>0</v>
      </c>
      <c r="S138" s="26">
        <v>5.0900000000000001E-2</v>
      </c>
      <c r="T138" s="38">
        <f t="shared" si="16"/>
        <v>4.3673067621211488E-2</v>
      </c>
      <c r="U138" s="31">
        <f t="shared" si="20"/>
        <v>10031.445876663587</v>
      </c>
      <c r="V138" s="47">
        <v>0</v>
      </c>
      <c r="W138" s="37">
        <f t="shared" si="21"/>
        <v>229694.09805761924</v>
      </c>
      <c r="X138" s="40">
        <f t="shared" si="22"/>
        <v>5.2049262770895277E-2</v>
      </c>
      <c r="Y138" s="1"/>
      <c r="Z138" s="1"/>
      <c r="AA138" s="1"/>
      <c r="AB138" s="1"/>
      <c r="AC138" s="1"/>
      <c r="AD138" s="1"/>
      <c r="AE138" s="1"/>
      <c r="AP138"/>
      <c r="AQ138"/>
      <c r="AR138"/>
      <c r="AS138"/>
      <c r="AT138"/>
      <c r="AU138"/>
      <c r="AV138"/>
      <c r="AW138"/>
    </row>
    <row r="139" spans="1:49" x14ac:dyDescent="0.35">
      <c r="A139" s="106" cm="1">
        <f t="array" ref="A139">SUM(G133:G138+K133:K138+O133:O138)</f>
        <v>0.5383</v>
      </c>
      <c r="B139" s="9" t="s">
        <v>133</v>
      </c>
      <c r="C139" s="20">
        <v>6.4699999999999994E-2</v>
      </c>
      <c r="D139" s="38">
        <f t="shared" si="12"/>
        <v>0.30941999065400067</v>
      </c>
      <c r="E139" s="32">
        <f t="shared" si="23"/>
        <v>70267.933990186997</v>
      </c>
      <c r="F139" s="47">
        <v>0</v>
      </c>
      <c r="G139" s="15">
        <v>-4.8000000000000001E-2</v>
      </c>
      <c r="H139" s="38">
        <f t="shared" si="13"/>
        <v>0.26770759875569039</v>
      </c>
      <c r="I139" s="32">
        <f t="shared" si="17"/>
        <v>60795.23122690359</v>
      </c>
      <c r="J139" s="47">
        <v>0</v>
      </c>
      <c r="K139" s="17">
        <v>-4.9700000000000001E-2</v>
      </c>
      <c r="L139" s="38">
        <f t="shared" si="14"/>
        <v>0.2376316825500813</v>
      </c>
      <c r="M139" s="32">
        <f t="shared" si="18"/>
        <v>53965.121478133835</v>
      </c>
      <c r="N139" s="47">
        <v>0</v>
      </c>
      <c r="O139" s="17">
        <v>-2.4299999999999999E-2</v>
      </c>
      <c r="P139" s="38">
        <f t="shared" si="15"/>
        <v>0.14185422491922026</v>
      </c>
      <c r="Q139" s="31">
        <f t="shared" si="19"/>
        <v>32214.477454364267</v>
      </c>
      <c r="R139" s="47">
        <v>0</v>
      </c>
      <c r="S139" s="27">
        <v>-1.78E-2</v>
      </c>
      <c r="T139" s="38">
        <f t="shared" si="16"/>
        <v>4.3386503121007274E-2</v>
      </c>
      <c r="U139" s="31">
        <f t="shared" si="20"/>
        <v>9852.8861400589758</v>
      </c>
      <c r="V139" s="47">
        <v>0</v>
      </c>
      <c r="W139" s="37">
        <f t="shared" si="21"/>
        <v>227095.65028964769</v>
      </c>
      <c r="X139" s="40">
        <f t="shared" si="22"/>
        <v>-1.1312644904440394E-2</v>
      </c>
      <c r="Y139" s="1"/>
      <c r="Z139" s="1"/>
      <c r="AA139" s="1"/>
      <c r="AB139" s="1"/>
      <c r="AC139" s="1"/>
      <c r="AD139" s="1"/>
      <c r="AE139" s="1"/>
      <c r="AP139"/>
      <c r="AQ139"/>
      <c r="AR139"/>
      <c r="AS139"/>
      <c r="AT139"/>
      <c r="AU139"/>
      <c r="AV139"/>
      <c r="AW139"/>
    </row>
    <row r="140" spans="1:49" x14ac:dyDescent="0.35">
      <c r="A140" s="106" cm="1">
        <f t="array" ref="A140">SUM(G134:G139+K134:K139+O134:O139)</f>
        <v>0.4235000000000001</v>
      </c>
      <c r="B140" s="10" t="s">
        <v>134</v>
      </c>
      <c r="C140" s="20">
        <v>5.3100000000000001E-2</v>
      </c>
      <c r="D140" s="38">
        <f t="shared" si="12"/>
        <v>0.28729276854519009</v>
      </c>
      <c r="E140" s="32">
        <f t="shared" si="23"/>
        <v>73999.161285065929</v>
      </c>
      <c r="F140" s="47">
        <v>0</v>
      </c>
      <c r="G140" s="20">
        <v>0.17510000000000001</v>
      </c>
      <c r="H140" s="38">
        <f t="shared" si="13"/>
        <v>0.27735898409513393</v>
      </c>
      <c r="I140" s="32">
        <f t="shared" si="17"/>
        <v>71440.476214734415</v>
      </c>
      <c r="J140" s="47">
        <v>0</v>
      </c>
      <c r="K140" s="19">
        <v>0.1802</v>
      </c>
      <c r="L140" s="38">
        <f t="shared" si="14"/>
        <v>0.24726728846903359</v>
      </c>
      <c r="M140" s="32">
        <f t="shared" si="18"/>
        <v>63689.63636849355</v>
      </c>
      <c r="N140" s="47">
        <v>0</v>
      </c>
      <c r="O140" s="19">
        <v>0.16309999999999999</v>
      </c>
      <c r="P140" s="38">
        <f t="shared" si="15"/>
        <v>0.14546752304307942</v>
      </c>
      <c r="Q140" s="31">
        <f t="shared" si="19"/>
        <v>37468.658727171081</v>
      </c>
      <c r="R140" s="47">
        <v>0</v>
      </c>
      <c r="S140" s="26">
        <v>0.114</v>
      </c>
      <c r="T140" s="38">
        <f t="shared" si="16"/>
        <v>4.2613435847562879E-2</v>
      </c>
      <c r="U140" s="31">
        <f t="shared" si="20"/>
        <v>10976.1151600257</v>
      </c>
      <c r="V140" s="47">
        <v>0</v>
      </c>
      <c r="W140" s="37">
        <f t="shared" si="21"/>
        <v>257574.0477554907</v>
      </c>
      <c r="X140" s="40">
        <f t="shared" si="22"/>
        <v>0.13420951668149317</v>
      </c>
      <c r="Y140" s="1"/>
      <c r="Z140" s="1"/>
      <c r="AA140" s="1"/>
      <c r="AB140" s="1"/>
      <c r="AC140" s="1"/>
      <c r="AD140" s="1"/>
      <c r="AE140" s="1"/>
      <c r="AP140"/>
      <c r="AQ140"/>
      <c r="AR140"/>
      <c r="AS140"/>
      <c r="AT140"/>
      <c r="AU140"/>
      <c r="AV140"/>
      <c r="AW140"/>
    </row>
    <row r="141" spans="1:49" x14ac:dyDescent="0.35">
      <c r="A141" s="106" cm="1">
        <f t="array" ref="A141">SUM(G135:G140+K135:K140+O135:O140)</f>
        <v>0.83749999999999991</v>
      </c>
      <c r="B141" s="11" t="s">
        <v>135</v>
      </c>
      <c r="C141" s="20">
        <v>8.3400000000000002E-2</v>
      </c>
      <c r="D141" s="38">
        <f t="shared" si="12"/>
        <v>0.28320865158489256</v>
      </c>
      <c r="E141" s="32">
        <f t="shared" si="23"/>
        <v>80170.69133624043</v>
      </c>
      <c r="F141" s="47">
        <v>0</v>
      </c>
      <c r="G141" s="20">
        <v>9.1300000000000006E-2</v>
      </c>
      <c r="H141" s="38">
        <f t="shared" si="13"/>
        <v>0.27540979606043758</v>
      </c>
      <c r="I141" s="32">
        <f t="shared" si="17"/>
        <v>77962.991693139673</v>
      </c>
      <c r="J141" s="47">
        <v>0</v>
      </c>
      <c r="K141" s="19">
        <v>0.1268</v>
      </c>
      <c r="L141" s="38">
        <f t="shared" si="14"/>
        <v>0.25351665455841998</v>
      </c>
      <c r="M141" s="32">
        <f t="shared" si="18"/>
        <v>71765.482260018529</v>
      </c>
      <c r="N141" s="47">
        <v>0</v>
      </c>
      <c r="O141" s="19">
        <v>9.4E-2</v>
      </c>
      <c r="P141" s="38">
        <f t="shared" si="15"/>
        <v>0.14480259884152571</v>
      </c>
      <c r="Q141" s="31">
        <f t="shared" si="19"/>
        <v>40990.712647525164</v>
      </c>
      <c r="R141" s="47">
        <v>0</v>
      </c>
      <c r="S141" s="26">
        <v>0.1106</v>
      </c>
      <c r="T141" s="38">
        <f t="shared" si="16"/>
        <v>4.306229895472409E-2</v>
      </c>
      <c r="U141" s="31">
        <f t="shared" si="20"/>
        <v>12190.073496724543</v>
      </c>
      <c r="V141" s="47">
        <v>0</v>
      </c>
      <c r="W141" s="37">
        <f t="shared" si="21"/>
        <v>283079.95143364836</v>
      </c>
      <c r="X141" s="40">
        <f t="shared" si="22"/>
        <v>9.9023577493217996E-2</v>
      </c>
      <c r="Y141" s="1"/>
      <c r="Z141" s="1"/>
      <c r="AA141" s="1"/>
      <c r="AB141" s="1"/>
      <c r="AC141" s="1"/>
      <c r="AD141" s="1"/>
      <c r="AE141" s="1"/>
      <c r="AP141"/>
      <c r="AQ141"/>
      <c r="AR141"/>
      <c r="AS141"/>
      <c r="AT141"/>
      <c r="AU141"/>
      <c r="AV141"/>
      <c r="AW141"/>
    </row>
    <row r="142" spans="1:49" x14ac:dyDescent="0.35">
      <c r="A142" s="106" cm="1">
        <f t="array" ref="A142">SUM(G136:G141+K136:K141+O136:O141)</f>
        <v>1.0428999999999999</v>
      </c>
      <c r="B142" s="10" t="s">
        <v>136</v>
      </c>
      <c r="C142" s="15">
        <v>-8.4599999999999995E-2</v>
      </c>
      <c r="D142" s="38">
        <f t="shared" si="12"/>
        <v>0.28167665403908315</v>
      </c>
      <c r="E142" s="32">
        <f t="shared" si="23"/>
        <v>73388.25084919449</v>
      </c>
      <c r="F142" s="47">
        <v>0</v>
      </c>
      <c r="G142" s="15">
        <v>-7.7299999999999994E-2</v>
      </c>
      <c r="H142" s="38">
        <f t="shared" si="13"/>
        <v>0.27610440351063481</v>
      </c>
      <c r="I142" s="32">
        <f t="shared" si="17"/>
        <v>71936.452435259969</v>
      </c>
      <c r="J142" s="47">
        <v>0</v>
      </c>
      <c r="K142" s="17">
        <v>-0.10829999999999999</v>
      </c>
      <c r="L142" s="38">
        <f t="shared" si="14"/>
        <v>0.24561715168916781</v>
      </c>
      <c r="M142" s="32">
        <f t="shared" si="18"/>
        <v>63993.280531258526</v>
      </c>
      <c r="N142" s="47">
        <v>0</v>
      </c>
      <c r="O142" s="17">
        <v>-2.24E-2</v>
      </c>
      <c r="P142" s="38">
        <f t="shared" si="15"/>
        <v>0.15380518563438553</v>
      </c>
      <c r="Q142" s="31">
        <f t="shared" si="19"/>
        <v>40072.520684220603</v>
      </c>
      <c r="R142" s="47">
        <v>0</v>
      </c>
      <c r="S142" s="27">
        <v>-8.5300000000000001E-2</v>
      </c>
      <c r="T142" s="38">
        <f t="shared" si="16"/>
        <v>4.279660512672874E-2</v>
      </c>
      <c r="U142" s="31">
        <f t="shared" si="20"/>
        <v>11150.260227453939</v>
      </c>
      <c r="V142" s="47">
        <v>0</v>
      </c>
      <c r="W142" s="37">
        <f t="shared" si="21"/>
        <v>260540.76472738752</v>
      </c>
      <c r="X142" s="40">
        <f t="shared" si="22"/>
        <v>-7.9621275163118899E-2</v>
      </c>
      <c r="Y142" s="1"/>
      <c r="Z142" s="1"/>
      <c r="AA142" s="1"/>
      <c r="AB142" s="1"/>
      <c r="AC142" s="1"/>
      <c r="AD142" s="1"/>
      <c r="AE142" s="1"/>
      <c r="AP142"/>
      <c r="AQ142"/>
      <c r="AR142"/>
      <c r="AS142"/>
      <c r="AT142"/>
      <c r="AU142"/>
      <c r="AV142"/>
      <c r="AW142"/>
    </row>
    <row r="143" spans="1:49" x14ac:dyDescent="0.35">
      <c r="A143" s="106" cm="1">
        <f t="array" ref="A143">SUM(G137:G142+K137:K142+O137:O142)</f>
        <v>0.78370000000000006</v>
      </c>
      <c r="B143" s="11" t="s">
        <v>137</v>
      </c>
      <c r="C143" s="20">
        <v>7.6399999999999996E-2</v>
      </c>
      <c r="D143" s="38">
        <f t="shared" si="12"/>
        <v>0.28212132641183574</v>
      </c>
      <c r="E143" s="32">
        <f t="shared" si="23"/>
        <v>78995.113214072946</v>
      </c>
      <c r="F143" s="47">
        <v>0</v>
      </c>
      <c r="G143" s="20">
        <v>8.2199999999999995E-2</v>
      </c>
      <c r="H143" s="38">
        <f t="shared" si="13"/>
        <v>0.27803036987089269</v>
      </c>
      <c r="I143" s="32">
        <f t="shared" si="17"/>
        <v>77849.62882543834</v>
      </c>
      <c r="J143" s="47">
        <v>0</v>
      </c>
      <c r="K143" s="19">
        <v>9.4899999999999998E-2</v>
      </c>
      <c r="L143" s="38">
        <f t="shared" si="14"/>
        <v>0.25023296462661532</v>
      </c>
      <c r="M143" s="32">
        <f t="shared" si="18"/>
        <v>70066.242853674965</v>
      </c>
      <c r="N143" s="47">
        <v>0</v>
      </c>
      <c r="O143" s="19">
        <v>2.7E-2</v>
      </c>
      <c r="P143" s="38">
        <f t="shared" si="15"/>
        <v>0.14697815672739958</v>
      </c>
      <c r="Q143" s="31">
        <f t="shared" si="19"/>
        <v>41154.478742694562</v>
      </c>
      <c r="R143" s="47">
        <v>0</v>
      </c>
      <c r="S143" s="26">
        <v>7.0699999999999999E-2</v>
      </c>
      <c r="T143" s="38">
        <f t="shared" si="16"/>
        <v>4.2637182363256698E-2</v>
      </c>
      <c r="U143" s="31">
        <f t="shared" si="20"/>
        <v>11938.583625534931</v>
      </c>
      <c r="V143" s="47">
        <v>0</v>
      </c>
      <c r="W143" s="37">
        <f t="shared" si="21"/>
        <v>280004.04726141575</v>
      </c>
      <c r="X143" s="40">
        <f t="shared" si="22"/>
        <v>7.470340602705039E-2</v>
      </c>
      <c r="Y143" s="1"/>
      <c r="Z143" s="1"/>
      <c r="AA143" s="1"/>
      <c r="AB143" s="1"/>
      <c r="AC143" s="1"/>
      <c r="AD143" s="1"/>
      <c r="AE143" s="1"/>
      <c r="AP143"/>
      <c r="AQ143"/>
      <c r="AR143"/>
      <c r="AS143"/>
      <c r="AT143"/>
      <c r="AU143"/>
      <c r="AV143"/>
      <c r="AW143"/>
    </row>
    <row r="144" spans="1:49" x14ac:dyDescent="0.35">
      <c r="A144" s="106" cm="1">
        <f t="array" ref="A144">SUM(G138:G143+K138:K143+O138:O143)</f>
        <v>0.82399999999999995</v>
      </c>
      <c r="B144" s="10" t="s">
        <v>138</v>
      </c>
      <c r="C144" s="15">
        <v>-2.8500000000000001E-2</v>
      </c>
      <c r="D144" s="38">
        <f t="shared" si="12"/>
        <v>0.28178891800539274</v>
      </c>
      <c r="E144" s="32">
        <f t="shared" si="23"/>
        <v>76743.752487471866</v>
      </c>
      <c r="F144" s="47">
        <v>0</v>
      </c>
      <c r="G144" s="15">
        <v>-3.49E-2</v>
      </c>
      <c r="H144" s="38">
        <f t="shared" si="13"/>
        <v>0.27587334486909287</v>
      </c>
      <c r="I144" s="32">
        <f t="shared" si="17"/>
        <v>75132.676779430549</v>
      </c>
      <c r="J144" s="47">
        <v>0</v>
      </c>
      <c r="K144" s="17">
        <v>-6.4999999999999997E-3</v>
      </c>
      <c r="L144" s="38">
        <f t="shared" si="14"/>
        <v>0.25559807589140832</v>
      </c>
      <c r="M144" s="32">
        <f t="shared" si="18"/>
        <v>69610.812275126082</v>
      </c>
      <c r="N144" s="47">
        <v>0</v>
      </c>
      <c r="O144" s="17">
        <v>-5.0200000000000002E-2</v>
      </c>
      <c r="P144" s="38">
        <f t="shared" si="15"/>
        <v>0.14352585717999339</v>
      </c>
      <c r="Q144" s="31">
        <f t="shared" si="19"/>
        <v>39088.523909811294</v>
      </c>
      <c r="R144" s="47">
        <v>0</v>
      </c>
      <c r="S144" s="27">
        <v>-1.4200000000000001E-2</v>
      </c>
      <c r="T144" s="38">
        <f t="shared" si="16"/>
        <v>4.3213804054112612E-2</v>
      </c>
      <c r="U144" s="31">
        <f t="shared" si="20"/>
        <v>11769.055738052335</v>
      </c>
      <c r="V144" s="47">
        <v>0</v>
      </c>
      <c r="W144" s="37">
        <f t="shared" si="21"/>
        <v>272344.82118989213</v>
      </c>
      <c r="X144" s="40">
        <f t="shared" si="22"/>
        <v>-2.73539834385782E-2</v>
      </c>
      <c r="Y144" s="1"/>
      <c r="Z144" s="1"/>
      <c r="AA144" s="1"/>
      <c r="AB144" s="1"/>
      <c r="AC144" s="1"/>
      <c r="AD144" s="1"/>
      <c r="AE144" s="1"/>
      <c r="AP144"/>
      <c r="AQ144"/>
      <c r="AR144"/>
      <c r="AS144"/>
      <c r="AT144"/>
      <c r="AU144"/>
      <c r="AV144"/>
      <c r="AW144"/>
    </row>
    <row r="145" spans="1:49" x14ac:dyDescent="0.35">
      <c r="A145" s="106" cm="1">
        <f t="array" ref="A145">SUM(G139:G144+K139:K144+O139:O144)</f>
        <v>0.61299999999999999</v>
      </c>
      <c r="B145" s="11" t="s">
        <v>139</v>
      </c>
      <c r="C145" s="20">
        <v>9.4999999999999998E-3</v>
      </c>
      <c r="D145" s="38">
        <f t="shared" si="12"/>
        <v>0.27018612930287977</v>
      </c>
      <c r="E145" s="32">
        <f t="shared" si="23"/>
        <v>77472.818136102855</v>
      </c>
      <c r="F145" s="47">
        <v>0</v>
      </c>
      <c r="G145" s="20">
        <v>0.10249999999999999</v>
      </c>
      <c r="H145" s="38">
        <f t="shared" si="13"/>
        <v>0.28888244795753831</v>
      </c>
      <c r="I145" s="32">
        <f t="shared" si="17"/>
        <v>82833.776149322177</v>
      </c>
      <c r="J145" s="47">
        <v>0</v>
      </c>
      <c r="K145" s="19">
        <v>6.4699999999999994E-2</v>
      </c>
      <c r="L145" s="38">
        <f t="shared" si="14"/>
        <v>0.25847446860000228</v>
      </c>
      <c r="M145" s="32">
        <f t="shared" si="18"/>
        <v>74114.63182932674</v>
      </c>
      <c r="N145" s="47">
        <v>0</v>
      </c>
      <c r="O145" s="19">
        <v>1.29E-2</v>
      </c>
      <c r="P145" s="38">
        <f t="shared" si="15"/>
        <v>0.13807960541133321</v>
      </c>
      <c r="Q145" s="31">
        <f t="shared" si="19"/>
        <v>39592.765868247858</v>
      </c>
      <c r="R145" s="47">
        <v>0</v>
      </c>
      <c r="S145" s="26">
        <v>8.1199999999999994E-2</v>
      </c>
      <c r="T145" s="38">
        <f t="shared" si="16"/>
        <v>4.4377348728246301E-2</v>
      </c>
      <c r="U145" s="31">
        <f t="shared" si="20"/>
        <v>12724.703063982184</v>
      </c>
      <c r="V145" s="47">
        <v>0</v>
      </c>
      <c r="W145" s="37">
        <f t="shared" si="21"/>
        <v>286738.69504698185</v>
      </c>
      <c r="X145" s="40">
        <f t="shared" si="22"/>
        <v>5.2851652527123427E-2</v>
      </c>
      <c r="Y145" s="1"/>
      <c r="Z145" s="1"/>
      <c r="AA145" s="1"/>
      <c r="AB145" s="1"/>
      <c r="AC145" s="1"/>
      <c r="AD145" s="1"/>
      <c r="AE145" s="1"/>
      <c r="AP145"/>
      <c r="AQ145"/>
      <c r="AR145"/>
      <c r="AS145"/>
      <c r="AT145"/>
      <c r="AU145"/>
      <c r="AV145"/>
      <c r="AW145"/>
    </row>
    <row r="146" spans="1:49" x14ac:dyDescent="0.35">
      <c r="A146" s="106" cm="1">
        <f t="array" ref="A146">SUM(G140:G145+K140:K145+O140:O145)</f>
        <v>0.91510000000000002</v>
      </c>
      <c r="B146" s="10" t="s">
        <v>140</v>
      </c>
      <c r="C146" s="20">
        <v>0.1</v>
      </c>
      <c r="D146" s="38">
        <f t="shared" si="12"/>
        <v>0.30084361972991924</v>
      </c>
      <c r="E146" s="32">
        <f t="shared" si="23"/>
        <v>88315.521949713147</v>
      </c>
      <c r="F146" s="49">
        <v>2814.02</v>
      </c>
      <c r="G146" s="15">
        <v>-4.5999999999999999E-3</v>
      </c>
      <c r="H146" s="38">
        <f t="shared" si="13"/>
        <v>0.27769166983724897</v>
      </c>
      <c r="I146" s="32">
        <f t="shared" si="17"/>
        <v>81519.045625035302</v>
      </c>
      <c r="J146" s="48">
        <v>-938.01</v>
      </c>
      <c r="K146" s="17">
        <v>-5.1999999999999998E-3</v>
      </c>
      <c r="L146" s="38">
        <f t="shared" si="14"/>
        <v>0.24797728377011938</v>
      </c>
      <c r="M146" s="32">
        <f t="shared" si="18"/>
        <v>72796.103395814251</v>
      </c>
      <c r="N146" s="48">
        <v>-938.01</v>
      </c>
      <c r="O146" s="17">
        <v>-3.2000000000000001E-2</v>
      </c>
      <c r="P146" s="38">
        <f t="shared" si="15"/>
        <v>0.12746238999735454</v>
      </c>
      <c r="Q146" s="31">
        <f t="shared" si="19"/>
        <v>37417.803680463927</v>
      </c>
      <c r="R146" s="48">
        <v>-938.01</v>
      </c>
      <c r="S146" s="26">
        <v>6.1800000000000001E-2</v>
      </c>
      <c r="T146" s="38">
        <f t="shared" si="16"/>
        <v>4.6025036665357857E-2</v>
      </c>
      <c r="U146" s="31">
        <f t="shared" si="20"/>
        <v>13511.089713336283</v>
      </c>
      <c r="V146" s="47">
        <v>0</v>
      </c>
      <c r="W146" s="37">
        <f t="shared" si="21"/>
        <v>293559.56436436292</v>
      </c>
      <c r="X146" s="40">
        <f t="shared" si="22"/>
        <v>2.3787753223412977E-2</v>
      </c>
      <c r="Y146" s="1"/>
      <c r="Z146" s="1"/>
      <c r="AA146" s="1"/>
      <c r="AB146" s="1"/>
      <c r="AC146" s="1"/>
      <c r="AD146" s="1"/>
      <c r="AE146" s="1"/>
      <c r="AP146"/>
      <c r="AQ146"/>
      <c r="AR146"/>
      <c r="AS146"/>
      <c r="AT146"/>
      <c r="AU146"/>
      <c r="AV146"/>
      <c r="AW146"/>
    </row>
    <row r="147" spans="1:49" x14ac:dyDescent="0.35">
      <c r="A147" s="106" cm="1">
        <f t="array" ref="A147">SUM(G141:G146+K141:K146+O141:O146)</f>
        <v>0.35489999999999999</v>
      </c>
      <c r="B147" s="11" t="s">
        <v>141</v>
      </c>
      <c r="C147" s="20">
        <v>0.1145</v>
      </c>
      <c r="D147" s="38">
        <f t="shared" si="12"/>
        <v>0.30458523234174545</v>
      </c>
      <c r="E147" s="32">
        <f t="shared" si="23"/>
        <v>98427.649212955308</v>
      </c>
      <c r="F147" s="47">
        <v>0</v>
      </c>
      <c r="G147" s="20">
        <v>0.1043</v>
      </c>
      <c r="H147" s="38">
        <f t="shared" si="13"/>
        <v>0.2785722737002147</v>
      </c>
      <c r="I147" s="32">
        <f t="shared" si="17"/>
        <v>90021.482083726485</v>
      </c>
      <c r="J147" s="47">
        <v>0</v>
      </c>
      <c r="K147" s="19">
        <v>7.5200000000000003E-2</v>
      </c>
      <c r="L147" s="38">
        <f t="shared" si="14"/>
        <v>0.24220835441676167</v>
      </c>
      <c r="M147" s="32">
        <f t="shared" si="18"/>
        <v>78270.370371179481</v>
      </c>
      <c r="N147" s="47">
        <v>0</v>
      </c>
      <c r="O147" s="19">
        <v>9.8799999999999999E-2</v>
      </c>
      <c r="P147" s="38">
        <f t="shared" si="15"/>
        <v>0.12722974975149093</v>
      </c>
      <c r="Q147" s="31">
        <f t="shared" si="19"/>
        <v>41114.682684093765</v>
      </c>
      <c r="R147" s="47">
        <v>0</v>
      </c>
      <c r="S147" s="26">
        <v>0.1338</v>
      </c>
      <c r="T147" s="38">
        <f t="shared" si="16"/>
        <v>4.7404389789787164E-2</v>
      </c>
      <c r="U147" s="31">
        <f t="shared" si="20"/>
        <v>15318.873516980679</v>
      </c>
      <c r="V147" s="47">
        <v>0</v>
      </c>
      <c r="W147" s="37">
        <f t="shared" si="21"/>
        <v>323153.05786893575</v>
      </c>
      <c r="X147" s="40">
        <f t="shared" si="22"/>
        <v>0.10080916140017737</v>
      </c>
      <c r="Y147" s="1"/>
      <c r="Z147" s="1"/>
      <c r="AA147" s="1"/>
      <c r="AB147" s="1"/>
      <c r="AC147" s="1"/>
      <c r="AD147" s="1"/>
      <c r="AE147" s="1"/>
      <c r="AP147"/>
      <c r="AQ147"/>
      <c r="AR147"/>
      <c r="AS147"/>
      <c r="AT147"/>
      <c r="AU147"/>
      <c r="AV147"/>
      <c r="AW147"/>
    </row>
    <row r="148" spans="1:49" x14ac:dyDescent="0.35">
      <c r="A148" s="106" cm="1">
        <f t="array" ref="A148">SUM(G142:G147+K142:K147+O142:O147)</f>
        <v>0.32109999999999994</v>
      </c>
      <c r="B148" s="10" t="s">
        <v>142</v>
      </c>
      <c r="C148" s="15">
        <v>-3.0099999999999998E-2</v>
      </c>
      <c r="D148" s="38">
        <f t="shared" si="12"/>
        <v>0.29648868474854773</v>
      </c>
      <c r="E148" s="32">
        <f t="shared" si="23"/>
        <v>95464.976971645359</v>
      </c>
      <c r="F148" s="47">
        <v>0</v>
      </c>
      <c r="G148" s="20">
        <v>2.5499999999999998E-2</v>
      </c>
      <c r="H148" s="38">
        <f t="shared" si="13"/>
        <v>0.28671200304392963</v>
      </c>
      <c r="I148" s="32">
        <f t="shared" si="17"/>
        <v>92317.029876861518</v>
      </c>
      <c r="J148" s="47">
        <v>0</v>
      </c>
      <c r="K148" s="19">
        <v>2.0000000000000001E-4</v>
      </c>
      <c r="L148" s="38">
        <f t="shared" si="14"/>
        <v>0.24313545300346062</v>
      </c>
      <c r="M148" s="32">
        <f t="shared" si="18"/>
        <v>78286.024445253715</v>
      </c>
      <c r="N148" s="47">
        <v>0</v>
      </c>
      <c r="O148" s="19">
        <v>7.3000000000000001E-3</v>
      </c>
      <c r="P148" s="38">
        <f t="shared" si="15"/>
        <v>0.12862335341384731</v>
      </c>
      <c r="Q148" s="31">
        <f t="shared" si="19"/>
        <v>41414.819867687649</v>
      </c>
      <c r="R148" s="47">
        <v>0</v>
      </c>
      <c r="S148" s="27">
        <v>-5.33E-2</v>
      </c>
      <c r="T148" s="38">
        <f t="shared" si="16"/>
        <v>4.504050579021477E-2</v>
      </c>
      <c r="U148" s="31">
        <f t="shared" si="20"/>
        <v>14502.377558525608</v>
      </c>
      <c r="V148" s="47">
        <v>0</v>
      </c>
      <c r="W148" s="37">
        <f t="shared" si="21"/>
        <v>321985.22871997382</v>
      </c>
      <c r="X148" s="40">
        <f t="shared" si="22"/>
        <v>-3.6138576458576432E-3</v>
      </c>
      <c r="Y148" s="1"/>
      <c r="Z148" s="1"/>
      <c r="AA148" s="1"/>
      <c r="AB148" s="1"/>
      <c r="AC148" s="1"/>
      <c r="AD148" s="1"/>
      <c r="AE148" s="1"/>
      <c r="AP148"/>
      <c r="AQ148"/>
      <c r="AR148"/>
      <c r="AS148"/>
      <c r="AT148"/>
      <c r="AU148"/>
      <c r="AV148"/>
      <c r="AW148"/>
    </row>
    <row r="149" spans="1:49" x14ac:dyDescent="0.35">
      <c r="A149" s="106" cm="1">
        <f t="array" ref="A149">SUM(G143:G148+K143:K148+O143:O148)</f>
        <v>0.56209999999999993</v>
      </c>
      <c r="B149" s="11" t="s">
        <v>143</v>
      </c>
      <c r="C149" s="15">
        <v>-6.7799999999999999E-2</v>
      </c>
      <c r="D149" s="38">
        <f t="shared" si="12"/>
        <v>0.28075133063471863</v>
      </c>
      <c r="E149" s="32">
        <f t="shared" si="23"/>
        <v>88992.451532967811</v>
      </c>
      <c r="F149" s="47">
        <v>0</v>
      </c>
      <c r="G149" s="20">
        <v>1E-4</v>
      </c>
      <c r="H149" s="38">
        <f t="shared" si="13"/>
        <v>0.29126875756950321</v>
      </c>
      <c r="I149" s="32">
        <f t="shared" si="17"/>
        <v>92326.261579849204</v>
      </c>
      <c r="J149" s="47">
        <v>0</v>
      </c>
      <c r="K149" s="19">
        <v>3.2199999999999999E-2</v>
      </c>
      <c r="L149" s="38">
        <f t="shared" si="14"/>
        <v>0.25492753486927749</v>
      </c>
      <c r="M149" s="32">
        <f t="shared" si="18"/>
        <v>80806.834432390882</v>
      </c>
      <c r="N149" s="47">
        <v>0</v>
      </c>
      <c r="O149" s="17">
        <v>-2.5600000000000001E-2</v>
      </c>
      <c r="P149" s="38">
        <f t="shared" si="15"/>
        <v>0.12730976151989243</v>
      </c>
      <c r="Q149" s="31">
        <f t="shared" si="19"/>
        <v>40354.600479074848</v>
      </c>
      <c r="R149" s="47">
        <v>0</v>
      </c>
      <c r="S149" s="27">
        <v>-2.0000000000000001E-4</v>
      </c>
      <c r="T149" s="38">
        <f t="shared" si="16"/>
        <v>4.5742615406608143E-2</v>
      </c>
      <c r="U149" s="31">
        <f t="shared" si="20"/>
        <v>14499.477083013902</v>
      </c>
      <c r="V149" s="47">
        <v>0</v>
      </c>
      <c r="W149" s="37">
        <f t="shared" si="21"/>
        <v>316979.62510729668</v>
      </c>
      <c r="X149" s="40">
        <f t="shared" si="22"/>
        <v>-1.5546065987487978E-2</v>
      </c>
      <c r="Y149" s="1"/>
      <c r="Z149" s="1"/>
      <c r="AA149" s="1"/>
      <c r="AB149" s="1"/>
      <c r="AC149" s="1"/>
      <c r="AD149" s="1"/>
      <c r="AE149" s="1"/>
      <c r="AP149"/>
      <c r="AQ149"/>
      <c r="AR149"/>
      <c r="AS149"/>
      <c r="AT149"/>
      <c r="AU149"/>
      <c r="AV149"/>
      <c r="AW149"/>
    </row>
    <row r="150" spans="1:49" x14ac:dyDescent="0.35">
      <c r="A150" s="106" cm="1">
        <f t="array" ref="A150">SUM(G144:G149+K144:K149+O144:O149)</f>
        <v>0.36469999999999991</v>
      </c>
      <c r="B150" s="10" t="s">
        <v>144</v>
      </c>
      <c r="C150" s="20">
        <v>2.6599999999999999E-2</v>
      </c>
      <c r="D150" s="38">
        <f t="shared" si="12"/>
        <v>0.28751912483736281</v>
      </c>
      <c r="E150" s="32">
        <f t="shared" si="23"/>
        <v>91359.650743744758</v>
      </c>
      <c r="F150" s="47">
        <v>0</v>
      </c>
      <c r="G150" s="20">
        <v>1.18E-2</v>
      </c>
      <c r="H150" s="38">
        <f t="shared" si="13"/>
        <v>0.29398977982349817</v>
      </c>
      <c r="I150" s="32">
        <f t="shared" si="17"/>
        <v>93415.711466491426</v>
      </c>
      <c r="J150" s="47">
        <v>0</v>
      </c>
      <c r="K150" s="17">
        <v>-2.6200000000000001E-2</v>
      </c>
      <c r="L150" s="38">
        <f t="shared" si="14"/>
        <v>0.24764534630322635</v>
      </c>
      <c r="M150" s="32">
        <f t="shared" si="18"/>
        <v>78689.695370262241</v>
      </c>
      <c r="N150" s="47">
        <v>0</v>
      </c>
      <c r="O150" s="17">
        <v>-2.47E-2</v>
      </c>
      <c r="P150" s="38">
        <f t="shared" si="15"/>
        <v>0.12386356724531442</v>
      </c>
      <c r="Q150" s="31">
        <f t="shared" si="19"/>
        <v>39357.841847241696</v>
      </c>
      <c r="R150" s="47">
        <v>0</v>
      </c>
      <c r="S150" s="26">
        <v>2.9600000000000001E-2</v>
      </c>
      <c r="T150" s="38">
        <f t="shared" si="16"/>
        <v>4.6982181790598231E-2</v>
      </c>
      <c r="U150" s="31">
        <f t="shared" si="20"/>
        <v>14928.661604671113</v>
      </c>
      <c r="V150" s="47">
        <v>0</v>
      </c>
      <c r="W150" s="37">
        <f t="shared" si="21"/>
        <v>317751.56103241123</v>
      </c>
      <c r="X150" s="40">
        <f t="shared" si="22"/>
        <v>2.4352856271228074E-3</v>
      </c>
      <c r="Y150" s="1"/>
      <c r="Z150" s="1"/>
      <c r="AA150" s="1"/>
      <c r="AB150" s="1"/>
      <c r="AC150" s="1"/>
      <c r="AD150" s="1"/>
      <c r="AE150" s="1"/>
      <c r="AP150"/>
      <c r="AQ150"/>
      <c r="AR150"/>
      <c r="AS150"/>
      <c r="AT150"/>
      <c r="AU150"/>
      <c r="AV150"/>
      <c r="AW150"/>
    </row>
    <row r="151" spans="1:49" x14ac:dyDescent="0.35">
      <c r="A151" s="106" cm="1">
        <f t="array" ref="A151">SUM(G145:G150+K145:K150+O145:O150)</f>
        <v>0.4171999999999999</v>
      </c>
      <c r="B151" s="9" t="s">
        <v>145</v>
      </c>
      <c r="C151" s="20">
        <v>8.3500000000000005E-2</v>
      </c>
      <c r="D151" s="38">
        <f t="shared" si="12"/>
        <v>0.31133325496525227</v>
      </c>
      <c r="E151" s="32">
        <f t="shared" si="23"/>
        <v>98988.181580847449</v>
      </c>
      <c r="F151" s="47">
        <v>0</v>
      </c>
      <c r="G151" s="15">
        <v>-2.3800000000000002E-2</v>
      </c>
      <c r="H151" s="38">
        <f t="shared" si="13"/>
        <v>0.2868143623357135</v>
      </c>
      <c r="I151" s="32">
        <f t="shared" si="17"/>
        <v>91192.41753358893</v>
      </c>
      <c r="J151" s="47">
        <v>0</v>
      </c>
      <c r="K151" s="17">
        <v>-5.9900000000000002E-2</v>
      </c>
      <c r="L151" s="38">
        <f t="shared" si="14"/>
        <v>0.23266662096854152</v>
      </c>
      <c r="M151" s="32">
        <f t="shared" si="18"/>
        <v>73976.18261758353</v>
      </c>
      <c r="N151" s="47">
        <v>0</v>
      </c>
      <c r="O151" s="17">
        <v>-2.3400000000000001E-2</v>
      </c>
      <c r="P151" s="38">
        <f t="shared" si="15"/>
        <v>0.12088994001455752</v>
      </c>
      <c r="Q151" s="31">
        <f t="shared" si="19"/>
        <v>38436.868348016244</v>
      </c>
      <c r="R151" s="47">
        <v>0</v>
      </c>
      <c r="S151" s="26">
        <v>2.86E-2</v>
      </c>
      <c r="T151" s="38">
        <f t="shared" si="16"/>
        <v>4.8295821715935265E-2</v>
      </c>
      <c r="U151" s="31">
        <f t="shared" si="20"/>
        <v>15355.621326564707</v>
      </c>
      <c r="V151" s="47">
        <v>0</v>
      </c>
      <c r="W151" s="37">
        <f t="shared" si="21"/>
        <v>317949.27140660083</v>
      </c>
      <c r="X151" s="40">
        <f t="shared" si="22"/>
        <v>6.2221684622798534E-4</v>
      </c>
      <c r="Y151" s="1"/>
      <c r="Z151" s="1"/>
      <c r="AA151" s="1"/>
      <c r="AB151" s="1"/>
      <c r="AC151" s="1"/>
      <c r="AD151" s="1"/>
      <c r="AE151" s="1"/>
      <c r="AP151"/>
      <c r="AQ151"/>
      <c r="AR151"/>
      <c r="AS151"/>
      <c r="AT151"/>
      <c r="AU151"/>
      <c r="AV151"/>
      <c r="AW151"/>
    </row>
    <row r="152" spans="1:49" x14ac:dyDescent="0.35">
      <c r="A152" s="105" cm="1">
        <f t="array" ref="A152">SUM(G146:G151+K146:K151+O146:O151)</f>
        <v>0.12999999999999995</v>
      </c>
      <c r="B152" s="10" t="s">
        <v>146</v>
      </c>
      <c r="C152" s="20">
        <v>8.8200000000000001E-2</v>
      </c>
      <c r="D152" s="38">
        <f t="shared" si="12"/>
        <v>0.33450787649679403</v>
      </c>
      <c r="E152" s="32">
        <f t="shared" si="23"/>
        <v>107718.9391962782</v>
      </c>
      <c r="F152" s="47">
        <v>0</v>
      </c>
      <c r="G152" s="15">
        <v>-2.1499999999999998E-2</v>
      </c>
      <c r="H152" s="38">
        <f t="shared" si="13"/>
        <v>0.27709828608350323</v>
      </c>
      <c r="I152" s="32">
        <f t="shared" si="17"/>
        <v>89231.780556616766</v>
      </c>
      <c r="J152" s="47">
        <v>0</v>
      </c>
      <c r="K152" s="17">
        <v>-1.9599999999999999E-2</v>
      </c>
      <c r="L152" s="38">
        <f t="shared" si="14"/>
        <v>0.22522132014008639</v>
      </c>
      <c r="M152" s="32">
        <f t="shared" si="18"/>
        <v>72526.249438278886</v>
      </c>
      <c r="N152" s="47">
        <v>0</v>
      </c>
      <c r="O152" s="17">
        <v>-2.5499999999999998E-2</v>
      </c>
      <c r="P152" s="38">
        <f t="shared" si="15"/>
        <v>0.11631724844216136</v>
      </c>
      <c r="Q152" s="31">
        <f t="shared" si="19"/>
        <v>37456.72820514183</v>
      </c>
      <c r="R152" s="47">
        <v>0</v>
      </c>
      <c r="S152" s="27">
        <v>-1.7399999999999999E-2</v>
      </c>
      <c r="T152" s="38">
        <f t="shared" si="16"/>
        <v>4.6855268837455166E-2</v>
      </c>
      <c r="U152" s="31">
        <f t="shared" si="20"/>
        <v>15088.433515482482</v>
      </c>
      <c r="V152" s="47">
        <v>0</v>
      </c>
      <c r="W152" s="37">
        <f t="shared" si="21"/>
        <v>322022.1309117981</v>
      </c>
      <c r="X152" s="40">
        <f t="shared" si="22"/>
        <v>1.2809777758505447E-2</v>
      </c>
      <c r="Y152" s="1"/>
      <c r="Z152" s="1"/>
      <c r="AA152" s="1"/>
      <c r="AB152" s="1"/>
      <c r="AC152" s="1"/>
      <c r="AD152" s="1"/>
      <c r="AE152" s="1"/>
      <c r="AP152"/>
      <c r="AQ152"/>
      <c r="AR152"/>
      <c r="AS152"/>
      <c r="AT152"/>
      <c r="AU152"/>
      <c r="AV152"/>
      <c r="AW152"/>
    </row>
    <row r="153" spans="1:49" x14ac:dyDescent="0.35">
      <c r="A153" s="105" cm="1">
        <f t="array" ref="A153">SUM(G147:G152+K147:K152+O147:O152)</f>
        <v>0.10519999999999993</v>
      </c>
      <c r="B153" s="11" t="s">
        <v>147</v>
      </c>
      <c r="C153" s="15">
        <v>-0.10100000000000001</v>
      </c>
      <c r="D153" s="38">
        <f t="shared" si="12"/>
        <v>0.31727723606306868</v>
      </c>
      <c r="E153" s="32">
        <f t="shared" si="23"/>
        <v>96839.326337454098</v>
      </c>
      <c r="F153" s="47">
        <v>0</v>
      </c>
      <c r="G153" s="15">
        <v>-3.6799999999999999E-2</v>
      </c>
      <c r="H153" s="38">
        <f t="shared" si="13"/>
        <v>0.28159386385503982</v>
      </c>
      <c r="I153" s="32">
        <f t="shared" si="17"/>
        <v>85948.051032133269</v>
      </c>
      <c r="J153" s="47">
        <v>0</v>
      </c>
      <c r="K153" s="17">
        <v>-2.7E-2</v>
      </c>
      <c r="L153" s="38">
        <f t="shared" si="14"/>
        <v>0.23120393083647189</v>
      </c>
      <c r="M153" s="32">
        <f t="shared" si="18"/>
        <v>70568.040703445353</v>
      </c>
      <c r="N153" s="47">
        <v>0</v>
      </c>
      <c r="O153" s="19">
        <v>2.07E-2</v>
      </c>
      <c r="P153" s="38">
        <f t="shared" si="15"/>
        <v>0.12526077903101998</v>
      </c>
      <c r="Q153" s="31">
        <f t="shared" si="19"/>
        <v>38232.082478988268</v>
      </c>
      <c r="R153" s="47">
        <v>0</v>
      </c>
      <c r="S153" s="27">
        <v>-9.6500000000000002E-2</v>
      </c>
      <c r="T153" s="38">
        <f t="shared" si="16"/>
        <v>4.4664190214399789E-2</v>
      </c>
      <c r="U153" s="31">
        <f t="shared" si="20"/>
        <v>13632.399681238423</v>
      </c>
      <c r="V153" s="47">
        <v>0</v>
      </c>
      <c r="W153" s="37">
        <f t="shared" si="21"/>
        <v>305219.90023325937</v>
      </c>
      <c r="X153" s="40">
        <f t="shared" si="22"/>
        <v>-5.2177254497893122E-2</v>
      </c>
      <c r="Y153" s="1"/>
      <c r="Z153" s="1"/>
      <c r="AA153" s="1"/>
      <c r="AB153" s="1"/>
      <c r="AC153" s="1"/>
      <c r="AD153" s="1"/>
      <c r="AE153" s="1"/>
      <c r="AP153"/>
      <c r="AQ153"/>
      <c r="AR153"/>
      <c r="AS153"/>
      <c r="AT153"/>
      <c r="AU153"/>
      <c r="AV153"/>
      <c r="AW153"/>
    </row>
    <row r="154" spans="1:49" x14ac:dyDescent="0.35">
      <c r="A154" s="106" cm="1">
        <f t="array" ref="A154">SUM(G148:G153+K148:K153+O148:O153)</f>
        <v>-0.2162</v>
      </c>
      <c r="B154" s="10" t="s">
        <v>148</v>
      </c>
      <c r="C154" s="20">
        <v>1.1900000000000001E-2</v>
      </c>
      <c r="D154" s="38">
        <f t="shared" si="12"/>
        <v>0.32610755078765213</v>
      </c>
      <c r="E154" s="32">
        <f t="shared" si="23"/>
        <v>97991.714320869796</v>
      </c>
      <c r="F154" s="47">
        <v>0</v>
      </c>
      <c r="G154" s="15">
        <v>-3.2899999999999999E-2</v>
      </c>
      <c r="H154" s="38">
        <f t="shared" si="13"/>
        <v>0.27661703091938727</v>
      </c>
      <c r="I154" s="32">
        <f t="shared" si="17"/>
        <v>83120.36015317608</v>
      </c>
      <c r="J154" s="47">
        <v>0</v>
      </c>
      <c r="K154" s="17">
        <v>-1.9400000000000001E-2</v>
      </c>
      <c r="L154" s="38">
        <f t="shared" si="14"/>
        <v>0.23028807403030374</v>
      </c>
      <c r="M154" s="32">
        <f t="shared" si="18"/>
        <v>69199.020713798513</v>
      </c>
      <c r="N154" s="47">
        <v>0</v>
      </c>
      <c r="O154" s="17">
        <v>-3.1600000000000003E-2</v>
      </c>
      <c r="P154" s="38">
        <f t="shared" si="15"/>
        <v>0.12321234816436871</v>
      </c>
      <c r="Q154" s="31">
        <f t="shared" si="19"/>
        <v>37023.948672652237</v>
      </c>
      <c r="R154" s="47">
        <v>0</v>
      </c>
      <c r="S154" s="27">
        <v>-3.5099999999999999E-2</v>
      </c>
      <c r="T154" s="38">
        <f t="shared" si="16"/>
        <v>4.377499609828818E-2</v>
      </c>
      <c r="U154" s="31">
        <f t="shared" si="20"/>
        <v>13153.902452426955</v>
      </c>
      <c r="V154" s="47">
        <v>0</v>
      </c>
      <c r="W154" s="37">
        <f t="shared" si="21"/>
        <v>300488.94631292357</v>
      </c>
      <c r="X154" s="40">
        <f t="shared" si="22"/>
        <v>-1.5500148963813465E-2</v>
      </c>
      <c r="Y154" s="1"/>
      <c r="Z154" s="1"/>
      <c r="AA154" s="1"/>
      <c r="AB154" s="1"/>
      <c r="AC154" s="1"/>
      <c r="AD154" s="1"/>
      <c r="AE154" s="1"/>
      <c r="AP154"/>
      <c r="AQ154"/>
      <c r="AR154"/>
      <c r="AS154"/>
      <c r="AT154"/>
      <c r="AU154"/>
      <c r="AV154"/>
      <c r="AW154"/>
    </row>
    <row r="155" spans="1:49" x14ac:dyDescent="0.35">
      <c r="A155" s="106" cm="1">
        <f t="array" ref="A155">SUM(G149:G154+K149:K154+O149:O154)</f>
        <v>-0.33310000000000001</v>
      </c>
      <c r="B155" s="11" t="s">
        <v>149</v>
      </c>
      <c r="C155" s="15">
        <v>-3.7400000000000003E-2</v>
      </c>
      <c r="D155" s="38">
        <f t="shared" si="12"/>
        <v>0.3598822534996523</v>
      </c>
      <c r="E155" s="32">
        <f t="shared" si="23"/>
        <v>108789.35977526926</v>
      </c>
      <c r="F155" s="49">
        <v>15024.45</v>
      </c>
      <c r="G155" s="20">
        <v>3.9899999999999998E-2</v>
      </c>
      <c r="H155" s="38">
        <f t="shared" si="13"/>
        <v>0.26871042430031655</v>
      </c>
      <c r="I155" s="32">
        <f t="shared" si="17"/>
        <v>81228.887338287808</v>
      </c>
      <c r="J155" s="48">
        <v>-5008.1499999999996</v>
      </c>
      <c r="K155" s="19">
        <v>4.7199999999999999E-2</v>
      </c>
      <c r="L155" s="38">
        <f t="shared" si="14"/>
        <v>0.22237036583642916</v>
      </c>
      <c r="M155" s="32">
        <f t="shared" si="18"/>
        <v>67220.679811489812</v>
      </c>
      <c r="N155" s="48">
        <v>-5008.1499999999996</v>
      </c>
      <c r="O155" s="17">
        <v>-1.3599999999999999E-2</v>
      </c>
      <c r="P155" s="38">
        <f t="shared" si="15"/>
        <v>0.1044699565808436</v>
      </c>
      <c r="Q155" s="31">
        <f t="shared" si="19"/>
        <v>31580.383810704167</v>
      </c>
      <c r="R155" s="48">
        <v>-5008.1499999999996</v>
      </c>
      <c r="S155" s="26">
        <v>2.4199999999999999E-2</v>
      </c>
      <c r="T155" s="38">
        <f t="shared" si="16"/>
        <v>4.4566999782758403E-2</v>
      </c>
      <c r="U155" s="31">
        <f t="shared" si="20"/>
        <v>13472.226891775688</v>
      </c>
      <c r="V155" s="47">
        <v>0</v>
      </c>
      <c r="W155" s="37">
        <f t="shared" si="21"/>
        <v>302291.53762752673</v>
      </c>
      <c r="X155" s="40">
        <f t="shared" si="22"/>
        <v>5.9988606460283922E-3</v>
      </c>
      <c r="Y155" s="1"/>
      <c r="Z155" s="1"/>
      <c r="AA155" s="1"/>
      <c r="AB155" s="1"/>
      <c r="AC155" s="1"/>
      <c r="AD155" s="1"/>
      <c r="AE155" s="1"/>
      <c r="AP155"/>
      <c r="AQ155"/>
      <c r="AR155"/>
      <c r="AS155"/>
      <c r="AT155"/>
      <c r="AU155"/>
      <c r="AV155"/>
      <c r="AW155"/>
    </row>
    <row r="156" spans="1:49" x14ac:dyDescent="0.35">
      <c r="A156" s="106" cm="1">
        <f t="array" ref="A156">SUM(G150:G155+K150:K155+O150:O155)</f>
        <v>-0.26629999999999998</v>
      </c>
      <c r="B156" s="10" t="s">
        <v>150</v>
      </c>
      <c r="C156" s="15">
        <v>-1.4500000000000001E-2</v>
      </c>
      <c r="D156" s="38">
        <f t="shared" si="12"/>
        <v>0.42894027724156342</v>
      </c>
      <c r="E156" s="32">
        <f t="shared" si="23"/>
        <v>122107.33264852785</v>
      </c>
      <c r="F156" s="49">
        <v>15114.58</v>
      </c>
      <c r="G156" s="15">
        <v>-9.3200000000000005E-2</v>
      </c>
      <c r="H156" s="38">
        <f t="shared" si="13"/>
        <v>0.24269931111322063</v>
      </c>
      <c r="I156" s="32">
        <f t="shared" si="17"/>
        <v>69089.724346359377</v>
      </c>
      <c r="J156" s="48">
        <v>-5038.1899999999996</v>
      </c>
      <c r="K156" s="17">
        <v>-9.4200000000000006E-2</v>
      </c>
      <c r="L156" s="38">
        <f t="shared" si="14"/>
        <v>0.19785886224010724</v>
      </c>
      <c r="M156" s="32">
        <f t="shared" si="18"/>
        <v>56324.899271247472</v>
      </c>
      <c r="N156" s="48">
        <v>-5038.1899999999996</v>
      </c>
      <c r="O156" s="17">
        <v>-6.0100000000000001E-2</v>
      </c>
      <c r="P156" s="38">
        <f t="shared" si="15"/>
        <v>8.7634184448699637E-2</v>
      </c>
      <c r="Q156" s="31">
        <f t="shared" si="19"/>
        <v>24947.007962680847</v>
      </c>
      <c r="R156" s="48">
        <v>-5038.1899999999996</v>
      </c>
      <c r="S156" s="27">
        <v>-9.4200000000000006E-2</v>
      </c>
      <c r="T156" s="38">
        <f t="shared" si="16"/>
        <v>4.2867364956408936E-2</v>
      </c>
      <c r="U156" s="31">
        <f t="shared" si="20"/>
        <v>12203.143118570419</v>
      </c>
      <c r="V156" s="47">
        <v>0</v>
      </c>
      <c r="W156" s="37">
        <f t="shared" si="21"/>
        <v>284672.10734738602</v>
      </c>
      <c r="X156" s="40">
        <f t="shared" si="22"/>
        <v>-5.8286217399346363E-2</v>
      </c>
      <c r="Y156" s="1"/>
      <c r="Z156" s="1"/>
      <c r="AA156" s="1"/>
      <c r="AB156" s="1"/>
      <c r="AC156" s="1"/>
      <c r="AD156" s="1"/>
      <c r="AE156" s="1"/>
      <c r="AP156"/>
      <c r="AQ156"/>
      <c r="AR156"/>
      <c r="AS156"/>
      <c r="AT156"/>
      <c r="AU156"/>
      <c r="AV156"/>
      <c r="AW156"/>
    </row>
    <row r="157" spans="1:49" x14ac:dyDescent="0.35">
      <c r="A157" s="106" cm="1">
        <f t="array" ref="A157">SUM(G151:G156+K151:K156+O151:O156)</f>
        <v>-0.47469999999999996</v>
      </c>
      <c r="B157" s="11" t="s">
        <v>151</v>
      </c>
      <c r="C157" s="20">
        <v>3.5900000000000001E-2</v>
      </c>
      <c r="D157" s="38">
        <f t="shared" si="12"/>
        <v>0.44586789791629666</v>
      </c>
      <c r="E157" s="32">
        <f t="shared" si="23"/>
        <v>132701.33069860999</v>
      </c>
      <c r="F157" s="49">
        <v>5995.12</v>
      </c>
      <c r="G157" s="20">
        <v>4.9700000000000001E-2</v>
      </c>
      <c r="H157" s="38">
        <f t="shared" si="13"/>
        <v>0.22238905584400465</v>
      </c>
      <c r="I157" s="32">
        <f t="shared" si="17"/>
        <v>66188.491661373439</v>
      </c>
      <c r="J157" s="48">
        <v>-6035.05</v>
      </c>
      <c r="K157" s="19">
        <v>6.7299999999999999E-2</v>
      </c>
      <c r="L157" s="38">
        <f t="shared" si="14"/>
        <v>0.18034236893072181</v>
      </c>
      <c r="M157" s="32">
        <f t="shared" si="18"/>
        <v>53674.356127202424</v>
      </c>
      <c r="N157" s="48">
        <v>-6035.05</v>
      </c>
      <c r="O157" s="19">
        <v>6.8000000000000005E-2</v>
      </c>
      <c r="P157" s="38">
        <f t="shared" si="15"/>
        <v>8.1756554738850323E-2</v>
      </c>
      <c r="Q157" s="31">
        <f t="shared" si="19"/>
        <v>24332.775824143144</v>
      </c>
      <c r="R157" s="48">
        <v>-2163.5100000000002</v>
      </c>
      <c r="S157" s="26">
        <v>1.4E-2</v>
      </c>
      <c r="T157" s="38">
        <f t="shared" si="16"/>
        <v>6.9644122570126532E-2</v>
      </c>
      <c r="U157" s="31">
        <f t="shared" si="20"/>
        <v>20727.815982230404</v>
      </c>
      <c r="V157" s="49">
        <v>8238.49</v>
      </c>
      <c r="W157" s="37">
        <f t="shared" si="21"/>
        <v>297624.77029355941</v>
      </c>
      <c r="X157" s="40">
        <f t="shared" si="22"/>
        <v>4.5500288268029099E-2</v>
      </c>
      <c r="Y157" s="1"/>
      <c r="Z157" s="1"/>
      <c r="AA157" s="1"/>
      <c r="AB157" s="1"/>
      <c r="AC157" s="1"/>
      <c r="AD157" s="1"/>
      <c r="AE157" s="1"/>
      <c r="AP157"/>
      <c r="AQ157"/>
      <c r="AR157"/>
      <c r="AS157"/>
      <c r="AT157"/>
      <c r="AU157"/>
      <c r="AV157"/>
      <c r="AW157"/>
    </row>
    <row r="158" spans="1:49" x14ac:dyDescent="0.35">
      <c r="A158" s="105" cm="1">
        <f t="array" ref="A158">SUM(G152:G157+K152:K157+O152:O157)</f>
        <v>-0.18259999999999998</v>
      </c>
      <c r="B158" s="10" t="s">
        <v>152</v>
      </c>
      <c r="C158" s="15">
        <v>-4.3200000000000002E-2</v>
      </c>
      <c r="D158" s="38">
        <f t="shared" ref="D158:D221" si="24">E158/W158</f>
        <v>0.43649124860928484</v>
      </c>
      <c r="E158" s="32">
        <f t="shared" si="23"/>
        <v>126968.63321243004</v>
      </c>
      <c r="F158" s="47">
        <v>0</v>
      </c>
      <c r="G158" s="15">
        <v>-1.3899999999999999E-2</v>
      </c>
      <c r="H158" s="38">
        <f t="shared" ref="H158:H221" si="25">I158/W158</f>
        <v>0.22437917109611163</v>
      </c>
      <c r="I158" s="32">
        <f t="shared" si="17"/>
        <v>65268.471627280349</v>
      </c>
      <c r="J158" s="47">
        <v>0</v>
      </c>
      <c r="K158" s="19">
        <v>5.0000000000000001E-3</v>
      </c>
      <c r="L158" s="38">
        <f t="shared" ref="L158:L221" si="26">M158/W158</f>
        <v>0.18544366480254623</v>
      </c>
      <c r="M158" s="32">
        <f t="shared" si="18"/>
        <v>53942.727907838438</v>
      </c>
      <c r="N158" s="47">
        <v>0</v>
      </c>
      <c r="O158" s="17">
        <v>-3.8E-3</v>
      </c>
      <c r="P158" s="38">
        <f t="shared" ref="P158:P221" si="27">Q158/W158</f>
        <v>8.3333052170779048E-2</v>
      </c>
      <c r="Q158" s="31">
        <f t="shared" si="19"/>
        <v>24240.311276011398</v>
      </c>
      <c r="R158" s="47">
        <v>0</v>
      </c>
      <c r="S158" s="27">
        <v>-1.2699999999999999E-2</v>
      </c>
      <c r="T158" s="38">
        <f t="shared" si="16"/>
        <v>7.0352863321278186E-2</v>
      </c>
      <c r="U158" s="31">
        <f t="shared" si="20"/>
        <v>20464.572719256077</v>
      </c>
      <c r="V158" s="47">
        <v>0</v>
      </c>
      <c r="W158" s="37">
        <f t="shared" si="21"/>
        <v>290884.71674281632</v>
      </c>
      <c r="X158" s="40">
        <f t="shared" si="22"/>
        <v>-2.2646144486210273E-2</v>
      </c>
      <c r="Y158" s="1"/>
      <c r="Z158" s="1"/>
      <c r="AA158" s="1"/>
      <c r="AB158" s="1"/>
      <c r="AC158" s="1"/>
      <c r="AD158" s="1"/>
      <c r="AE158" s="1"/>
      <c r="AP158"/>
      <c r="AQ158"/>
      <c r="AR158"/>
      <c r="AS158"/>
      <c r="AT158"/>
      <c r="AU158"/>
      <c r="AV158"/>
      <c r="AW158"/>
    </row>
    <row r="159" spans="1:49" x14ac:dyDescent="0.35">
      <c r="A159" s="105" cm="1">
        <f t="array" ref="A159">SUM(G153:G158+K153:K158+O153:O158)</f>
        <v>-0.12869999999999998</v>
      </c>
      <c r="B159" s="11" t="s">
        <v>153</v>
      </c>
      <c r="C159" s="20">
        <v>1.1599999999999999E-2</v>
      </c>
      <c r="D159" s="38">
        <f t="shared" si="24"/>
        <v>0.4363336132507567</v>
      </c>
      <c r="E159" s="32">
        <f t="shared" si="23"/>
        <v>128441.46935769422</v>
      </c>
      <c r="F159" s="47">
        <v>0</v>
      </c>
      <c r="G159" s="20">
        <v>5.1000000000000004E-3</v>
      </c>
      <c r="H159" s="38">
        <f t="shared" si="25"/>
        <v>0.22285691858490947</v>
      </c>
      <c r="I159" s="32">
        <f t="shared" si="17"/>
        <v>65601.340832579473</v>
      </c>
      <c r="J159" s="47">
        <v>0</v>
      </c>
      <c r="K159" s="19">
        <v>1.43E-2</v>
      </c>
      <c r="L159" s="38">
        <f t="shared" si="26"/>
        <v>0.18587147094238102</v>
      </c>
      <c r="M159" s="32">
        <f t="shared" si="18"/>
        <v>54714.10891692053</v>
      </c>
      <c r="N159" s="47">
        <v>0</v>
      </c>
      <c r="O159" s="19">
        <v>3.1699999999999999E-2</v>
      </c>
      <c r="P159" s="38">
        <f t="shared" si="27"/>
        <v>8.4958146341247334E-2</v>
      </c>
      <c r="Q159" s="31">
        <f t="shared" si="19"/>
        <v>25008.729143460958</v>
      </c>
      <c r="R159" s="47">
        <v>0</v>
      </c>
      <c r="S159" s="26">
        <v>6.6E-3</v>
      </c>
      <c r="T159" s="38">
        <f t="shared" ref="T159:T222" si="28">U159/W159</f>
        <v>6.9979850880705602E-2</v>
      </c>
      <c r="U159" s="31">
        <f t="shared" si="20"/>
        <v>20599.638899203168</v>
      </c>
      <c r="V159" s="47">
        <v>0</v>
      </c>
      <c r="W159" s="37">
        <f t="shared" si="21"/>
        <v>294365.28714985831</v>
      </c>
      <c r="X159" s="40">
        <f t="shared" si="22"/>
        <v>1.1965463314868252E-2</v>
      </c>
      <c r="Y159" s="1"/>
      <c r="Z159" s="1"/>
      <c r="AA159" s="1"/>
      <c r="AB159" s="1"/>
      <c r="AC159" s="1"/>
      <c r="AD159" s="1"/>
      <c r="AE159" s="1"/>
      <c r="AP159"/>
      <c r="AQ159"/>
      <c r="AR159"/>
      <c r="AS159"/>
      <c r="AT159"/>
      <c r="AU159"/>
      <c r="AV159"/>
      <c r="AW159"/>
    </row>
    <row r="160" spans="1:49" x14ac:dyDescent="0.35">
      <c r="A160" s="105" cm="1">
        <f t="array" ref="A160">SUM(G154:G159+K154:K159+O154:O159)</f>
        <v>-3.4500000000000024E-2</v>
      </c>
      <c r="B160" s="10" t="s">
        <v>154</v>
      </c>
      <c r="C160" s="15">
        <v>-4.6600000000000003E-2</v>
      </c>
      <c r="D160" s="38">
        <f t="shared" si="24"/>
        <v>0.43496234279593737</v>
      </c>
      <c r="E160" s="32">
        <f t="shared" si="23"/>
        <v>122456.09688562567</v>
      </c>
      <c r="F160" s="47">
        <v>0</v>
      </c>
      <c r="G160" s="15">
        <v>-3.6700000000000003E-2</v>
      </c>
      <c r="H160" s="38">
        <f t="shared" si="25"/>
        <v>0.2244633926342571</v>
      </c>
      <c r="I160" s="32">
        <f t="shared" ref="I160:I223" si="29">((I159+J160)*G160)+I159+J160</f>
        <v>63193.771624023808</v>
      </c>
      <c r="J160" s="47">
        <v>0</v>
      </c>
      <c r="K160" s="17">
        <v>-6.2799999999999995E-2</v>
      </c>
      <c r="L160" s="38">
        <f t="shared" si="26"/>
        <v>0.1821389618829867</v>
      </c>
      <c r="M160" s="32">
        <f t="shared" ref="M160:M223" si="30">((M159+N160)*K160)+M159+N160</f>
        <v>51278.062876937918</v>
      </c>
      <c r="N160" s="47">
        <v>0</v>
      </c>
      <c r="O160" s="17">
        <v>-2.58E-2</v>
      </c>
      <c r="P160" s="38">
        <f t="shared" si="27"/>
        <v>8.6538825083466803E-2</v>
      </c>
      <c r="Q160" s="31">
        <f t="shared" ref="Q160:Q223" si="31">((Q159+R160)*O160)+Q159+R160</f>
        <v>24363.503931559666</v>
      </c>
      <c r="R160" s="47">
        <v>0</v>
      </c>
      <c r="S160" s="27">
        <v>-1.7399999999999999E-2</v>
      </c>
      <c r="T160" s="38">
        <f t="shared" si="28"/>
        <v>7.1896477603351952E-2</v>
      </c>
      <c r="U160" s="31">
        <f t="shared" ref="U160:U223" si="32">((U159+V160)*S160)+U159+V160</f>
        <v>20241.205182357033</v>
      </c>
      <c r="V160" s="47">
        <v>0</v>
      </c>
      <c r="W160" s="37">
        <f t="shared" ref="W160:W223" si="33">Q160+M160+I160+E160+U160</f>
        <v>281532.64050050412</v>
      </c>
      <c r="X160" s="40">
        <f t="shared" ref="X160:X223" si="34">W160/W159-1</f>
        <v>-4.359429324566122E-2</v>
      </c>
      <c r="Y160" s="1"/>
      <c r="Z160" s="1"/>
      <c r="AA160" s="1"/>
      <c r="AB160" s="1"/>
      <c r="AC160" s="1"/>
      <c r="AD160" s="1"/>
      <c r="AE160" s="1"/>
      <c r="AP160"/>
      <c r="AQ160"/>
      <c r="AR160"/>
      <c r="AS160"/>
      <c r="AT160"/>
      <c r="AU160"/>
      <c r="AV160"/>
      <c r="AW160"/>
    </row>
    <row r="161" spans="1:49" x14ac:dyDescent="0.35">
      <c r="A161" s="105" cm="1">
        <f t="array" ref="A161">SUM(G155:G160+K155:K160+O155:O160)</f>
        <v>-7.5899999999999981E-2</v>
      </c>
      <c r="B161" s="11" t="s">
        <v>155</v>
      </c>
      <c r="C161" s="15">
        <v>-2.4799999999999999E-2</v>
      </c>
      <c r="D161" s="38">
        <f t="shared" si="24"/>
        <v>0.40418594945243791</v>
      </c>
      <c r="E161" s="32">
        <f t="shared" ref="E161:E224" si="35">((E160+F161)*C161)+E160+F161</f>
        <v>119419.18568286215</v>
      </c>
      <c r="F161" s="47">
        <v>0</v>
      </c>
      <c r="G161" s="20">
        <v>9.7900000000000001E-2</v>
      </c>
      <c r="H161" s="38">
        <f t="shared" si="25"/>
        <v>0.23482491199962721</v>
      </c>
      <c r="I161" s="32">
        <f t="shared" si="29"/>
        <v>69380.441866015739</v>
      </c>
      <c r="J161" s="47">
        <v>0</v>
      </c>
      <c r="K161" s="19">
        <v>0.17899999999999999</v>
      </c>
      <c r="L161" s="38">
        <f t="shared" si="26"/>
        <v>0.2046220929504563</v>
      </c>
      <c r="M161" s="32">
        <f t="shared" si="30"/>
        <v>60456.836131909804</v>
      </c>
      <c r="N161" s="47">
        <v>0</v>
      </c>
      <c r="O161" s="19">
        <v>1.47E-2</v>
      </c>
      <c r="P161" s="38">
        <f t="shared" si="27"/>
        <v>8.3672841052855509E-2</v>
      </c>
      <c r="Q161" s="31">
        <f t="shared" si="31"/>
        <v>24721.647439353594</v>
      </c>
      <c r="R161" s="47">
        <v>0</v>
      </c>
      <c r="S161" s="26">
        <v>6.1100000000000002E-2</v>
      </c>
      <c r="T161" s="38">
        <f t="shared" si="28"/>
        <v>7.2694204544623039E-2</v>
      </c>
      <c r="U161" s="31">
        <f t="shared" si="32"/>
        <v>21477.942818999047</v>
      </c>
      <c r="V161" s="47">
        <v>0</v>
      </c>
      <c r="W161" s="37">
        <f t="shared" si="33"/>
        <v>295456.05393914034</v>
      </c>
      <c r="X161" s="40">
        <f t="shared" si="34"/>
        <v>4.9455769724900955E-2</v>
      </c>
      <c r="Y161" s="1"/>
      <c r="Z161" s="1"/>
      <c r="AA161" s="1"/>
      <c r="AB161" s="1"/>
      <c r="AC161" s="1"/>
      <c r="AD161" s="1"/>
      <c r="AE161" s="1"/>
      <c r="AP161"/>
      <c r="AQ161"/>
      <c r="AR161"/>
      <c r="AS161"/>
      <c r="AT161"/>
      <c r="AU161"/>
      <c r="AV161"/>
      <c r="AW161"/>
    </row>
    <row r="162" spans="1:49" x14ac:dyDescent="0.35">
      <c r="A162" s="105" cm="1">
        <f t="array" ref="A162">SUM(G156:G161+K156:K161+O156:O161)</f>
        <v>0.14219999999999997</v>
      </c>
      <c r="B162" s="10" t="s">
        <v>156</v>
      </c>
      <c r="C162" s="15">
        <v>-6.0600000000000001E-2</v>
      </c>
      <c r="D162" s="38">
        <f t="shared" si="24"/>
        <v>0.39634296910049627</v>
      </c>
      <c r="E162" s="32">
        <f t="shared" si="35"/>
        <v>112182.38303048071</v>
      </c>
      <c r="F162" s="47">
        <v>0</v>
      </c>
      <c r="G162" s="15">
        <v>-2.5000000000000001E-2</v>
      </c>
      <c r="H162" s="38">
        <f t="shared" si="25"/>
        <v>0.23899464732559034</v>
      </c>
      <c r="I162" s="32">
        <f t="shared" si="29"/>
        <v>67645.930819365341</v>
      </c>
      <c r="J162" s="47">
        <v>0</v>
      </c>
      <c r="K162" s="17">
        <v>-1.89E-2</v>
      </c>
      <c r="L162" s="38">
        <f t="shared" si="26"/>
        <v>0.20955845532346531</v>
      </c>
      <c r="M162" s="32">
        <f t="shared" si="30"/>
        <v>59314.201929016708</v>
      </c>
      <c r="N162" s="47">
        <v>0</v>
      </c>
      <c r="O162" s="17">
        <v>-5.57E-2</v>
      </c>
      <c r="P162" s="38">
        <f t="shared" si="27"/>
        <v>8.24771974736693E-2</v>
      </c>
      <c r="Q162" s="31">
        <f t="shared" si="31"/>
        <v>23344.651676981597</v>
      </c>
      <c r="R162" s="47">
        <v>0</v>
      </c>
      <c r="S162" s="27">
        <v>-4.2900000000000001E-2</v>
      </c>
      <c r="T162" s="38">
        <f t="shared" si="28"/>
        <v>7.2626730776778808E-2</v>
      </c>
      <c r="U162" s="31">
        <f t="shared" si="32"/>
        <v>20556.539072063988</v>
      </c>
      <c r="V162" s="47">
        <v>0</v>
      </c>
      <c r="W162" s="37">
        <f t="shared" si="33"/>
        <v>283043.70652790833</v>
      </c>
      <c r="X162" s="40">
        <f t="shared" si="34"/>
        <v>-4.2010807515180493E-2</v>
      </c>
      <c r="Y162" s="1"/>
      <c r="Z162" s="1"/>
      <c r="AA162" s="1"/>
      <c r="AB162" s="1"/>
      <c r="AC162" s="1"/>
      <c r="AD162" s="1"/>
      <c r="AE162" s="1"/>
      <c r="AP162"/>
      <c r="AQ162"/>
      <c r="AR162"/>
      <c r="AS162"/>
      <c r="AT162"/>
      <c r="AU162"/>
      <c r="AV162"/>
      <c r="AW162"/>
    </row>
    <row r="163" spans="1:49" x14ac:dyDescent="0.35">
      <c r="A163" s="106" cm="1">
        <f t="array" ref="A163">SUM(G157:G162+K157:K162+O157:O162)</f>
        <v>0.29010000000000002</v>
      </c>
      <c r="B163" s="9" t="s">
        <v>157</v>
      </c>
      <c r="C163" s="20">
        <v>1.04E-2</v>
      </c>
      <c r="D163" s="38">
        <f t="shared" si="24"/>
        <v>0.40441629588556272</v>
      </c>
      <c r="E163" s="32">
        <f t="shared" si="35"/>
        <v>113349.0798139977</v>
      </c>
      <c r="F163" s="47">
        <v>0</v>
      </c>
      <c r="G163" s="15">
        <v>-2.24E-2</v>
      </c>
      <c r="H163" s="38">
        <f t="shared" si="25"/>
        <v>0.23594648851013611</v>
      </c>
      <c r="I163" s="32">
        <f t="shared" si="29"/>
        <v>66130.661969011562</v>
      </c>
      <c r="J163" s="47">
        <v>0</v>
      </c>
      <c r="K163" s="17">
        <v>-3.6799999999999999E-2</v>
      </c>
      <c r="L163" s="38">
        <f t="shared" si="26"/>
        <v>0.20383831167781963</v>
      </c>
      <c r="M163" s="32">
        <f t="shared" si="30"/>
        <v>57131.43929802889</v>
      </c>
      <c r="N163" s="47">
        <v>0</v>
      </c>
      <c r="O163" s="19">
        <v>2.4400000000000002E-2</v>
      </c>
      <c r="P163" s="38">
        <f t="shared" si="27"/>
        <v>8.5323294554102605E-2</v>
      </c>
      <c r="Q163" s="31">
        <f t="shared" si="31"/>
        <v>23914.261177899949</v>
      </c>
      <c r="R163" s="47">
        <v>0</v>
      </c>
      <c r="S163" s="27">
        <v>-3.9100000000000003E-2</v>
      </c>
      <c r="T163" s="38">
        <f t="shared" si="28"/>
        <v>7.0475609372378872E-2</v>
      </c>
      <c r="U163" s="31">
        <f t="shared" si="32"/>
        <v>19752.778394346285</v>
      </c>
      <c r="V163" s="47">
        <v>0</v>
      </c>
      <c r="W163" s="37">
        <f t="shared" si="33"/>
        <v>280278.2206532844</v>
      </c>
      <c r="X163" s="40">
        <f t="shared" si="34"/>
        <v>-9.7705259323660476E-3</v>
      </c>
      <c r="Y163" s="1"/>
      <c r="Z163" s="1"/>
      <c r="AA163" s="1"/>
      <c r="AB163" s="1"/>
      <c r="AC163" s="1"/>
      <c r="AD163" s="1"/>
      <c r="AE163" s="1"/>
      <c r="AP163"/>
      <c r="AQ163"/>
      <c r="AR163"/>
      <c r="AS163"/>
      <c r="AT163"/>
      <c r="AU163"/>
      <c r="AV163"/>
      <c r="AW163"/>
    </row>
    <row r="164" spans="1:49" x14ac:dyDescent="0.35">
      <c r="A164" s="105" cm="1">
        <f t="array" ref="A164">SUM(G158:G163+K158:K163+O158:O163)</f>
        <v>7.0300000000000001E-2</v>
      </c>
      <c r="B164" s="10" t="s">
        <v>158</v>
      </c>
      <c r="C164" s="20">
        <v>2.5600000000000001E-2</v>
      </c>
      <c r="D164" s="38">
        <f t="shared" si="24"/>
        <v>0.3560319916979735</v>
      </c>
      <c r="E164" s="32">
        <f t="shared" si="35"/>
        <v>101878.15016123603</v>
      </c>
      <c r="F164" s="48">
        <v>-14013.91</v>
      </c>
      <c r="G164" s="20">
        <v>3.1600000000000003E-2</v>
      </c>
      <c r="H164" s="38">
        <f t="shared" si="25"/>
        <v>0.25524932306419029</v>
      </c>
      <c r="I164" s="32">
        <f t="shared" si="29"/>
        <v>73039.303967232336</v>
      </c>
      <c r="J164" s="49">
        <v>4671.3</v>
      </c>
      <c r="K164" s="19">
        <v>1.38E-2</v>
      </c>
      <c r="L164" s="38">
        <f t="shared" si="26"/>
        <v>0.21896161357460614</v>
      </c>
      <c r="M164" s="32">
        <f t="shared" si="30"/>
        <v>62655.617100341689</v>
      </c>
      <c r="N164" s="49">
        <v>4671.3</v>
      </c>
      <c r="O164" s="19">
        <v>1.1900000000000001E-2</v>
      </c>
      <c r="P164" s="38">
        <f t="shared" si="27"/>
        <v>0.10108629787255563</v>
      </c>
      <c r="Q164" s="31">
        <f t="shared" si="31"/>
        <v>28925.729355916959</v>
      </c>
      <c r="R164" s="49">
        <v>4671.3</v>
      </c>
      <c r="S164" s="27">
        <v>-5.1999999999999998E-3</v>
      </c>
      <c r="T164" s="38">
        <f t="shared" si="28"/>
        <v>6.8670773790674489E-2</v>
      </c>
      <c r="U164" s="31">
        <f t="shared" si="32"/>
        <v>19650.063946695685</v>
      </c>
      <c r="V164" s="47">
        <v>0</v>
      </c>
      <c r="W164" s="37">
        <f t="shared" si="33"/>
        <v>286148.86453142267</v>
      </c>
      <c r="X164" s="40">
        <f t="shared" si="34"/>
        <v>2.0945772612851465E-2</v>
      </c>
      <c r="Y164" s="1"/>
      <c r="Z164" s="1"/>
      <c r="AA164" s="1"/>
      <c r="AB164" s="1"/>
      <c r="AC164" s="1"/>
      <c r="AD164" s="1"/>
      <c r="AE164" s="1"/>
      <c r="AP164"/>
      <c r="AQ164"/>
      <c r="AR164"/>
      <c r="AS164"/>
      <c r="AT164"/>
      <c r="AU164"/>
      <c r="AV164"/>
      <c r="AW164"/>
    </row>
    <row r="165" spans="1:49" x14ac:dyDescent="0.35">
      <c r="A165" s="105" cm="1">
        <f t="array" ref="A165">SUM(G159:G164+K159:K164+O159:O164)</f>
        <v>0.14029999999999998</v>
      </c>
      <c r="B165" s="11" t="s">
        <v>159</v>
      </c>
      <c r="C165" s="20">
        <v>1.43E-2</v>
      </c>
      <c r="D165" s="38">
        <f t="shared" si="24"/>
        <v>0.35506590462879828</v>
      </c>
      <c r="E165" s="32">
        <f t="shared" si="35"/>
        <v>103335.0077085417</v>
      </c>
      <c r="F165" s="47">
        <v>0</v>
      </c>
      <c r="G165" s="20">
        <v>1.34E-2</v>
      </c>
      <c r="H165" s="38">
        <f t="shared" si="25"/>
        <v>0.25433083706056492</v>
      </c>
      <c r="I165" s="32">
        <f t="shared" si="29"/>
        <v>74018.030640393248</v>
      </c>
      <c r="J165" s="47">
        <v>0</v>
      </c>
      <c r="K165" s="19">
        <v>1.12E-2</v>
      </c>
      <c r="L165" s="38">
        <f t="shared" si="26"/>
        <v>0.21770006937973985</v>
      </c>
      <c r="M165" s="32">
        <f t="shared" si="30"/>
        <v>63357.360011865516</v>
      </c>
      <c r="N165" s="47">
        <v>0</v>
      </c>
      <c r="O165" s="19">
        <v>5.1200000000000002E-2</v>
      </c>
      <c r="P165" s="38">
        <f t="shared" si="27"/>
        <v>0.10447951920235159</v>
      </c>
      <c r="Q165" s="31">
        <f t="shared" si="31"/>
        <v>30406.726698939907</v>
      </c>
      <c r="R165" s="47">
        <v>0</v>
      </c>
      <c r="S165" s="26">
        <v>1.34E-2</v>
      </c>
      <c r="T165" s="38">
        <f t="shared" si="28"/>
        <v>6.8423669728545397E-2</v>
      </c>
      <c r="U165" s="31">
        <f t="shared" si="32"/>
        <v>19913.374803581406</v>
      </c>
      <c r="V165" s="47">
        <v>0</v>
      </c>
      <c r="W165" s="37">
        <f t="shared" si="33"/>
        <v>291030.49986332178</v>
      </c>
      <c r="X165" s="40">
        <f t="shared" si="34"/>
        <v>1.7059775302246782E-2</v>
      </c>
      <c r="Y165" s="1"/>
      <c r="Z165" s="1"/>
      <c r="AA165" s="1"/>
      <c r="AB165" s="1"/>
      <c r="AC165" s="1"/>
      <c r="AD165" s="1"/>
      <c r="AE165" s="1"/>
      <c r="AP165"/>
      <c r="AQ165"/>
      <c r="AR165"/>
      <c r="AS165"/>
      <c r="AT165"/>
      <c r="AU165"/>
      <c r="AV165"/>
      <c r="AW165"/>
    </row>
    <row r="166" spans="1:49" x14ac:dyDescent="0.35">
      <c r="A166" s="105" cm="1">
        <f t="array" ref="A166">SUM(G160:G165+K160:K165+O160:O165)</f>
        <v>0.16499999999999998</v>
      </c>
      <c r="B166" s="10" t="s">
        <v>160</v>
      </c>
      <c r="C166" s="20">
        <v>2.52E-2</v>
      </c>
      <c r="D166" s="38">
        <f t="shared" si="24"/>
        <v>0.35621253039047129</v>
      </c>
      <c r="E166" s="32">
        <f t="shared" si="35"/>
        <v>105939.04990279695</v>
      </c>
      <c r="F166" s="47">
        <v>0</v>
      </c>
      <c r="G166" s="20">
        <v>1.89E-2</v>
      </c>
      <c r="H166" s="38">
        <f t="shared" si="25"/>
        <v>0.25358420949002208</v>
      </c>
      <c r="I166" s="32">
        <f t="shared" si="29"/>
        <v>75416.97141949668</v>
      </c>
      <c r="J166" s="47">
        <v>0</v>
      </c>
      <c r="K166" s="19">
        <v>2.1299999999999999E-2</v>
      </c>
      <c r="L166" s="38">
        <f t="shared" si="26"/>
        <v>0.21757226019674888</v>
      </c>
      <c r="M166" s="32">
        <f t="shared" si="30"/>
        <v>64706.87178011825</v>
      </c>
      <c r="N166" s="47">
        <v>0</v>
      </c>
      <c r="O166" s="19">
        <v>2.69E-2</v>
      </c>
      <c r="P166" s="38">
        <f t="shared" si="27"/>
        <v>0.10499072705857884</v>
      </c>
      <c r="Q166" s="31">
        <f t="shared" si="31"/>
        <v>31224.667647141388</v>
      </c>
      <c r="R166" s="47">
        <v>0</v>
      </c>
      <c r="S166" s="26">
        <v>1.0200000000000001E-2</v>
      </c>
      <c r="T166" s="38">
        <f t="shared" si="28"/>
        <v>6.7640272864178813E-2</v>
      </c>
      <c r="U166" s="31">
        <f t="shared" si="32"/>
        <v>20116.491226577935</v>
      </c>
      <c r="V166" s="47">
        <v>0</v>
      </c>
      <c r="W166" s="37">
        <f t="shared" si="33"/>
        <v>297404.05197613122</v>
      </c>
      <c r="X166" s="40">
        <f t="shared" si="34"/>
        <v>2.1899945592653403E-2</v>
      </c>
      <c r="Y166" s="1"/>
      <c r="Z166" s="1"/>
      <c r="AA166" s="1"/>
      <c r="AB166" s="1"/>
      <c r="AC166" s="1"/>
      <c r="AD166" s="1"/>
      <c r="AE166" s="1"/>
      <c r="AP166"/>
      <c r="AQ166"/>
      <c r="AR166"/>
      <c r="AS166"/>
      <c r="AT166"/>
      <c r="AU166"/>
      <c r="AV166"/>
      <c r="AW166"/>
    </row>
    <row r="167" spans="1:49" x14ac:dyDescent="0.35">
      <c r="A167" s="106" cm="1">
        <f t="array" ref="A167">SUM(G161:G166+K161:K166+O161:O166)</f>
        <v>0.3574</v>
      </c>
      <c r="B167" s="11" t="s">
        <v>161</v>
      </c>
      <c r="C167" s="20">
        <v>2.4E-2</v>
      </c>
      <c r="D167" s="38">
        <f t="shared" si="24"/>
        <v>0.35574613442188607</v>
      </c>
      <c r="E167" s="32">
        <f t="shared" si="35"/>
        <v>108481.58710046408</v>
      </c>
      <c r="F167" s="47">
        <v>0</v>
      </c>
      <c r="G167" s="20">
        <v>3.5400000000000001E-2</v>
      </c>
      <c r="H167" s="38">
        <f t="shared" si="25"/>
        <v>0.25607159588121564</v>
      </c>
      <c r="I167" s="32">
        <f t="shared" si="29"/>
        <v>78086.732207746856</v>
      </c>
      <c r="J167" s="47">
        <v>0</v>
      </c>
      <c r="K167" s="19">
        <v>3.3E-3</v>
      </c>
      <c r="L167" s="38">
        <f t="shared" si="26"/>
        <v>0.21289495801063657</v>
      </c>
      <c r="M167" s="32">
        <f t="shared" si="30"/>
        <v>64920.404456992641</v>
      </c>
      <c r="N167" s="47">
        <v>0</v>
      </c>
      <c r="O167" s="19">
        <v>5.2600000000000001E-2</v>
      </c>
      <c r="P167" s="38">
        <f t="shared" si="27"/>
        <v>0.10778177946890671</v>
      </c>
      <c r="Q167" s="31">
        <f t="shared" si="31"/>
        <v>32867.085165381024</v>
      </c>
      <c r="R167" s="47">
        <v>0</v>
      </c>
      <c r="S167" s="26">
        <v>2.3300000000000001E-2</v>
      </c>
      <c r="T167" s="38">
        <f t="shared" si="28"/>
        <v>6.7505532217355002E-2</v>
      </c>
      <c r="U167" s="31">
        <f t="shared" si="32"/>
        <v>20585.205472157202</v>
      </c>
      <c r="V167" s="47">
        <v>0</v>
      </c>
      <c r="W167" s="37">
        <f t="shared" si="33"/>
        <v>304941.0144027418</v>
      </c>
      <c r="X167" s="40">
        <f t="shared" si="34"/>
        <v>2.5342500804983903E-2</v>
      </c>
      <c r="Y167" s="1"/>
      <c r="Z167" s="1"/>
      <c r="AA167" s="1"/>
      <c r="AB167" s="1"/>
      <c r="AC167" s="1"/>
      <c r="AD167" s="1"/>
      <c r="AE167" s="1"/>
      <c r="AP167"/>
      <c r="AQ167"/>
      <c r="AR167"/>
      <c r="AS167"/>
      <c r="AT167"/>
      <c r="AU167"/>
      <c r="AV167"/>
      <c r="AW167"/>
    </row>
    <row r="168" spans="1:49" x14ac:dyDescent="0.35">
      <c r="A168" s="105" cm="1">
        <f t="array" ref="A168">SUM(G162:G167+K162:K167+O162:O167)</f>
        <v>0.15710000000000002</v>
      </c>
      <c r="B168" s="10" t="s">
        <v>162</v>
      </c>
      <c r="C168" s="15">
        <v>-7.3000000000000001E-3</v>
      </c>
      <c r="D168" s="38">
        <f t="shared" si="24"/>
        <v>0.2982663866439686</v>
      </c>
      <c r="E168" s="32">
        <f t="shared" si="35"/>
        <v>92553.924979630683</v>
      </c>
      <c r="F168" s="48">
        <v>-15247.05</v>
      </c>
      <c r="G168" s="20">
        <v>1.9300000000000001E-2</v>
      </c>
      <c r="H168" s="38">
        <f t="shared" si="25"/>
        <v>0.27319541434504496</v>
      </c>
      <c r="I168" s="32">
        <f t="shared" si="29"/>
        <v>84774.245494356379</v>
      </c>
      <c r="J168" s="49">
        <v>5082.3500000000004</v>
      </c>
      <c r="K168" s="19">
        <v>4.87E-2</v>
      </c>
      <c r="L168" s="38">
        <f t="shared" si="26"/>
        <v>0.23657882422562421</v>
      </c>
      <c r="M168" s="32">
        <f t="shared" si="30"/>
        <v>73411.888599048194</v>
      </c>
      <c r="N168" s="49">
        <v>5082.3500000000004</v>
      </c>
      <c r="O168" s="19">
        <v>1.9099999999999999E-2</v>
      </c>
      <c r="P168" s="38">
        <f t="shared" si="27"/>
        <v>0.12463258133810995</v>
      </c>
      <c r="Q168" s="31">
        <f t="shared" si="31"/>
        <v>38674.269377039804</v>
      </c>
      <c r="R168" s="49">
        <v>5082.3500000000004</v>
      </c>
      <c r="S168" s="26">
        <v>1.49E-2</v>
      </c>
      <c r="T168" s="38">
        <f t="shared" si="28"/>
        <v>6.732679344725237E-2</v>
      </c>
      <c r="U168" s="31">
        <f t="shared" si="32"/>
        <v>20891.925033692343</v>
      </c>
      <c r="V168" s="47">
        <v>0</v>
      </c>
      <c r="W168" s="37">
        <f t="shared" si="33"/>
        <v>310306.25348376739</v>
      </c>
      <c r="X168" s="40">
        <f t="shared" si="34"/>
        <v>1.7594350473103759E-2</v>
      </c>
      <c r="Y168" s="1"/>
      <c r="Z168" s="1"/>
      <c r="AA168" s="1"/>
      <c r="AB168" s="1"/>
      <c r="AC168" s="1"/>
      <c r="AD168" s="1"/>
      <c r="AE168" s="1"/>
      <c r="AP168"/>
      <c r="AQ168"/>
      <c r="AR168"/>
      <c r="AS168"/>
      <c r="AT168"/>
      <c r="AU168"/>
      <c r="AV168"/>
      <c r="AW168"/>
    </row>
    <row r="169" spans="1:49" x14ac:dyDescent="0.35">
      <c r="A169" s="106" cm="1">
        <f t="array" ref="A169">SUM(G163:G168+K163:K168+O163:O168)</f>
        <v>0.34379999999999999</v>
      </c>
      <c r="B169" s="11" t="s">
        <v>163</v>
      </c>
      <c r="C169" s="15">
        <v>-3.1099999999999999E-2</v>
      </c>
      <c r="D169" s="38">
        <f t="shared" si="24"/>
        <v>0.29888165120569266</v>
      </c>
      <c r="E169" s="32">
        <f t="shared" si="35"/>
        <v>89675.497912764171</v>
      </c>
      <c r="F169" s="47">
        <v>0</v>
      </c>
      <c r="G169" s="15">
        <v>-3.39E-2</v>
      </c>
      <c r="H169" s="38">
        <f t="shared" si="25"/>
        <v>0.27296783323629253</v>
      </c>
      <c r="I169" s="32">
        <f t="shared" si="29"/>
        <v>81900.398572097693</v>
      </c>
      <c r="J169" s="47">
        <v>0</v>
      </c>
      <c r="K169" s="17">
        <v>-4.82E-2</v>
      </c>
      <c r="L169" s="38">
        <f t="shared" si="26"/>
        <v>0.23288287530296989</v>
      </c>
      <c r="M169" s="32">
        <f t="shared" si="30"/>
        <v>69873.435568574074</v>
      </c>
      <c r="N169" s="47">
        <v>0</v>
      </c>
      <c r="O169" s="19">
        <v>3.0000000000000001E-3</v>
      </c>
      <c r="P169" s="38">
        <f t="shared" si="27"/>
        <v>0.12928510963310685</v>
      </c>
      <c r="Q169" s="31">
        <f t="shared" si="31"/>
        <v>38790.292185170925</v>
      </c>
      <c r="R169" s="47">
        <v>0</v>
      </c>
      <c r="S169" s="27">
        <v>-5.2400000000000002E-2</v>
      </c>
      <c r="T169" s="38">
        <f t="shared" si="28"/>
        <v>6.5982530621937929E-2</v>
      </c>
      <c r="U169" s="31">
        <f t="shared" si="32"/>
        <v>19797.188161926864</v>
      </c>
      <c r="V169" s="47">
        <v>0</v>
      </c>
      <c r="W169" s="37">
        <f t="shared" si="33"/>
        <v>300036.81240053376</v>
      </c>
      <c r="X169" s="40">
        <f t="shared" si="34"/>
        <v>-3.3094534731221037E-2</v>
      </c>
      <c r="Y169" s="1"/>
      <c r="Z169" s="1"/>
      <c r="AA169" s="1"/>
      <c r="AB169" s="1"/>
      <c r="AC169" s="1"/>
      <c r="AD169" s="1"/>
      <c r="AE169" s="1"/>
      <c r="AP169"/>
      <c r="AQ169"/>
      <c r="AR169"/>
      <c r="AS169"/>
      <c r="AT169"/>
      <c r="AU169"/>
      <c r="AV169"/>
      <c r="AW169"/>
    </row>
    <row r="170" spans="1:49" x14ac:dyDescent="0.35">
      <c r="A170" s="106" cm="1">
        <f t="array" ref="A170">SUM(G164:G169+K164:K169+O164:O169)</f>
        <v>0.29949999999999999</v>
      </c>
      <c r="B170" s="10" t="s">
        <v>164</v>
      </c>
      <c r="C170" s="20">
        <v>5.0299999999999997E-2</v>
      </c>
      <c r="D170" s="38">
        <f t="shared" si="24"/>
        <v>0.28799110596584859</v>
      </c>
      <c r="E170" s="32">
        <f t="shared" si="35"/>
        <v>88236.026400776202</v>
      </c>
      <c r="F170" s="48">
        <v>-5665.19</v>
      </c>
      <c r="G170" s="20">
        <v>9.7000000000000003E-3</v>
      </c>
      <c r="H170" s="38">
        <f t="shared" si="25"/>
        <v>0.28638502615543443</v>
      </c>
      <c r="I170" s="32">
        <f t="shared" si="29"/>
        <v>87743.948355247034</v>
      </c>
      <c r="J170" s="49">
        <v>5000.6099999999997</v>
      </c>
      <c r="K170" s="17">
        <v>-3.5000000000000001E-3</v>
      </c>
      <c r="L170" s="38">
        <f t="shared" si="26"/>
        <v>0.24352398176525278</v>
      </c>
      <c r="M170" s="32">
        <f t="shared" si="30"/>
        <v>74611.986409084071</v>
      </c>
      <c r="N170" s="49">
        <v>5000.6099999999997</v>
      </c>
      <c r="O170" s="19">
        <v>3.2899999999999999E-2</v>
      </c>
      <c r="P170" s="38">
        <f t="shared" si="27"/>
        <v>0.14763023251918636</v>
      </c>
      <c r="Q170" s="31">
        <f t="shared" si="31"/>
        <v>45231.622867063052</v>
      </c>
      <c r="R170" s="49">
        <v>5000.6099999999997</v>
      </c>
      <c r="S170" s="26">
        <v>9.5999999999999992E-3</v>
      </c>
      <c r="T170" s="38">
        <f t="shared" si="28"/>
        <v>3.4469653594277748E-2</v>
      </c>
      <c r="U170" s="31">
        <f t="shared" si="32"/>
        <v>10560.969424281364</v>
      </c>
      <c r="V170" s="48">
        <v>-9336.64</v>
      </c>
      <c r="W170" s="37">
        <f t="shared" si="33"/>
        <v>306384.55345645174</v>
      </c>
      <c r="X170" s="40">
        <f t="shared" si="34"/>
        <v>2.1156540776216648E-2</v>
      </c>
      <c r="Y170" s="1"/>
      <c r="Z170" s="1"/>
      <c r="AA170" s="1"/>
      <c r="AB170" s="1"/>
      <c r="AC170" s="1"/>
      <c r="AD170" s="1"/>
      <c r="AE170" s="1"/>
      <c r="AP170"/>
      <c r="AQ170"/>
      <c r="AR170"/>
      <c r="AS170"/>
      <c r="AT170"/>
      <c r="AU170"/>
      <c r="AV170"/>
      <c r="AW170"/>
    </row>
    <row r="171" spans="1:49" x14ac:dyDescent="0.35">
      <c r="A171" s="106" cm="1">
        <f t="array" ref="A171">SUM(G165:G170+K165:K170+O165:O170)</f>
        <v>0.28129999999999999</v>
      </c>
      <c r="B171" s="11" t="s">
        <v>165</v>
      </c>
      <c r="C171" s="15">
        <v>-2.4199999999999999E-2</v>
      </c>
      <c r="D171" s="38">
        <f t="shared" si="24"/>
        <v>0.27596403386969026</v>
      </c>
      <c r="E171" s="32">
        <f t="shared" si="35"/>
        <v>86100.714561877423</v>
      </c>
      <c r="F171" s="47">
        <v>0</v>
      </c>
      <c r="G171" s="20">
        <v>2.64E-2</v>
      </c>
      <c r="H171" s="38">
        <f t="shared" si="25"/>
        <v>0.28865530622060942</v>
      </c>
      <c r="I171" s="32">
        <f t="shared" si="29"/>
        <v>90060.388591825555</v>
      </c>
      <c r="J171" s="47">
        <v>0</v>
      </c>
      <c r="K171" s="19">
        <v>6.7900000000000002E-2</v>
      </c>
      <c r="L171" s="38">
        <f t="shared" si="26"/>
        <v>0.25537884460679411</v>
      </c>
      <c r="M171" s="32">
        <f t="shared" si="30"/>
        <v>79678.140286260881</v>
      </c>
      <c r="N171" s="47">
        <v>0</v>
      </c>
      <c r="O171" s="19">
        <v>6.4999999999999997E-3</v>
      </c>
      <c r="P171" s="38">
        <f t="shared" si="27"/>
        <v>0.14591558416184805</v>
      </c>
      <c r="Q171" s="31">
        <f t="shared" si="31"/>
        <v>45525.628415698964</v>
      </c>
      <c r="R171" s="47">
        <v>0</v>
      </c>
      <c r="S171" s="26">
        <v>7.0000000000000001E-3</v>
      </c>
      <c r="T171" s="38">
        <f t="shared" si="28"/>
        <v>3.4086231141058319E-2</v>
      </c>
      <c r="U171" s="31">
        <f t="shared" si="32"/>
        <v>10634.896210251334</v>
      </c>
      <c r="V171" s="47">
        <v>0</v>
      </c>
      <c r="W171" s="37">
        <f t="shared" si="33"/>
        <v>311999.7680659141</v>
      </c>
      <c r="X171" s="40">
        <f t="shared" si="34"/>
        <v>1.8327342374524935E-2</v>
      </c>
      <c r="Y171" s="1"/>
      <c r="Z171" s="1"/>
      <c r="AA171" s="1"/>
      <c r="AB171" s="1"/>
      <c r="AC171" s="1"/>
      <c r="AD171" s="1"/>
      <c r="AE171" s="1"/>
      <c r="AP171"/>
      <c r="AQ171"/>
      <c r="AR171"/>
      <c r="AS171"/>
      <c r="AT171"/>
      <c r="AU171"/>
      <c r="AV171"/>
      <c r="AW171"/>
    </row>
    <row r="172" spans="1:49" x14ac:dyDescent="0.35">
      <c r="A172" s="106" cm="1">
        <f t="array" ref="A172">SUM(G166:G171+K166:K171+O166:O171)</f>
        <v>0.30630000000000002</v>
      </c>
      <c r="B172" s="10" t="s">
        <v>166</v>
      </c>
      <c r="C172" s="20">
        <v>2.6100000000000002E-2</v>
      </c>
      <c r="D172" s="38">
        <f t="shared" si="24"/>
        <v>0.2749493479643802</v>
      </c>
      <c r="E172" s="32">
        <f t="shared" si="35"/>
        <v>89628.516011942425</v>
      </c>
      <c r="F172" s="49">
        <v>1248</v>
      </c>
      <c r="G172" s="20">
        <v>5.6399999999999999E-2</v>
      </c>
      <c r="H172" s="38">
        <f t="shared" si="25"/>
        <v>0.29050792899155792</v>
      </c>
      <c r="I172" s="32">
        <f t="shared" si="29"/>
        <v>94700.332108404516</v>
      </c>
      <c r="J172" s="48">
        <v>-416</v>
      </c>
      <c r="K172" s="19">
        <v>4.1000000000000002E-2</v>
      </c>
      <c r="L172" s="38">
        <f t="shared" si="26"/>
        <v>0.25311798995237783</v>
      </c>
      <c r="M172" s="32">
        <f t="shared" si="30"/>
        <v>82511.888037997574</v>
      </c>
      <c r="N172" s="48">
        <v>-416</v>
      </c>
      <c r="O172" s="19">
        <v>6.7400000000000002E-2</v>
      </c>
      <c r="P172" s="38">
        <f t="shared" si="27"/>
        <v>0.1477076322321709</v>
      </c>
      <c r="Q172" s="31">
        <f t="shared" si="31"/>
        <v>48150.017370917078</v>
      </c>
      <c r="R172" s="48">
        <v>-416</v>
      </c>
      <c r="S172" s="26">
        <v>3.3500000000000002E-2</v>
      </c>
      <c r="T172" s="38">
        <f t="shared" si="28"/>
        <v>3.371710085951321E-2</v>
      </c>
      <c r="U172" s="31">
        <f t="shared" si="32"/>
        <v>10991.165233294754</v>
      </c>
      <c r="V172" s="47">
        <v>0</v>
      </c>
      <c r="W172" s="37">
        <f t="shared" si="33"/>
        <v>325981.91876255634</v>
      </c>
      <c r="X172" s="40">
        <f t="shared" si="34"/>
        <v>4.4814618880384183E-2</v>
      </c>
      <c r="Y172" s="1"/>
      <c r="Z172" s="1"/>
      <c r="AA172" s="1"/>
      <c r="AB172" s="1"/>
      <c r="AC172" s="1"/>
      <c r="AD172" s="1"/>
      <c r="AE172" s="1"/>
      <c r="AP172"/>
      <c r="AQ172"/>
      <c r="AR172"/>
      <c r="AS172"/>
      <c r="AT172"/>
      <c r="AU172"/>
      <c r="AV172"/>
      <c r="AW172"/>
    </row>
    <row r="173" spans="1:49" x14ac:dyDescent="0.35">
      <c r="A173" s="106" cm="1">
        <f t="array" ref="A173">SUM(G167:G172+K167:K172+O167:O172)</f>
        <v>0.40400000000000003</v>
      </c>
      <c r="B173" s="11" t="s">
        <v>167</v>
      </c>
      <c r="C173" s="15">
        <v>-9.9000000000000008E-3</v>
      </c>
      <c r="D173" s="38">
        <f t="shared" si="24"/>
        <v>0.27655845527938766</v>
      </c>
      <c r="E173" s="32">
        <f t="shared" si="35"/>
        <v>90387.244854424192</v>
      </c>
      <c r="F173" s="49">
        <v>1662.51</v>
      </c>
      <c r="G173" s="20">
        <v>1.47E-2</v>
      </c>
      <c r="H173" s="38">
        <f t="shared" si="25"/>
        <v>0.29229411614473833</v>
      </c>
      <c r="I173" s="32">
        <f t="shared" si="29"/>
        <v>95530.110691398062</v>
      </c>
      <c r="J173" s="48">
        <v>-554.16999999999996</v>
      </c>
      <c r="K173" s="19">
        <v>1.6E-2</v>
      </c>
      <c r="L173" s="38">
        <f t="shared" si="26"/>
        <v>0.25477884113275995</v>
      </c>
      <c r="M173" s="32">
        <f t="shared" si="30"/>
        <v>83269.041526605535</v>
      </c>
      <c r="N173" s="48">
        <v>-554.16999999999996</v>
      </c>
      <c r="O173" s="17">
        <v>-1.6799999999999999E-2</v>
      </c>
      <c r="P173" s="38">
        <f t="shared" si="27"/>
        <v>0.1431827585386761</v>
      </c>
      <c r="Q173" s="31">
        <f t="shared" si="31"/>
        <v>46796.23713508567</v>
      </c>
      <c r="R173" s="48">
        <v>-554.16999999999996</v>
      </c>
      <c r="S173" s="27">
        <v>-1.32E-2</v>
      </c>
      <c r="T173" s="38">
        <f t="shared" si="28"/>
        <v>3.3185828904437872E-2</v>
      </c>
      <c r="U173" s="31">
        <f t="shared" si="32"/>
        <v>10846.081852215264</v>
      </c>
      <c r="V173" s="47">
        <v>0</v>
      </c>
      <c r="W173" s="37">
        <f t="shared" si="33"/>
        <v>326828.71605972876</v>
      </c>
      <c r="X173" s="40">
        <f t="shared" si="34"/>
        <v>2.5976817989994405E-3</v>
      </c>
      <c r="Y173" s="1"/>
      <c r="Z173" s="1"/>
      <c r="AA173" s="1"/>
      <c r="AB173" s="1"/>
      <c r="AC173" s="1"/>
      <c r="AD173" s="1"/>
      <c r="AE173" s="1"/>
      <c r="AP173"/>
      <c r="AQ173"/>
      <c r="AR173"/>
      <c r="AS173"/>
      <c r="AT173"/>
      <c r="AU173"/>
      <c r="AV173"/>
      <c r="AW173"/>
    </row>
    <row r="174" spans="1:49" x14ac:dyDescent="0.35">
      <c r="A174" s="106" cm="1">
        <f t="array" ref="A174">SUM(G168:G173+K168:K173+O168:O173)</f>
        <v>0.3266</v>
      </c>
      <c r="B174" s="10" t="s">
        <v>168</v>
      </c>
      <c r="C174" s="20">
        <v>4.2900000000000001E-2</v>
      </c>
      <c r="D174" s="38">
        <f t="shared" si="24"/>
        <v>0.28325213787345416</v>
      </c>
      <c r="E174" s="32">
        <f t="shared" si="35"/>
        <v>95423.748996678987</v>
      </c>
      <c r="F174" s="49">
        <v>1111.22</v>
      </c>
      <c r="G174" s="20">
        <v>3.04E-2</v>
      </c>
      <c r="H174" s="38">
        <f t="shared" si="25"/>
        <v>0.29105538492806754</v>
      </c>
      <c r="I174" s="32">
        <f t="shared" si="29"/>
        <v>98052.555592416553</v>
      </c>
      <c r="J174" s="48">
        <v>-370.41</v>
      </c>
      <c r="K174" s="19">
        <v>1.2500000000000001E-2</v>
      </c>
      <c r="L174" s="38">
        <f t="shared" si="26"/>
        <v>0.24914898061808338</v>
      </c>
      <c r="M174" s="32">
        <f t="shared" si="30"/>
        <v>83934.8644206881</v>
      </c>
      <c r="N174" s="48">
        <v>-370.41</v>
      </c>
      <c r="O174" s="19">
        <v>4.2900000000000001E-2</v>
      </c>
      <c r="P174" s="38">
        <f t="shared" si="27"/>
        <v>0.1437206056897094</v>
      </c>
      <c r="Q174" s="31">
        <f t="shared" si="31"/>
        <v>48417.495119180843</v>
      </c>
      <c r="R174" s="48">
        <v>-370.41</v>
      </c>
      <c r="S174" s="26">
        <v>1.95E-2</v>
      </c>
      <c r="T174" s="38">
        <f t="shared" si="28"/>
        <v>3.282289089068556E-2</v>
      </c>
      <c r="U174" s="31">
        <f t="shared" si="32"/>
        <v>11057.580448333461</v>
      </c>
      <c r="V174" s="47">
        <v>0</v>
      </c>
      <c r="W174" s="37">
        <f t="shared" si="33"/>
        <v>336886.24457729794</v>
      </c>
      <c r="X174" s="40">
        <f t="shared" si="34"/>
        <v>3.0773087012743172E-2</v>
      </c>
      <c r="Y174" s="1"/>
      <c r="Z174" s="1"/>
      <c r="AA174" s="1"/>
      <c r="AB174" s="1"/>
      <c r="AC174" s="1"/>
      <c r="AD174" s="1"/>
      <c r="AE174" s="1"/>
      <c r="AP174"/>
      <c r="AQ174"/>
      <c r="AR174"/>
      <c r="AS174"/>
      <c r="AT174"/>
      <c r="AU174"/>
      <c r="AV174"/>
      <c r="AW174"/>
    </row>
    <row r="175" spans="1:49" x14ac:dyDescent="0.35">
      <c r="A175" s="106" cm="1">
        <f t="array" ref="A175">SUM(G169:G174+K169:K174+O169:O174)</f>
        <v>0.32529999999999998</v>
      </c>
      <c r="B175" s="9" t="s">
        <v>169</v>
      </c>
      <c r="C175" s="15">
        <v>-8.6999999999999994E-3</v>
      </c>
      <c r="D175" s="38">
        <f t="shared" si="24"/>
        <v>0.280088812954783</v>
      </c>
      <c r="E175" s="32">
        <f t="shared" si="35"/>
        <v>94593.562380407879</v>
      </c>
      <c r="F175" s="47">
        <v>0</v>
      </c>
      <c r="G175" s="20">
        <v>1.44E-2</v>
      </c>
      <c r="H175" s="38">
        <f t="shared" si="25"/>
        <v>0.29451155560916936</v>
      </c>
      <c r="I175" s="32">
        <f t="shared" si="29"/>
        <v>99464.512392947348</v>
      </c>
      <c r="J175" s="47">
        <v>0</v>
      </c>
      <c r="K175" s="17">
        <v>-1.4999999999999999E-2</v>
      </c>
      <c r="L175" s="38">
        <f t="shared" si="26"/>
        <v>0.24480078464399474</v>
      </c>
      <c r="M175" s="32">
        <f t="shared" si="30"/>
        <v>82675.841454377776</v>
      </c>
      <c r="N175" s="47">
        <v>0</v>
      </c>
      <c r="O175" s="19">
        <v>4.0099999999999997E-2</v>
      </c>
      <c r="P175" s="38">
        <f t="shared" si="27"/>
        <v>0.14911165673930901</v>
      </c>
      <c r="Q175" s="31">
        <f t="shared" si="31"/>
        <v>50359.036673459996</v>
      </c>
      <c r="R175" s="47">
        <v>0</v>
      </c>
      <c r="S175" s="27">
        <v>-3.8300000000000001E-2</v>
      </c>
      <c r="T175" s="38">
        <f t="shared" si="28"/>
        <v>3.1487190052743821E-2</v>
      </c>
      <c r="U175" s="31">
        <f t="shared" si="32"/>
        <v>10634.075117162291</v>
      </c>
      <c r="V175" s="47">
        <v>0</v>
      </c>
      <c r="W175" s="37">
        <f t="shared" si="33"/>
        <v>337727.02801835531</v>
      </c>
      <c r="X175" s="40">
        <f t="shared" si="34"/>
        <v>2.4957488012380402E-3</v>
      </c>
      <c r="Y175" s="1"/>
      <c r="Z175" s="1"/>
      <c r="AA175" s="1"/>
      <c r="AB175" s="1"/>
      <c r="AC175" s="1"/>
      <c r="AD175" s="1"/>
      <c r="AE175" s="1"/>
      <c r="AP175"/>
      <c r="AQ175"/>
      <c r="AR175"/>
      <c r="AS175"/>
      <c r="AT175"/>
      <c r="AU175"/>
      <c r="AV175"/>
      <c r="AW175"/>
    </row>
    <row r="176" spans="1:49" x14ac:dyDescent="0.35">
      <c r="A176" s="106" cm="1">
        <f t="array" ref="A176">SUM(G170:G175+K170:K175+O170:O175)</f>
        <v>0.44389999999999996</v>
      </c>
      <c r="B176" s="10" t="s">
        <v>170</v>
      </c>
      <c r="C176" s="20">
        <v>2E-3</v>
      </c>
      <c r="D176" s="38">
        <f t="shared" si="24"/>
        <v>0.28460476843389509</v>
      </c>
      <c r="E176" s="32">
        <f t="shared" si="35"/>
        <v>94782.7495051687</v>
      </c>
      <c r="F176" s="47">
        <v>0</v>
      </c>
      <c r="G176" s="15">
        <v>-1.78E-2</v>
      </c>
      <c r="H176" s="38">
        <f t="shared" si="25"/>
        <v>0.29334653125953591</v>
      </c>
      <c r="I176" s="32">
        <f t="shared" si="29"/>
        <v>97694.044072352888</v>
      </c>
      <c r="J176" s="47">
        <v>0</v>
      </c>
      <c r="K176" s="17">
        <v>-1.72E-2</v>
      </c>
      <c r="L176" s="38">
        <f t="shared" si="26"/>
        <v>0.24398135617589037</v>
      </c>
      <c r="M176" s="32">
        <f t="shared" si="30"/>
        <v>81253.816981362485</v>
      </c>
      <c r="N176" s="47">
        <v>0</v>
      </c>
      <c r="O176" s="17">
        <v>-3.8199999999999998E-2</v>
      </c>
      <c r="P176" s="38">
        <f t="shared" si="27"/>
        <v>0.14543704971293361</v>
      </c>
      <c r="Q176" s="31">
        <f t="shared" si="31"/>
        <v>48435.321472533826</v>
      </c>
      <c r="R176" s="47">
        <v>0</v>
      </c>
      <c r="S176" s="26">
        <v>2.1899999999999999E-2</v>
      </c>
      <c r="T176" s="38">
        <f t="shared" si="28"/>
        <v>3.2630294417744975E-2</v>
      </c>
      <c r="U176" s="31">
        <f t="shared" si="32"/>
        <v>10866.961362228145</v>
      </c>
      <c r="V176" s="47">
        <v>0</v>
      </c>
      <c r="W176" s="37">
        <f t="shared" si="33"/>
        <v>333032.89339364605</v>
      </c>
      <c r="X176" s="40">
        <f t="shared" si="34"/>
        <v>-1.3899197385096818E-2</v>
      </c>
      <c r="Y176" s="1"/>
      <c r="Z176" s="1"/>
      <c r="AA176" s="1"/>
      <c r="AB176" s="1"/>
      <c r="AC176" s="1"/>
      <c r="AD176" s="1"/>
      <c r="AE176" s="1"/>
      <c r="AP176"/>
      <c r="AQ176"/>
      <c r="AR176"/>
      <c r="AS176"/>
      <c r="AT176"/>
      <c r="AU176"/>
      <c r="AV176"/>
      <c r="AW176"/>
    </row>
    <row r="177" spans="1:49" x14ac:dyDescent="0.35">
      <c r="A177" s="106" cm="1">
        <f t="array" ref="A177">SUM(G171:G176+K171:K176+O171:O176)</f>
        <v>0.33160000000000001</v>
      </c>
      <c r="B177" s="11" t="s">
        <v>171</v>
      </c>
      <c r="C177" s="20">
        <v>2.6599999999999999E-2</v>
      </c>
      <c r="D177" s="38">
        <f t="shared" si="24"/>
        <v>0.28699467396709338</v>
      </c>
      <c r="E177" s="32">
        <f t="shared" si="35"/>
        <v>97303.970642006185</v>
      </c>
      <c r="F177" s="47">
        <v>0</v>
      </c>
      <c r="G177" s="15">
        <v>-6.1000000000000004E-3</v>
      </c>
      <c r="H177" s="38">
        <f t="shared" si="25"/>
        <v>0.28638749636026251</v>
      </c>
      <c r="I177" s="32">
        <f t="shared" si="29"/>
        <v>97098.110403511542</v>
      </c>
      <c r="J177" s="47">
        <v>0</v>
      </c>
      <c r="K177" s="19">
        <v>3.1399999999999997E-2</v>
      </c>
      <c r="L177" s="38">
        <f t="shared" si="26"/>
        <v>0.24718048106001689</v>
      </c>
      <c r="M177" s="32">
        <f t="shared" si="30"/>
        <v>83805.186834577267</v>
      </c>
      <c r="N177" s="47">
        <v>0</v>
      </c>
      <c r="O177" s="19">
        <v>2.6800000000000001E-2</v>
      </c>
      <c r="P177" s="38">
        <f t="shared" si="27"/>
        <v>0.14668689679794092</v>
      </c>
      <c r="Q177" s="31">
        <f t="shared" si="31"/>
        <v>49733.38808799773</v>
      </c>
      <c r="R177" s="47">
        <v>0</v>
      </c>
      <c r="S177" s="26">
        <v>2.18E-2</v>
      </c>
      <c r="T177" s="38">
        <f t="shared" si="28"/>
        <v>3.2750451814686353E-2</v>
      </c>
      <c r="U177" s="31">
        <f t="shared" si="32"/>
        <v>11103.861119924719</v>
      </c>
      <c r="V177" s="47">
        <v>0</v>
      </c>
      <c r="W177" s="37">
        <f t="shared" si="33"/>
        <v>339044.51708801743</v>
      </c>
      <c r="X177" s="40">
        <f t="shared" si="34"/>
        <v>1.8051140934194798E-2</v>
      </c>
      <c r="Y177" s="1"/>
      <c r="Z177" s="1"/>
      <c r="AA177" s="1"/>
      <c r="AB177" s="1"/>
      <c r="AC177" s="1"/>
      <c r="AD177" s="1"/>
      <c r="AE177" s="1"/>
      <c r="AP177"/>
      <c r="AQ177"/>
      <c r="AR177"/>
      <c r="AS177"/>
      <c r="AT177"/>
      <c r="AU177"/>
      <c r="AV177"/>
      <c r="AW177"/>
    </row>
    <row r="178" spans="1:49" x14ac:dyDescent="0.35">
      <c r="A178" s="106" cm="1">
        <f t="array" ref="A178">SUM(G172:G177+K172:K177+O172:O177)</f>
        <v>0.28289999999999998</v>
      </c>
      <c r="B178" s="10" t="s">
        <v>172</v>
      </c>
      <c r="C178" s="20">
        <v>3.32E-2</v>
      </c>
      <c r="D178" s="38">
        <f t="shared" si="24"/>
        <v>0.28579101003207269</v>
      </c>
      <c r="E178" s="32">
        <f t="shared" si="35"/>
        <v>100534.46246732079</v>
      </c>
      <c r="F178" s="47">
        <v>0</v>
      </c>
      <c r="G178" s="20">
        <v>4.3499999999999997E-2</v>
      </c>
      <c r="H178" s="38">
        <f t="shared" si="25"/>
        <v>0.28802941001719035</v>
      </c>
      <c r="I178" s="32">
        <f t="shared" si="29"/>
        <v>101321.8782060643</v>
      </c>
      <c r="J178" s="47">
        <v>0</v>
      </c>
      <c r="K178" s="19">
        <v>5.0900000000000001E-2</v>
      </c>
      <c r="L178" s="38">
        <f t="shared" si="26"/>
        <v>0.25036054816748282</v>
      </c>
      <c r="M178" s="32">
        <f t="shared" si="30"/>
        <v>88070.870844457255</v>
      </c>
      <c r="N178" s="47">
        <v>0</v>
      </c>
      <c r="O178" s="19">
        <v>1.1299999999999999E-2</v>
      </c>
      <c r="P178" s="38">
        <f t="shared" si="27"/>
        <v>0.1429755108361602</v>
      </c>
      <c r="Q178" s="31">
        <f t="shared" si="31"/>
        <v>50295.375373392104</v>
      </c>
      <c r="R178" s="47">
        <v>0</v>
      </c>
      <c r="S178" s="26">
        <v>4.0500000000000001E-2</v>
      </c>
      <c r="T178" s="38">
        <f t="shared" si="28"/>
        <v>3.284352094709387E-2</v>
      </c>
      <c r="U178" s="31">
        <f t="shared" si="32"/>
        <v>11553.56749528167</v>
      </c>
      <c r="V178" s="47">
        <v>0</v>
      </c>
      <c r="W178" s="37">
        <f t="shared" si="33"/>
        <v>351776.15438651614</v>
      </c>
      <c r="X178" s="40">
        <f t="shared" si="34"/>
        <v>3.7551520985645404E-2</v>
      </c>
      <c r="Y178" s="1"/>
      <c r="Z178" s="1"/>
      <c r="AA178" s="1"/>
      <c r="AB178" s="1"/>
      <c r="AC178" s="1"/>
      <c r="AD178" s="1"/>
      <c r="AE178" s="1"/>
      <c r="AP178"/>
      <c r="AQ178"/>
      <c r="AR178"/>
      <c r="AS178"/>
      <c r="AT178"/>
      <c r="AU178"/>
      <c r="AV178"/>
      <c r="AW178"/>
    </row>
    <row r="179" spans="1:49" x14ac:dyDescent="0.35">
      <c r="A179" s="106" cm="1">
        <f t="array" ref="A179">SUM(G173:G178+K173:K178+O173:O178)</f>
        <v>0.2238</v>
      </c>
      <c r="B179" s="11" t="s">
        <v>173</v>
      </c>
      <c r="C179" s="20">
        <v>6.3500000000000001E-2</v>
      </c>
      <c r="D179" s="38">
        <f t="shared" si="24"/>
        <v>0.27805550698876558</v>
      </c>
      <c r="E179" s="32">
        <f t="shared" si="35"/>
        <v>106918.40083399566</v>
      </c>
      <c r="F179" s="47">
        <v>0</v>
      </c>
      <c r="G179" s="20">
        <v>0.1012</v>
      </c>
      <c r="H179" s="38">
        <f t="shared" si="25"/>
        <v>0.29016730815709341</v>
      </c>
      <c r="I179" s="32">
        <f t="shared" si="29"/>
        <v>111575.652280518</v>
      </c>
      <c r="J179" s="47">
        <v>0</v>
      </c>
      <c r="K179" s="19">
        <v>0.14430000000000001</v>
      </c>
      <c r="L179" s="38">
        <f t="shared" si="26"/>
        <v>0.26209047324769619</v>
      </c>
      <c r="M179" s="32">
        <f t="shared" si="30"/>
        <v>100779.49750731244</v>
      </c>
      <c r="N179" s="47">
        <v>0</v>
      </c>
      <c r="O179" s="19">
        <v>4.9599999999999998E-2</v>
      </c>
      <c r="P179" s="38">
        <f t="shared" si="27"/>
        <v>0.13728747649267237</v>
      </c>
      <c r="Q179" s="31">
        <f t="shared" si="31"/>
        <v>52790.025991912349</v>
      </c>
      <c r="R179" s="47">
        <v>0</v>
      </c>
      <c r="S179" s="26">
        <v>7.8299999999999995E-2</v>
      </c>
      <c r="T179" s="38">
        <f t="shared" si="28"/>
        <v>3.2399235113772497E-2</v>
      </c>
      <c r="U179" s="31">
        <f t="shared" si="32"/>
        <v>12458.211830162225</v>
      </c>
      <c r="V179" s="47">
        <v>0</v>
      </c>
      <c r="W179" s="37">
        <f t="shared" si="33"/>
        <v>384521.78844390064</v>
      </c>
      <c r="X179" s="40">
        <f t="shared" si="34"/>
        <v>9.3086565558974987E-2</v>
      </c>
      <c r="Y179" s="1"/>
      <c r="Z179" s="1"/>
      <c r="AA179" s="1"/>
      <c r="AB179" s="1"/>
      <c r="AC179" s="1"/>
      <c r="AD179" s="1"/>
      <c r="AE179" s="1"/>
      <c r="AP179"/>
      <c r="AQ179"/>
      <c r="AR179"/>
      <c r="AS179"/>
      <c r="AT179"/>
      <c r="AU179"/>
      <c r="AV179"/>
      <c r="AW179"/>
    </row>
    <row r="180" spans="1:49" x14ac:dyDescent="0.35">
      <c r="A180" s="106" cm="1">
        <f t="array" ref="A180">SUM(G174:G179+K174:K179+O174:O179)</f>
        <v>0.50499999999999989</v>
      </c>
      <c r="B180" s="10" t="s">
        <v>174</v>
      </c>
      <c r="C180" s="20">
        <v>4.0000000000000002E-4</v>
      </c>
      <c r="D180" s="38">
        <f t="shared" si="24"/>
        <v>0.27392895863912453</v>
      </c>
      <c r="E180" s="32">
        <f t="shared" si="35"/>
        <v>107692.05043032925</v>
      </c>
      <c r="F180" s="49">
        <v>730.59</v>
      </c>
      <c r="G180" s="20">
        <v>4.1799999999999997E-2</v>
      </c>
      <c r="H180" s="38">
        <f t="shared" si="25"/>
        <v>0.29502521914457314</v>
      </c>
      <c r="I180" s="32">
        <f t="shared" si="29"/>
        <v>115985.80499184366</v>
      </c>
      <c r="J180" s="48">
        <v>-243.53</v>
      </c>
      <c r="K180" s="19">
        <v>4.3200000000000002E-2</v>
      </c>
      <c r="L180" s="38">
        <f t="shared" si="26"/>
        <v>0.26677390175866017</v>
      </c>
      <c r="M180" s="32">
        <f t="shared" si="30"/>
        <v>104879.12130362833</v>
      </c>
      <c r="N180" s="48">
        <v>-243.53</v>
      </c>
      <c r="O180" s="17">
        <v>-1.6799999999999999E-2</v>
      </c>
      <c r="P180" s="38">
        <f t="shared" si="27"/>
        <v>0.13141348460050176</v>
      </c>
      <c r="Q180" s="31">
        <f t="shared" si="31"/>
        <v>51663.714859248226</v>
      </c>
      <c r="R180" s="48">
        <v>-243.53</v>
      </c>
      <c r="S180" s="26">
        <v>3.6900000000000002E-2</v>
      </c>
      <c r="T180" s="38">
        <f t="shared" si="28"/>
        <v>3.2858435857140357E-2</v>
      </c>
      <c r="U180" s="31">
        <f t="shared" si="32"/>
        <v>12917.919846695211</v>
      </c>
      <c r="V180" s="47">
        <v>0</v>
      </c>
      <c r="W180" s="37">
        <f t="shared" si="33"/>
        <v>393138.61143174471</v>
      </c>
      <c r="X180" s="40">
        <f t="shared" si="34"/>
        <v>2.240919304654998E-2</v>
      </c>
      <c r="Y180" s="1"/>
      <c r="Z180" s="1"/>
      <c r="AA180" s="1"/>
      <c r="AB180" s="1"/>
      <c r="AC180" s="1"/>
      <c r="AD180" s="1"/>
      <c r="AE180" s="1"/>
      <c r="AP180"/>
      <c r="AQ180"/>
      <c r="AR180"/>
      <c r="AS180"/>
      <c r="AT180"/>
      <c r="AU180"/>
      <c r="AV180"/>
      <c r="AW180"/>
    </row>
    <row r="181" spans="1:49" x14ac:dyDescent="0.35">
      <c r="A181" s="106" cm="1">
        <f t="array" ref="A181">SUM(G175:G180+K175:K180+O175:O180)</f>
        <v>0.48739999999999994</v>
      </c>
      <c r="B181" s="11" t="s">
        <v>175</v>
      </c>
      <c r="C181" s="15">
        <v>-5.6899999999999999E-2</v>
      </c>
      <c r="D181" s="38">
        <f t="shared" si="24"/>
        <v>0.27033958520227858</v>
      </c>
      <c r="E181" s="32">
        <f t="shared" si="35"/>
        <v>103826.06802584352</v>
      </c>
      <c r="F181" s="49">
        <v>2398.15</v>
      </c>
      <c r="G181" s="20">
        <v>0</v>
      </c>
      <c r="H181" s="38">
        <f t="shared" si="25"/>
        <v>0.29991938388225797</v>
      </c>
      <c r="I181" s="32">
        <f t="shared" si="29"/>
        <v>115186.42499184365</v>
      </c>
      <c r="J181" s="48">
        <v>-799.38</v>
      </c>
      <c r="K181" s="17">
        <v>-2.24E-2</v>
      </c>
      <c r="L181" s="38">
        <f t="shared" si="26"/>
        <v>0.26492969092767921</v>
      </c>
      <c r="M181" s="32">
        <f t="shared" si="30"/>
        <v>101748.35509842706</v>
      </c>
      <c r="N181" s="48">
        <v>-799.38</v>
      </c>
      <c r="O181" s="17">
        <v>-6.9999999999999999E-4</v>
      </c>
      <c r="P181" s="38">
        <f t="shared" si="27"/>
        <v>0.13234650987445137</v>
      </c>
      <c r="Q181" s="31">
        <f t="shared" si="31"/>
        <v>50828.729824846756</v>
      </c>
      <c r="R181" s="48">
        <v>-799.38</v>
      </c>
      <c r="S181" s="27">
        <v>-3.4799999999999998E-2</v>
      </c>
      <c r="T181" s="38">
        <f t="shared" si="28"/>
        <v>3.246483011333292E-2</v>
      </c>
      <c r="U181" s="31">
        <f t="shared" si="32"/>
        <v>12468.376236030217</v>
      </c>
      <c r="V181" s="47">
        <v>0</v>
      </c>
      <c r="W181" s="37">
        <f t="shared" si="33"/>
        <v>384057.95417699119</v>
      </c>
      <c r="X181" s="40">
        <f t="shared" si="34"/>
        <v>-2.3097851471986619E-2</v>
      </c>
      <c r="Y181" s="1"/>
      <c r="Z181" s="1"/>
      <c r="AA181" s="1"/>
      <c r="AB181" s="1"/>
      <c r="AC181" s="1"/>
      <c r="AD181" s="1"/>
      <c r="AE181" s="1"/>
      <c r="AP181"/>
      <c r="AQ181"/>
      <c r="AR181"/>
      <c r="AS181"/>
      <c r="AT181"/>
      <c r="AU181"/>
      <c r="AV181"/>
      <c r="AW181"/>
    </row>
    <row r="182" spans="1:49" x14ac:dyDescent="0.35">
      <c r="A182" s="106" cm="1">
        <f t="array" ref="A182">SUM(G176:G181+K176:K181+O176:O181)</f>
        <v>0.42479999999999996</v>
      </c>
      <c r="B182" s="10" t="s">
        <v>176</v>
      </c>
      <c r="C182" s="20">
        <v>9.3200000000000005E-2</v>
      </c>
      <c r="D182" s="38">
        <f t="shared" si="24"/>
        <v>0.27214887521472736</v>
      </c>
      <c r="E182" s="32">
        <f t="shared" si="35"/>
        <v>117575.22111785214</v>
      </c>
      <c r="F182" s="49">
        <v>3725.36</v>
      </c>
      <c r="G182" s="20">
        <v>0.14710000000000001</v>
      </c>
      <c r="H182" s="38">
        <f t="shared" si="25"/>
        <v>0.30254215834534337</v>
      </c>
      <c r="I182" s="32">
        <f t="shared" si="29"/>
        <v>130705.89079914386</v>
      </c>
      <c r="J182" s="48">
        <v>-1241.79</v>
      </c>
      <c r="K182" s="19">
        <v>0.16139999999999999</v>
      </c>
      <c r="L182" s="38">
        <f t="shared" si="26"/>
        <v>0.27018858201770385</v>
      </c>
      <c r="M182" s="32">
        <f t="shared" si="30"/>
        <v>116728.32470531319</v>
      </c>
      <c r="N182" s="48">
        <v>-1241.79</v>
      </c>
      <c r="O182" s="19">
        <v>7.1499999999999994E-2</v>
      </c>
      <c r="P182" s="38">
        <f t="shared" si="27"/>
        <v>0.12298445538906119</v>
      </c>
      <c r="Q182" s="31">
        <f t="shared" si="31"/>
        <v>53132.406022323295</v>
      </c>
      <c r="R182" s="48">
        <v>-1241.79</v>
      </c>
      <c r="S182" s="26">
        <v>0.1135</v>
      </c>
      <c r="T182" s="38">
        <f t="shared" si="28"/>
        <v>3.2135929033164208E-2</v>
      </c>
      <c r="U182" s="31">
        <f t="shared" si="32"/>
        <v>13883.536938819647</v>
      </c>
      <c r="V182" s="47">
        <v>0</v>
      </c>
      <c r="W182" s="37">
        <f t="shared" si="33"/>
        <v>432025.37958345213</v>
      </c>
      <c r="X182" s="40">
        <f t="shared" si="34"/>
        <v>0.12489632068486056</v>
      </c>
      <c r="Y182" s="1"/>
      <c r="Z182" s="1"/>
      <c r="AA182" s="1"/>
      <c r="AB182" s="1"/>
      <c r="AC182" s="1"/>
      <c r="AD182" s="1"/>
      <c r="AE182" s="1"/>
      <c r="AP182"/>
      <c r="AQ182"/>
      <c r="AR182"/>
      <c r="AS182"/>
      <c r="AT182"/>
      <c r="AU182"/>
      <c r="AV182"/>
      <c r="AW182"/>
    </row>
    <row r="183" spans="1:49" x14ac:dyDescent="0.35">
      <c r="A183" s="106" cm="1">
        <f t="array" ref="A183">SUM(G177:G182+K177:K182+O177:O182)</f>
        <v>0.878</v>
      </c>
      <c r="B183" s="11" t="s">
        <v>177</v>
      </c>
      <c r="C183" s="15">
        <v>-4.2000000000000003E-2</v>
      </c>
      <c r="D183" s="38">
        <f t="shared" si="24"/>
        <v>0.27996088252879103</v>
      </c>
      <c r="E183" s="32">
        <f t="shared" si="35"/>
        <v>115906.71583090235</v>
      </c>
      <c r="F183" s="49">
        <v>3413</v>
      </c>
      <c r="G183" s="15">
        <v>-2.8899999999999999E-2</v>
      </c>
      <c r="H183" s="38">
        <f t="shared" si="25"/>
        <v>0.30391434718513849</v>
      </c>
      <c r="I183" s="32">
        <f t="shared" si="29"/>
        <v>125823.69921804861</v>
      </c>
      <c r="J183" s="48">
        <v>-1137.67</v>
      </c>
      <c r="K183" s="17">
        <v>-5.8099999999999999E-2</v>
      </c>
      <c r="L183" s="38">
        <f t="shared" si="26"/>
        <v>0.26297609607783629</v>
      </c>
      <c r="M183" s="32">
        <f t="shared" si="30"/>
        <v>108874.8376669345</v>
      </c>
      <c r="N183" s="48">
        <v>-1137.67</v>
      </c>
      <c r="O183" s="17">
        <v>-3.8699999999999998E-2</v>
      </c>
      <c r="P183" s="38">
        <f t="shared" si="27"/>
        <v>0.120727740716666</v>
      </c>
      <c r="Q183" s="31">
        <f t="shared" si="31"/>
        <v>49982.539738259387</v>
      </c>
      <c r="R183" s="48">
        <v>-1137.67</v>
      </c>
      <c r="S183" s="27">
        <v>-3.32E-2</v>
      </c>
      <c r="T183" s="38">
        <f t="shared" si="28"/>
        <v>3.242093349156825E-2</v>
      </c>
      <c r="U183" s="31">
        <f t="shared" si="32"/>
        <v>13422.603512450834</v>
      </c>
      <c r="V183" s="47">
        <v>0</v>
      </c>
      <c r="W183" s="37">
        <f t="shared" si="33"/>
        <v>414010.39596659568</v>
      </c>
      <c r="X183" s="40">
        <f t="shared" si="34"/>
        <v>-4.1698901194707649E-2</v>
      </c>
      <c r="Y183" s="1"/>
      <c r="Z183" s="1"/>
      <c r="AA183" s="1"/>
      <c r="AB183" s="1"/>
      <c r="AC183" s="1"/>
      <c r="AD183" s="1"/>
      <c r="AE183" s="1"/>
      <c r="AP183"/>
      <c r="AQ183"/>
      <c r="AR183"/>
      <c r="AS183"/>
      <c r="AT183"/>
      <c r="AU183"/>
      <c r="AV183"/>
      <c r="AW183"/>
    </row>
    <row r="184" spans="1:49" x14ac:dyDescent="0.35">
      <c r="A184" s="106" cm="1">
        <f t="array" ref="A184">SUM(G178:G183+K178:K183+O178:O183)</f>
        <v>0.70019999999999993</v>
      </c>
      <c r="B184" s="10" t="s">
        <v>178</v>
      </c>
      <c r="C184" s="15">
        <v>-5.96E-2</v>
      </c>
      <c r="D184" s="38">
        <f t="shared" si="24"/>
        <v>0.30231132781607623</v>
      </c>
      <c r="E184" s="32">
        <f t="shared" si="35"/>
        <v>108998.67556738057</v>
      </c>
      <c r="F184" s="47">
        <v>0</v>
      </c>
      <c r="G184" s="15">
        <v>-0.1426</v>
      </c>
      <c r="H184" s="38">
        <f t="shared" si="25"/>
        <v>0.29921208357140877</v>
      </c>
      <c r="I184" s="32">
        <f t="shared" si="29"/>
        <v>107881.23970955488</v>
      </c>
      <c r="J184" s="47">
        <v>0</v>
      </c>
      <c r="K184" s="17">
        <v>-0.1799</v>
      </c>
      <c r="L184" s="38">
        <f t="shared" si="26"/>
        <v>0.24764384151149885</v>
      </c>
      <c r="M184" s="32">
        <f t="shared" si="30"/>
        <v>89288.254370652983</v>
      </c>
      <c r="N184" s="47">
        <v>0</v>
      </c>
      <c r="O184" s="17">
        <v>-0.15939999999999999</v>
      </c>
      <c r="P184" s="38">
        <f t="shared" si="27"/>
        <v>0.11653084764201317</v>
      </c>
      <c r="Q184" s="31">
        <f t="shared" si="31"/>
        <v>42015.322903980843</v>
      </c>
      <c r="R184" s="47">
        <v>0</v>
      </c>
      <c r="S184" s="27">
        <v>-7.8600000000000003E-2</v>
      </c>
      <c r="T184" s="38">
        <f t="shared" si="28"/>
        <v>3.4301899459002846E-2</v>
      </c>
      <c r="U184" s="31">
        <f t="shared" si="32"/>
        <v>12367.586876372199</v>
      </c>
      <c r="V184" s="47">
        <v>0</v>
      </c>
      <c r="W184" s="37">
        <f t="shared" si="33"/>
        <v>360551.07942794153</v>
      </c>
      <c r="X184" s="40">
        <f t="shared" si="34"/>
        <v>-0.12912554143439314</v>
      </c>
      <c r="Y184" s="1"/>
      <c r="Z184" s="1"/>
      <c r="AA184" s="1"/>
      <c r="AB184" s="1"/>
      <c r="AC184" s="1"/>
      <c r="AD184" s="1"/>
      <c r="AE184" s="1"/>
      <c r="AP184"/>
      <c r="AQ184"/>
      <c r="AR184"/>
      <c r="AS184"/>
      <c r="AT184"/>
      <c r="AU184"/>
      <c r="AV184"/>
      <c r="AW184"/>
    </row>
    <row r="185" spans="1:49" x14ac:dyDescent="0.35">
      <c r="A185" s="105" cm="1">
        <f t="array" ref="A185">SUM(G179:G184+K179:K184+O179:O184)</f>
        <v>0.11260000000000003</v>
      </c>
      <c r="B185" s="11" t="s">
        <v>179</v>
      </c>
      <c r="C185" s="20">
        <v>4.7899999999999998E-2</v>
      </c>
      <c r="D185" s="38">
        <f t="shared" si="24"/>
        <v>0.29896516055732608</v>
      </c>
      <c r="E185" s="32">
        <f t="shared" si="35"/>
        <v>114219.7121270581</v>
      </c>
      <c r="F185" s="47">
        <v>0</v>
      </c>
      <c r="G185" s="20">
        <v>6.0400000000000002E-2</v>
      </c>
      <c r="H185" s="38">
        <f t="shared" si="25"/>
        <v>0.29942990168596512</v>
      </c>
      <c r="I185" s="32">
        <f t="shared" si="29"/>
        <v>114397.26658801199</v>
      </c>
      <c r="J185" s="47">
        <v>0</v>
      </c>
      <c r="K185" s="19">
        <v>5.9799999999999999E-2</v>
      </c>
      <c r="L185" s="38">
        <f t="shared" si="26"/>
        <v>0.24768389448489397</v>
      </c>
      <c r="M185" s="32">
        <f t="shared" si="30"/>
        <v>94627.691982018034</v>
      </c>
      <c r="N185" s="47">
        <v>0</v>
      </c>
      <c r="O185" s="19">
        <v>9.2899999999999996E-2</v>
      </c>
      <c r="P185" s="38">
        <f t="shared" si="27"/>
        <v>0.12018981086461081</v>
      </c>
      <c r="Q185" s="31">
        <f t="shared" si="31"/>
        <v>45918.546401760665</v>
      </c>
      <c r="R185" s="47">
        <v>0</v>
      </c>
      <c r="S185" s="26">
        <v>4.2000000000000003E-2</v>
      </c>
      <c r="T185" s="38">
        <f t="shared" si="28"/>
        <v>3.3731232407204124E-2</v>
      </c>
      <c r="U185" s="31">
        <f t="shared" si="32"/>
        <v>12887.025525179832</v>
      </c>
      <c r="V185" s="47">
        <v>0</v>
      </c>
      <c r="W185" s="37">
        <f t="shared" si="33"/>
        <v>382050.24262402859</v>
      </c>
      <c r="X185" s="40">
        <f t="shared" si="34"/>
        <v>5.9628619695711649E-2</v>
      </c>
      <c r="Y185" s="1"/>
      <c r="Z185" s="1"/>
      <c r="AA185" s="1"/>
      <c r="AB185" s="1"/>
      <c r="AC185" s="1"/>
      <c r="AD185" s="1"/>
      <c r="AE185" s="1"/>
      <c r="AP185"/>
      <c r="AQ185"/>
      <c r="AR185"/>
      <c r="AS185"/>
      <c r="AT185"/>
      <c r="AU185"/>
      <c r="AV185"/>
      <c r="AW185"/>
    </row>
    <row r="186" spans="1:49" x14ac:dyDescent="0.35">
      <c r="A186" s="105" cm="1">
        <f t="array" ref="A186">SUM(G180:G185+K180:K185+O180:O185)</f>
        <v>3.0600000000000072E-2</v>
      </c>
      <c r="B186" s="10" t="s">
        <v>180</v>
      </c>
      <c r="C186" s="20">
        <v>5.7000000000000002E-2</v>
      </c>
      <c r="D186" s="38">
        <f t="shared" si="24"/>
        <v>0.32986567411927137</v>
      </c>
      <c r="E186" s="32">
        <f t="shared" si="35"/>
        <v>120730.23571830041</v>
      </c>
      <c r="F186" s="47">
        <v>0</v>
      </c>
      <c r="G186" s="15">
        <v>-8.5000000000000006E-2</v>
      </c>
      <c r="H186" s="38">
        <f t="shared" si="25"/>
        <v>0.28599459017774403</v>
      </c>
      <c r="I186" s="32">
        <f t="shared" si="29"/>
        <v>104673.49892803097</v>
      </c>
      <c r="J186" s="47">
        <v>0</v>
      </c>
      <c r="K186" s="17">
        <v>-0.11609999999999999</v>
      </c>
      <c r="L186" s="38">
        <f t="shared" si="26"/>
        <v>0.22852959923427418</v>
      </c>
      <c r="M186" s="32">
        <f t="shared" si="30"/>
        <v>83641.416942905737</v>
      </c>
      <c r="N186" s="47">
        <v>0</v>
      </c>
      <c r="O186" s="17">
        <v>-4.2000000000000003E-2</v>
      </c>
      <c r="P186" s="38">
        <f t="shared" si="27"/>
        <v>0.12019176622987182</v>
      </c>
      <c r="Q186" s="31">
        <f t="shared" si="31"/>
        <v>43989.967452886718</v>
      </c>
      <c r="R186" s="47">
        <v>0</v>
      </c>
      <c r="S186" s="26">
        <v>5.8999999999999999E-3</v>
      </c>
      <c r="T186" s="38">
        <f t="shared" si="28"/>
        <v>3.5418370238838523E-2</v>
      </c>
      <c r="U186" s="31">
        <f t="shared" si="32"/>
        <v>12963.058975778393</v>
      </c>
      <c r="V186" s="47">
        <v>0</v>
      </c>
      <c r="W186" s="37">
        <f t="shared" si="33"/>
        <v>365998.17801790225</v>
      </c>
      <c r="X186" s="40">
        <f t="shared" si="34"/>
        <v>-4.2015585426346647E-2</v>
      </c>
      <c r="Y186" s="1"/>
      <c r="Z186" s="1"/>
      <c r="AA186" s="1"/>
      <c r="AB186" s="1"/>
      <c r="AC186" s="1"/>
      <c r="AD186" s="1"/>
      <c r="AE186" s="1"/>
      <c r="AP186"/>
      <c r="AQ186"/>
      <c r="AR186"/>
      <c r="AS186"/>
      <c r="AT186"/>
      <c r="AU186"/>
      <c r="AV186"/>
      <c r="AW186"/>
    </row>
    <row r="187" spans="1:49" x14ac:dyDescent="0.35">
      <c r="A187" s="106" cm="1">
        <f t="array" ref="A187">SUM(G181:G186+K181:K186+O181:O186)</f>
        <v>-0.28069999999999995</v>
      </c>
      <c r="B187" s="9" t="s">
        <v>181</v>
      </c>
      <c r="C187" s="15">
        <v>-2.1499999999999998E-2</v>
      </c>
      <c r="D187" s="38">
        <f t="shared" si="24"/>
        <v>0.31397103800937876</v>
      </c>
      <c r="E187" s="32">
        <f t="shared" si="35"/>
        <v>118134.53565035695</v>
      </c>
      <c r="F187" s="47">
        <v>0</v>
      </c>
      <c r="G187" s="20">
        <v>2.4299999999999999E-2</v>
      </c>
      <c r="H187" s="38">
        <f t="shared" si="25"/>
        <v>0.28495522490497971</v>
      </c>
      <c r="I187" s="32">
        <f t="shared" si="29"/>
        <v>107217.06495198212</v>
      </c>
      <c r="J187" s="47">
        <v>0</v>
      </c>
      <c r="K187" s="19">
        <v>5.7099999999999998E-2</v>
      </c>
      <c r="L187" s="38">
        <f t="shared" si="26"/>
        <v>0.23499042380752974</v>
      </c>
      <c r="M187" s="32">
        <f t="shared" si="30"/>
        <v>88417.341850345649</v>
      </c>
      <c r="N187" s="47">
        <v>0</v>
      </c>
      <c r="O187" s="19">
        <v>4.7800000000000002E-2</v>
      </c>
      <c r="P187" s="38">
        <f t="shared" si="27"/>
        <v>0.12250244167834071</v>
      </c>
      <c r="Q187" s="31">
        <f t="shared" si="31"/>
        <v>46092.687897134703</v>
      </c>
      <c r="R187" s="47">
        <v>0</v>
      </c>
      <c r="S187" s="27">
        <v>-4.87E-2</v>
      </c>
      <c r="T187" s="38">
        <f t="shared" si="28"/>
        <v>4.3580871599770948E-2</v>
      </c>
      <c r="U187" s="31">
        <v>16397.71</v>
      </c>
      <c r="V187" s="47">
        <v>0</v>
      </c>
      <c r="W187" s="37">
        <f t="shared" si="33"/>
        <v>376259.34034981945</v>
      </c>
      <c r="X187" s="40">
        <f t="shared" si="34"/>
        <v>2.8036102221840276E-2</v>
      </c>
      <c r="Y187" s="1"/>
      <c r="Z187" s="1"/>
      <c r="AA187" s="1"/>
      <c r="AB187" s="1"/>
      <c r="AC187" s="1"/>
      <c r="AD187" s="1"/>
      <c r="AE187" s="1"/>
      <c r="AP187"/>
      <c r="AQ187"/>
      <c r="AR187"/>
      <c r="AS187"/>
      <c r="AT187"/>
      <c r="AU187"/>
      <c r="AV187"/>
      <c r="AW187"/>
    </row>
    <row r="188" spans="1:49" x14ac:dyDescent="0.35">
      <c r="A188" s="105" cm="1">
        <f t="array" ref="A188">SUM(G182:G187+K182:K187+O182:O187)</f>
        <v>-0.12839999999999993</v>
      </c>
      <c r="B188" s="10" t="s">
        <v>182</v>
      </c>
      <c r="C188" s="20">
        <v>4.5999999999999999E-3</v>
      </c>
      <c r="D188" s="38">
        <f t="shared" si="24"/>
        <v>0.30686806727784327</v>
      </c>
      <c r="E188" s="32">
        <f t="shared" si="35"/>
        <v>118677.95451434859</v>
      </c>
      <c r="F188" s="47">
        <v>0</v>
      </c>
      <c r="G188" s="20">
        <v>4.0899999999999999E-2</v>
      </c>
      <c r="H188" s="38">
        <f t="shared" si="25"/>
        <v>0.2885722519009945</v>
      </c>
      <c r="I188" s="32">
        <f t="shared" si="29"/>
        <v>111602.24290851818</v>
      </c>
      <c r="J188" s="47">
        <v>0</v>
      </c>
      <c r="K188" s="19">
        <v>6.3200000000000006E-2</v>
      </c>
      <c r="L188" s="38">
        <f t="shared" si="26"/>
        <v>0.24307151502685928</v>
      </c>
      <c r="M188" s="32">
        <f t="shared" si="30"/>
        <v>94005.317855287489</v>
      </c>
      <c r="N188" s="47">
        <v>0</v>
      </c>
      <c r="O188" s="17">
        <v>-4.5999999999999999E-3</v>
      </c>
      <c r="P188" s="38">
        <f t="shared" si="27"/>
        <v>0.11863458540060537</v>
      </c>
      <c r="Q188" s="31">
        <f t="shared" si="31"/>
        <v>45880.661532807884</v>
      </c>
      <c r="R188" s="47">
        <v>0</v>
      </c>
      <c r="S188" s="26">
        <v>1.0699999999999999E-2</v>
      </c>
      <c r="T188" s="38">
        <f t="shared" si="28"/>
        <v>4.2853580393697618E-2</v>
      </c>
      <c r="U188" s="31">
        <f t="shared" si="32"/>
        <v>16573.165496999998</v>
      </c>
      <c r="V188" s="47">
        <v>0</v>
      </c>
      <c r="W188" s="37">
        <f t="shared" si="33"/>
        <v>386739.34230796213</v>
      </c>
      <c r="X188" s="40">
        <f t="shared" si="34"/>
        <v>2.7853134352489706E-2</v>
      </c>
      <c r="Y188" s="1"/>
      <c r="Z188" s="1"/>
      <c r="AA188" s="1"/>
      <c r="AB188" s="1"/>
      <c r="AC188" s="1"/>
      <c r="AD188" s="1"/>
      <c r="AE188" s="1"/>
      <c r="AP188"/>
      <c r="AQ188"/>
      <c r="AR188"/>
      <c r="AS188"/>
      <c r="AT188"/>
      <c r="AU188"/>
      <c r="AV188"/>
      <c r="AW188"/>
    </row>
    <row r="189" spans="1:49" x14ac:dyDescent="0.35">
      <c r="A189" s="106" cm="1">
        <f t="array" ref="A189">SUM(G183:G188+K183:K188+O183:O188)</f>
        <v>-0.40889999999999993</v>
      </c>
      <c r="B189" s="11" t="s">
        <v>183</v>
      </c>
      <c r="C189" s="20">
        <v>3.0300000000000001E-2</v>
      </c>
      <c r="D189" s="38">
        <f t="shared" si="24"/>
        <v>0.30319032661022649</v>
      </c>
      <c r="E189" s="32">
        <f t="shared" si="35"/>
        <v>122273.89653613335</v>
      </c>
      <c r="F189" s="47">
        <v>0</v>
      </c>
      <c r="G189" s="20">
        <v>6.59E-2</v>
      </c>
      <c r="H189" s="38">
        <f t="shared" si="25"/>
        <v>0.29496533094208571</v>
      </c>
      <c r="I189" s="32">
        <f t="shared" si="29"/>
        <v>118956.83071618952</v>
      </c>
      <c r="J189" s="47">
        <v>0</v>
      </c>
      <c r="K189" s="19">
        <v>2.2499999999999999E-2</v>
      </c>
      <c r="L189" s="38">
        <f t="shared" si="26"/>
        <v>0.23834021542825948</v>
      </c>
      <c r="M189" s="32">
        <f t="shared" si="30"/>
        <v>96120.437507031456</v>
      </c>
      <c r="N189" s="47">
        <v>0</v>
      </c>
      <c r="O189" s="19">
        <v>5.8999999999999997E-2</v>
      </c>
      <c r="P189" s="38">
        <f t="shared" si="27"/>
        <v>0.12047785312403372</v>
      </c>
      <c r="Q189" s="31">
        <f t="shared" si="31"/>
        <v>48587.620563243552</v>
      </c>
      <c r="R189" s="47">
        <v>0</v>
      </c>
      <c r="S189" s="26">
        <v>4.7E-2</v>
      </c>
      <c r="T189" s="38">
        <f t="shared" si="28"/>
        <v>4.3026273895394498E-2</v>
      </c>
      <c r="U189" s="31">
        <f t="shared" si="32"/>
        <v>17352.104275358997</v>
      </c>
      <c r="V189" s="47">
        <v>0</v>
      </c>
      <c r="W189" s="37">
        <f t="shared" si="33"/>
        <v>403290.88959795691</v>
      </c>
      <c r="X189" s="40">
        <f t="shared" si="34"/>
        <v>4.2797681744038085E-2</v>
      </c>
      <c r="Y189" s="1"/>
      <c r="Z189" s="1"/>
      <c r="AA189" s="1"/>
      <c r="AB189" s="1"/>
      <c r="AC189" s="1"/>
      <c r="AD189" s="1"/>
      <c r="AE189" s="1"/>
      <c r="AP189"/>
      <c r="AQ189"/>
      <c r="AR189"/>
      <c r="AS189"/>
      <c r="AT189"/>
      <c r="AU189"/>
      <c r="AV189"/>
      <c r="AW189"/>
    </row>
    <row r="190" spans="1:49" x14ac:dyDescent="0.35">
      <c r="A190" s="105" cm="1">
        <f t="array" ref="A190">SUM(G184:G189+K184:K189+O184:O189)</f>
        <v>-0.1358</v>
      </c>
      <c r="B190" s="10" t="s">
        <v>184</v>
      </c>
      <c r="C190" s="20">
        <v>4.4999999999999997E-3</v>
      </c>
      <c r="D190" s="38">
        <f t="shared" si="24"/>
        <v>0.29511841309495035</v>
      </c>
      <c r="E190" s="32">
        <f t="shared" si="35"/>
        <v>122824.12907054595</v>
      </c>
      <c r="F190" s="47">
        <v>0</v>
      </c>
      <c r="G190" s="20">
        <v>5.0999999999999997E-2</v>
      </c>
      <c r="H190" s="38">
        <f t="shared" si="25"/>
        <v>0.30040331076209259</v>
      </c>
      <c r="I190" s="32">
        <f t="shared" si="29"/>
        <v>125023.62908271518</v>
      </c>
      <c r="J190" s="47">
        <v>0</v>
      </c>
      <c r="K190" s="19">
        <v>4.5600000000000002E-2</v>
      </c>
      <c r="L190" s="38">
        <f t="shared" si="26"/>
        <v>0.24148709498977525</v>
      </c>
      <c r="M190" s="32">
        <f t="shared" si="30"/>
        <v>100503.5294573521</v>
      </c>
      <c r="N190" s="47">
        <v>0</v>
      </c>
      <c r="O190" s="19">
        <v>3.5000000000000003E-2</v>
      </c>
      <c r="P190" s="38">
        <f t="shared" si="27"/>
        <v>0.12083106259881406</v>
      </c>
      <c r="Q190" s="31">
        <f t="shared" si="31"/>
        <v>50288.187282957078</v>
      </c>
      <c r="R190" s="47">
        <v>0</v>
      </c>
      <c r="S190" s="26">
        <v>1.12E-2</v>
      </c>
      <c r="T190" s="38">
        <f t="shared" si="28"/>
        <v>4.2160118554367826E-2</v>
      </c>
      <c r="U190" s="31">
        <f t="shared" si="32"/>
        <v>17546.447843243019</v>
      </c>
      <c r="V190" s="47">
        <v>0</v>
      </c>
      <c r="W190" s="37">
        <f t="shared" si="33"/>
        <v>416185.92273681331</v>
      </c>
      <c r="X190" s="40">
        <f t="shared" si="34"/>
        <v>3.1974521298290481E-2</v>
      </c>
      <c r="Y190" s="1"/>
      <c r="Z190" s="1"/>
      <c r="AA190" s="1"/>
      <c r="AB190" s="1"/>
      <c r="AC190" s="1"/>
      <c r="AD190" s="1"/>
      <c r="AE190" s="1"/>
      <c r="AP190"/>
      <c r="AQ190"/>
      <c r="AR190"/>
      <c r="AS190"/>
      <c r="AT190"/>
      <c r="AU190"/>
      <c r="AV190"/>
      <c r="AW190"/>
    </row>
    <row r="191" spans="1:49" x14ac:dyDescent="0.35">
      <c r="A191" s="106" cm="1">
        <f t="array" ref="A191">SUM(G185:G190+K185:K190+O185:O190)</f>
        <v>0.47770000000000001</v>
      </c>
      <c r="B191" s="11" t="s">
        <v>185</v>
      </c>
      <c r="C191" s="20">
        <v>2.6700000000000002E-2</v>
      </c>
      <c r="D191" s="38">
        <f t="shared" si="24"/>
        <v>0.313485330321221</v>
      </c>
      <c r="E191" s="32">
        <f t="shared" si="35"/>
        <v>126103.53331672953</v>
      </c>
      <c r="F191" s="47">
        <v>0</v>
      </c>
      <c r="G191" s="15">
        <v>-5.6899999999999999E-2</v>
      </c>
      <c r="H191" s="38">
        <f t="shared" si="25"/>
        <v>0.29311619426876812</v>
      </c>
      <c r="I191" s="32">
        <f t="shared" si="29"/>
        <v>117909.78458790868</v>
      </c>
      <c r="J191" s="47">
        <v>0</v>
      </c>
      <c r="K191" s="17">
        <v>-6.9800000000000001E-2</v>
      </c>
      <c r="L191" s="38">
        <f t="shared" si="26"/>
        <v>0.23240614982671193</v>
      </c>
      <c r="M191" s="32">
        <f t="shared" si="30"/>
        <v>93488.383101228916</v>
      </c>
      <c r="N191" s="47">
        <v>0</v>
      </c>
      <c r="O191" s="17">
        <v>-6.4500000000000002E-2</v>
      </c>
      <c r="P191" s="38">
        <f t="shared" si="27"/>
        <v>0.11694986915239808</v>
      </c>
      <c r="Q191" s="31">
        <f t="shared" si="31"/>
        <v>47044.599203206344</v>
      </c>
      <c r="R191" s="47">
        <v>0</v>
      </c>
      <c r="S191" s="26">
        <v>9.7000000000000003E-3</v>
      </c>
      <c r="T191" s="38">
        <f t="shared" si="28"/>
        <v>4.4042456430900843E-2</v>
      </c>
      <c r="U191" s="31">
        <f t="shared" si="32"/>
        <v>17716.648387322475</v>
      </c>
      <c r="V191" s="47">
        <v>0</v>
      </c>
      <c r="W191" s="37">
        <f t="shared" si="33"/>
        <v>402262.94859639596</v>
      </c>
      <c r="X191" s="40">
        <f t="shared" si="34"/>
        <v>-3.3453736370660292E-2</v>
      </c>
      <c r="Y191" s="1"/>
      <c r="Z191" s="1"/>
      <c r="AA191" s="1"/>
      <c r="AB191" s="1"/>
      <c r="AC191" s="1"/>
      <c r="AD191" s="1"/>
      <c r="AE191" s="1"/>
      <c r="AP191"/>
      <c r="AQ191"/>
      <c r="AR191"/>
      <c r="AS191"/>
      <c r="AT191"/>
      <c r="AU191"/>
      <c r="AV191"/>
      <c r="AW191"/>
    </row>
    <row r="192" spans="1:49" x14ac:dyDescent="0.35">
      <c r="A192" s="105" cm="1">
        <f t="array" ref="A192">SUM(G186:G191+K186:K191+O186:O191)</f>
        <v>7.3399999999999993E-2</v>
      </c>
      <c r="B192" s="10" t="s">
        <v>186</v>
      </c>
      <c r="C192" s="20">
        <v>3.56E-2</v>
      </c>
      <c r="D192" s="38">
        <f t="shared" si="24"/>
        <v>0.31724924677735022</v>
      </c>
      <c r="E192" s="32">
        <f t="shared" si="35"/>
        <v>130592.81910280511</v>
      </c>
      <c r="F192" s="47">
        <v>0</v>
      </c>
      <c r="G192" s="20">
        <v>2.53E-2</v>
      </c>
      <c r="H192" s="38">
        <f t="shared" si="25"/>
        <v>0.29368523022548892</v>
      </c>
      <c r="I192" s="32">
        <f t="shared" si="29"/>
        <v>120892.90213798278</v>
      </c>
      <c r="J192" s="47">
        <v>0</v>
      </c>
      <c r="K192" s="19">
        <v>2.2599999999999999E-2</v>
      </c>
      <c r="L192" s="38">
        <f t="shared" si="26"/>
        <v>0.23224412660517468</v>
      </c>
      <c r="M192" s="32">
        <f t="shared" si="30"/>
        <v>95601.220559316687</v>
      </c>
      <c r="N192" s="47">
        <v>0</v>
      </c>
      <c r="O192" s="19">
        <v>1.0999999999999999E-2</v>
      </c>
      <c r="P192" s="38">
        <f t="shared" si="27"/>
        <v>0.11554262528451066</v>
      </c>
      <c r="Q192" s="31">
        <f t="shared" si="31"/>
        <v>47562.089794441614</v>
      </c>
      <c r="R192" s="47">
        <v>0</v>
      </c>
      <c r="S192" s="27">
        <v>-4.0899999999999999E-2</v>
      </c>
      <c r="T192" s="38">
        <f t="shared" si="28"/>
        <v>4.1278771107475569E-2</v>
      </c>
      <c r="U192" s="31">
        <f t="shared" si="32"/>
        <v>16992.037468280985</v>
      </c>
      <c r="V192" s="47">
        <v>0</v>
      </c>
      <c r="W192" s="37">
        <f t="shared" si="33"/>
        <v>411641.06906282715</v>
      </c>
      <c r="X192" s="40">
        <f t="shared" si="34"/>
        <v>2.3313408553171433E-2</v>
      </c>
      <c r="Y192" s="1"/>
      <c r="Z192" s="1"/>
      <c r="AA192" s="1"/>
      <c r="AB192" s="1"/>
      <c r="AC192" s="1"/>
      <c r="AD192" s="1"/>
      <c r="AE192" s="1"/>
      <c r="AP192"/>
      <c r="AQ192"/>
      <c r="AR192"/>
      <c r="AS192"/>
      <c r="AT192"/>
      <c r="AU192"/>
      <c r="AV192"/>
      <c r="AW192"/>
    </row>
    <row r="193" spans="1:49" x14ac:dyDescent="0.35">
      <c r="A193" s="106" cm="1">
        <f t="array" ref="A193">SUM(G187:G192+K187:K192+O187:O192)</f>
        <v>0.37540000000000001</v>
      </c>
      <c r="B193" s="11" t="s">
        <v>187</v>
      </c>
      <c r="C193" s="15">
        <v>-5.1000000000000004E-3</v>
      </c>
      <c r="D193" s="38">
        <f t="shared" si="24"/>
        <v>0.31698748543959593</v>
      </c>
      <c r="E193" s="32">
        <f t="shared" si="35"/>
        <v>129926.7957253808</v>
      </c>
      <c r="F193" s="47">
        <v>0</v>
      </c>
      <c r="G193" s="20">
        <v>5.7000000000000002E-3</v>
      </c>
      <c r="H193" s="38">
        <f t="shared" si="25"/>
        <v>0.29662834061493032</v>
      </c>
      <c r="I193" s="32">
        <f t="shared" si="29"/>
        <v>121581.99168016927</v>
      </c>
      <c r="J193" s="47">
        <v>0</v>
      </c>
      <c r="K193" s="17">
        <v>-5.9999999999999995E-4</v>
      </c>
      <c r="L193" s="38">
        <f t="shared" si="26"/>
        <v>0.23310209188689815</v>
      </c>
      <c r="M193" s="32">
        <f t="shared" si="30"/>
        <v>95543.85982698109</v>
      </c>
      <c r="N193" s="47">
        <v>0</v>
      </c>
      <c r="O193" s="17">
        <v>-3.3700000000000001E-2</v>
      </c>
      <c r="P193" s="38">
        <f t="shared" si="27"/>
        <v>0.11212857343752472</v>
      </c>
      <c r="Q193" s="31">
        <f t="shared" si="31"/>
        <v>45959.247368368931</v>
      </c>
      <c r="R193" s="47">
        <v>0</v>
      </c>
      <c r="S193" s="27">
        <v>-7.3000000000000001E-3</v>
      </c>
      <c r="T193" s="38">
        <f t="shared" si="28"/>
        <v>4.1153508621050737E-2</v>
      </c>
      <c r="U193" s="31">
        <f t="shared" si="32"/>
        <v>16867.995594762535</v>
      </c>
      <c r="V193" s="47">
        <v>0</v>
      </c>
      <c r="W193" s="37">
        <f t="shared" si="33"/>
        <v>409879.89019566268</v>
      </c>
      <c r="X193" s="40">
        <f t="shared" si="34"/>
        <v>-4.2784333234147098E-3</v>
      </c>
      <c r="Y193" s="1"/>
      <c r="Z193" s="1"/>
      <c r="AA193" s="1"/>
      <c r="AB193" s="1"/>
      <c r="AC193" s="1"/>
      <c r="AD193" s="1"/>
      <c r="AE193" s="1"/>
      <c r="AP193"/>
      <c r="AQ193"/>
      <c r="AR193"/>
      <c r="AS193"/>
      <c r="AT193"/>
      <c r="AU193"/>
      <c r="AV193"/>
      <c r="AW193"/>
    </row>
    <row r="194" spans="1:49" x14ac:dyDescent="0.35">
      <c r="A194" s="106" cm="1">
        <f t="array" ref="A194">SUM(G188:G193+K188:K193+O188:O193)</f>
        <v>0.21759999999999996</v>
      </c>
      <c r="B194" s="10" t="s">
        <v>188</v>
      </c>
      <c r="C194" s="20">
        <v>0.1837</v>
      </c>
      <c r="D194" s="38">
        <f t="shared" si="24"/>
        <v>0.34017044899345578</v>
      </c>
      <c r="E194" s="32">
        <f t="shared" si="35"/>
        <v>153794.34810013324</v>
      </c>
      <c r="F194" s="47">
        <v>0</v>
      </c>
      <c r="G194" s="20">
        <v>7.9699999999999993E-2</v>
      </c>
      <c r="H194" s="38">
        <f t="shared" si="25"/>
        <v>0.29035450084307896</v>
      </c>
      <c r="I194" s="32">
        <f t="shared" si="29"/>
        <v>131272.07641707876</v>
      </c>
      <c r="J194" s="47">
        <v>0</v>
      </c>
      <c r="K194" s="19">
        <v>4.53E-2</v>
      </c>
      <c r="L194" s="38">
        <f t="shared" si="26"/>
        <v>0.22090214868895655</v>
      </c>
      <c r="M194" s="32">
        <f t="shared" si="30"/>
        <v>99871.996677143339</v>
      </c>
      <c r="N194" s="47">
        <v>0</v>
      </c>
      <c r="O194" s="19">
        <v>5.8000000000000003E-2</v>
      </c>
      <c r="P194" s="38">
        <f t="shared" si="27"/>
        <v>0.10755108188414365</v>
      </c>
      <c r="Q194" s="31">
        <f t="shared" si="31"/>
        <v>48624.88371573433</v>
      </c>
      <c r="R194" s="47">
        <v>0</v>
      </c>
      <c r="S194" s="26">
        <v>9.9500000000000005E-2</v>
      </c>
      <c r="T194" s="38">
        <f t="shared" si="28"/>
        <v>4.1021819590365008E-2</v>
      </c>
      <c r="U194" s="31">
        <f t="shared" si="32"/>
        <v>18546.361156441406</v>
      </c>
      <c r="V194" s="47">
        <v>0</v>
      </c>
      <c r="W194" s="37">
        <f t="shared" si="33"/>
        <v>452109.66606653109</v>
      </c>
      <c r="X194" s="40">
        <f t="shared" si="34"/>
        <v>0.10302963595191117</v>
      </c>
      <c r="Y194" s="1"/>
      <c r="Z194" s="1"/>
      <c r="AA194" s="1"/>
      <c r="AB194" s="1"/>
      <c r="AC194" s="1"/>
      <c r="AD194" s="1"/>
      <c r="AE194" s="1"/>
      <c r="AP194"/>
      <c r="AQ194"/>
      <c r="AR194"/>
      <c r="AS194"/>
      <c r="AT194"/>
      <c r="AU194"/>
      <c r="AV194"/>
      <c r="AW194"/>
    </row>
    <row r="195" spans="1:49" x14ac:dyDescent="0.35">
      <c r="A195" s="106" cm="1">
        <f t="array" ref="A195">SUM(G189:G194+K189:K194+O189:O194)</f>
        <v>0.30109999999999998</v>
      </c>
      <c r="B195" s="11" t="s">
        <v>189</v>
      </c>
      <c r="C195" s="15">
        <v>-3.3700000000000001E-2</v>
      </c>
      <c r="D195" s="38">
        <f t="shared" si="24"/>
        <v>0.28037407440095136</v>
      </c>
      <c r="E195" s="32">
        <f t="shared" si="35"/>
        <v>126767.80324515876</v>
      </c>
      <c r="F195" s="48">
        <v>-22605.48</v>
      </c>
      <c r="G195" s="20">
        <v>1.4999999999999999E-2</v>
      </c>
      <c r="H195" s="38">
        <f t="shared" si="25"/>
        <v>0.31160688026326538</v>
      </c>
      <c r="I195" s="32">
        <f t="shared" si="29"/>
        <v>140889.34496333494</v>
      </c>
      <c r="J195" s="49">
        <v>7535.16</v>
      </c>
      <c r="K195" s="19">
        <v>1.47E-2</v>
      </c>
      <c r="L195" s="38">
        <f t="shared" si="26"/>
        <v>0.24104591096934269</v>
      </c>
      <c r="M195" s="32">
        <f t="shared" si="30"/>
        <v>108986.04188029734</v>
      </c>
      <c r="N195" s="49">
        <v>7535.16</v>
      </c>
      <c r="O195" s="19">
        <v>1.4800000000000001E-2</v>
      </c>
      <c r="P195" s="38">
        <f t="shared" si="27"/>
        <v>0.12604823942784482</v>
      </c>
      <c r="Q195" s="31">
        <f t="shared" si="31"/>
        <v>56991.212362727194</v>
      </c>
      <c r="R195" s="49">
        <v>7535.16</v>
      </c>
      <c r="S195" s="27">
        <v>-2.3E-3</v>
      </c>
      <c r="T195" s="38">
        <f t="shared" si="28"/>
        <v>4.0924894938595822E-2</v>
      </c>
      <c r="U195" s="31">
        <f t="shared" si="32"/>
        <v>18503.704525781592</v>
      </c>
      <c r="V195" s="47">
        <v>0</v>
      </c>
      <c r="W195" s="37">
        <f t="shared" si="33"/>
        <v>452138.10697729979</v>
      </c>
      <c r="X195" s="40">
        <f t="shared" si="34"/>
        <v>6.2907106181064876E-5</v>
      </c>
      <c r="Y195" s="1"/>
      <c r="Z195" s="1"/>
      <c r="AA195" s="1"/>
      <c r="AB195" s="1"/>
      <c r="AC195" s="1"/>
      <c r="AD195" s="1"/>
      <c r="AE195" s="1"/>
      <c r="AP195"/>
      <c r="AQ195"/>
      <c r="AR195"/>
      <c r="AS195"/>
      <c r="AT195"/>
      <c r="AU195"/>
      <c r="AV195"/>
      <c r="AW195"/>
    </row>
    <row r="196" spans="1:49" x14ac:dyDescent="0.35">
      <c r="A196" s="105" cm="1">
        <f t="array" ref="A196">SUM(G190:G195+K190:K195+O190:O195)</f>
        <v>0.19819999999999999</v>
      </c>
      <c r="B196" s="10" t="s">
        <v>190</v>
      </c>
      <c r="C196" s="15">
        <v>-1.4800000000000001E-2</v>
      </c>
      <c r="D196" s="38">
        <f t="shared" si="24"/>
        <v>0.2807926817449829</v>
      </c>
      <c r="E196" s="32">
        <f t="shared" si="35"/>
        <v>124891.63975713041</v>
      </c>
      <c r="F196" s="47">
        <v>0</v>
      </c>
      <c r="G196" s="15">
        <v>-2.1499999999999998E-2</v>
      </c>
      <c r="H196" s="38">
        <f t="shared" si="25"/>
        <v>0.30994982603553695</v>
      </c>
      <c r="I196" s="32">
        <f t="shared" si="29"/>
        <v>137860.22404662325</v>
      </c>
      <c r="J196" s="47">
        <v>0</v>
      </c>
      <c r="K196" s="17">
        <v>-1.4999999999999999E-2</v>
      </c>
      <c r="L196" s="38">
        <f t="shared" si="26"/>
        <v>0.24135679366827786</v>
      </c>
      <c r="M196" s="32">
        <f t="shared" si="30"/>
        <v>107351.25125209289</v>
      </c>
      <c r="N196" s="47">
        <v>0</v>
      </c>
      <c r="O196" s="17">
        <v>-1E-3</v>
      </c>
      <c r="P196" s="38">
        <f t="shared" si="27"/>
        <v>0.1280046660525973</v>
      </c>
      <c r="Q196" s="31">
        <f t="shared" si="31"/>
        <v>56934.221150364465</v>
      </c>
      <c r="R196" s="47">
        <v>0</v>
      </c>
      <c r="S196" s="27">
        <v>-4.1000000000000002E-2</v>
      </c>
      <c r="T196" s="38">
        <f t="shared" si="28"/>
        <v>3.9896032498604968E-2</v>
      </c>
      <c r="U196" s="31">
        <f t="shared" si="32"/>
        <v>17745.052640224545</v>
      </c>
      <c r="V196" s="47">
        <v>0</v>
      </c>
      <c r="W196" s="37">
        <f t="shared" si="33"/>
        <v>444782.38884643558</v>
      </c>
      <c r="X196" s="40">
        <f t="shared" si="34"/>
        <v>-1.6268741823244559E-2</v>
      </c>
      <c r="Y196" s="1"/>
      <c r="Z196" s="1"/>
      <c r="AA196" s="1"/>
      <c r="AB196" s="1"/>
      <c r="AC196" s="1"/>
      <c r="AD196" s="1"/>
      <c r="AE196" s="1"/>
      <c r="AP196"/>
      <c r="AQ196"/>
      <c r="AR196"/>
      <c r="AS196"/>
      <c r="AT196"/>
      <c r="AU196"/>
      <c r="AV196"/>
      <c r="AW196"/>
    </row>
    <row r="197" spans="1:49" x14ac:dyDescent="0.35">
      <c r="A197" s="105" cm="1">
        <f t="array" ref="A197">SUM(G191:G196+K191:K196+O191:O196)</f>
        <v>2.9099999999999952E-2</v>
      </c>
      <c r="B197" s="11" t="s">
        <v>191</v>
      </c>
      <c r="C197" s="20">
        <v>1.6400000000000001E-2</v>
      </c>
      <c r="D197" s="38">
        <f t="shared" si="24"/>
        <v>0.26870790470385064</v>
      </c>
      <c r="E197" s="32">
        <f t="shared" si="35"/>
        <v>126939.86264914736</v>
      </c>
      <c r="F197" s="47">
        <v>0</v>
      </c>
      <c r="G197" s="20">
        <v>8.6199999999999999E-2</v>
      </c>
      <c r="H197" s="38">
        <f t="shared" si="25"/>
        <v>0.31697951517793038</v>
      </c>
      <c r="I197" s="32">
        <f t="shared" si="29"/>
        <v>149743.77535944217</v>
      </c>
      <c r="J197" s="47">
        <v>0</v>
      </c>
      <c r="K197" s="19">
        <v>9.3100000000000002E-2</v>
      </c>
      <c r="L197" s="38">
        <f t="shared" si="26"/>
        <v>0.24839875998610961</v>
      </c>
      <c r="M197" s="32">
        <f t="shared" si="30"/>
        <v>117345.65274366274</v>
      </c>
      <c r="N197" s="47">
        <v>0</v>
      </c>
      <c r="O197" s="19">
        <v>4.9399999999999999E-2</v>
      </c>
      <c r="P197" s="38">
        <f t="shared" si="27"/>
        <v>0.12647272097681111</v>
      </c>
      <c r="Q197" s="31">
        <f t="shared" si="31"/>
        <v>59746.771675192467</v>
      </c>
      <c r="R197" s="47">
        <v>0</v>
      </c>
      <c r="S197" s="26">
        <v>0.05</v>
      </c>
      <c r="T197" s="38">
        <f t="shared" si="28"/>
        <v>3.944109915529842E-2</v>
      </c>
      <c r="U197" s="31">
        <f t="shared" si="32"/>
        <v>18632.305272235772</v>
      </c>
      <c r="V197" s="47">
        <v>0</v>
      </c>
      <c r="W197" s="37">
        <f t="shared" si="33"/>
        <v>472408.36769968044</v>
      </c>
      <c r="X197" s="40">
        <f t="shared" si="34"/>
        <v>6.2111224603325965E-2</v>
      </c>
      <c r="Y197" s="1"/>
      <c r="Z197" s="1"/>
      <c r="AA197" s="1"/>
      <c r="AB197" s="1"/>
      <c r="AC197" s="1"/>
      <c r="AD197" s="1"/>
      <c r="AE197" s="1"/>
      <c r="AP197"/>
      <c r="AQ197"/>
      <c r="AR197"/>
      <c r="AS197"/>
      <c r="AT197"/>
      <c r="AU197"/>
      <c r="AV197"/>
      <c r="AW197"/>
    </row>
    <row r="198" spans="1:49" x14ac:dyDescent="0.35">
      <c r="A198" s="106" cm="1">
        <f t="array" ref="A198">SUM(G192:G197+K192:K197+O192:O197)</f>
        <v>0.44899999999999995</v>
      </c>
      <c r="B198" s="10" t="s">
        <v>192</v>
      </c>
      <c r="C198" s="15">
        <v>-5.7000000000000002E-3</v>
      </c>
      <c r="D198" s="38">
        <f t="shared" si="24"/>
        <v>0.28131945630097144</v>
      </c>
      <c r="E198" s="32">
        <f t="shared" si="35"/>
        <v>131524.08763504721</v>
      </c>
      <c r="F198" s="49">
        <v>5338.21</v>
      </c>
      <c r="G198" s="15">
        <v>-1.34E-2</v>
      </c>
      <c r="H198" s="38">
        <f t="shared" si="25"/>
        <v>0.31224302646196239</v>
      </c>
      <c r="I198" s="32">
        <f t="shared" si="29"/>
        <v>145981.65272962564</v>
      </c>
      <c r="J198" s="48">
        <v>-1779.4</v>
      </c>
      <c r="K198" s="17">
        <v>-1.77E-2</v>
      </c>
      <c r="L198" s="38">
        <f t="shared" si="26"/>
        <v>0.24281172092844822</v>
      </c>
      <c r="M198" s="32">
        <f t="shared" si="30"/>
        <v>113520.73007009992</v>
      </c>
      <c r="N198" s="48">
        <v>-1779.4</v>
      </c>
      <c r="O198" s="19">
        <v>1.18E-2</v>
      </c>
      <c r="P198" s="38">
        <f t="shared" si="27"/>
        <v>0.12545060379010414</v>
      </c>
      <c r="Q198" s="31">
        <f t="shared" si="31"/>
        <v>58651.386660959739</v>
      </c>
      <c r="R198" s="48">
        <v>-1779.4</v>
      </c>
      <c r="S198" s="27">
        <v>-4.2099999999999999E-2</v>
      </c>
      <c r="T198" s="38">
        <f t="shared" si="28"/>
        <v>3.8175192518513798E-2</v>
      </c>
      <c r="U198" s="31">
        <f t="shared" si="32"/>
        <v>17847.885220274646</v>
      </c>
      <c r="V198" s="47">
        <v>0</v>
      </c>
      <c r="W198" s="37">
        <f t="shared" si="33"/>
        <v>467525.74231600715</v>
      </c>
      <c r="X198" s="40">
        <f t="shared" si="34"/>
        <v>-1.0335603087321399E-2</v>
      </c>
      <c r="Y198" s="1"/>
      <c r="Z198" s="1"/>
      <c r="AA198" s="1"/>
      <c r="AB198" s="1"/>
      <c r="AC198" s="1"/>
      <c r="AD198" s="1"/>
      <c r="AE198" s="1"/>
      <c r="AP198"/>
      <c r="AQ198"/>
      <c r="AR198"/>
      <c r="AS198"/>
      <c r="AT198"/>
      <c r="AU198"/>
      <c r="AV198"/>
      <c r="AW198"/>
    </row>
    <row r="199" spans="1:49" x14ac:dyDescent="0.35">
      <c r="A199" s="106" cm="1">
        <f t="array" ref="A199">SUM(G193:G198+K193:K198+O193:O198)</f>
        <v>0.37080000000000002</v>
      </c>
      <c r="B199" s="9" t="s">
        <v>193</v>
      </c>
      <c r="C199" s="20">
        <v>0.1061</v>
      </c>
      <c r="D199" s="38">
        <f t="shared" si="24"/>
        <v>0.29543726013305471</v>
      </c>
      <c r="E199" s="32">
        <f t="shared" si="35"/>
        <v>145478.79333312571</v>
      </c>
      <c r="F199" s="47">
        <v>0</v>
      </c>
      <c r="G199" s="20">
        <v>5.3900000000000003E-2</v>
      </c>
      <c r="H199" s="38">
        <f t="shared" si="25"/>
        <v>0.31243757445635933</v>
      </c>
      <c r="I199" s="32">
        <f t="shared" si="29"/>
        <v>153850.06381175245</v>
      </c>
      <c r="J199" s="47">
        <v>0</v>
      </c>
      <c r="K199" s="19">
        <v>2.29E-2</v>
      </c>
      <c r="L199" s="38">
        <f t="shared" si="26"/>
        <v>0.23581635974871484</v>
      </c>
      <c r="M199" s="32">
        <f t="shared" si="30"/>
        <v>116120.35478870521</v>
      </c>
      <c r="N199" s="47">
        <v>0</v>
      </c>
      <c r="O199" s="17">
        <v>-9.2999999999999992E-3</v>
      </c>
      <c r="P199" s="38">
        <f t="shared" si="27"/>
        <v>0.11800109142033258</v>
      </c>
      <c r="Q199" s="31">
        <f t="shared" si="31"/>
        <v>58105.92876501281</v>
      </c>
      <c r="R199" s="47">
        <v>0</v>
      </c>
      <c r="S199" s="26">
        <v>5.6899999999999999E-2</v>
      </c>
      <c r="T199" s="38">
        <f t="shared" si="28"/>
        <v>3.8307714241538449E-2</v>
      </c>
      <c r="U199" s="31">
        <f t="shared" si="32"/>
        <v>18863.429889308274</v>
      </c>
      <c r="V199" s="47">
        <v>0</v>
      </c>
      <c r="W199" s="37">
        <f t="shared" si="33"/>
        <v>492418.57058790448</v>
      </c>
      <c r="X199" s="40">
        <f t="shared" si="34"/>
        <v>5.3243759688149872E-2</v>
      </c>
      <c r="Y199" s="1"/>
      <c r="Z199" s="1"/>
      <c r="AA199" s="1"/>
      <c r="AB199" s="1"/>
      <c r="AC199" s="1"/>
      <c r="AD199" s="1"/>
      <c r="AE199" s="1"/>
      <c r="AP199"/>
      <c r="AQ199"/>
      <c r="AR199"/>
      <c r="AS199"/>
      <c r="AT199"/>
      <c r="AU199"/>
      <c r="AV199"/>
      <c r="AW199"/>
    </row>
    <row r="200" spans="1:49" x14ac:dyDescent="0.35">
      <c r="A200" s="106" cm="1">
        <f t="array" ref="A200">SUM(G194:G199+K194:K199+O194:O199)</f>
        <v>0.46689999999999998</v>
      </c>
      <c r="B200" s="10" t="s">
        <v>194</v>
      </c>
      <c r="C200" s="20">
        <v>5.4699999999999999E-2</v>
      </c>
      <c r="D200" s="38">
        <f t="shared" si="24"/>
        <v>0.31095414440501334</v>
      </c>
      <c r="E200" s="32">
        <f t="shared" si="35"/>
        <v>153436.48332844768</v>
      </c>
      <c r="F200" s="47">
        <v>0</v>
      </c>
      <c r="G200" s="15">
        <v>-3.15E-2</v>
      </c>
      <c r="H200" s="38">
        <f t="shared" si="25"/>
        <v>0.30197084834669019</v>
      </c>
      <c r="I200" s="32">
        <f t="shared" si="29"/>
        <v>149003.78680168226</v>
      </c>
      <c r="J200" s="47">
        <v>0</v>
      </c>
      <c r="K200" s="17">
        <v>-3.61E-2</v>
      </c>
      <c r="L200" s="38">
        <f t="shared" si="26"/>
        <v>0.22683394591167985</v>
      </c>
      <c r="M200" s="32">
        <f t="shared" si="30"/>
        <v>111928.40998083295</v>
      </c>
      <c r="N200" s="47">
        <v>0</v>
      </c>
      <c r="O200" s="19">
        <v>1.7500000000000002E-2</v>
      </c>
      <c r="P200" s="38">
        <f t="shared" si="27"/>
        <v>0.11981814138361689</v>
      </c>
      <c r="Q200" s="31">
        <f t="shared" si="31"/>
        <v>59122.782518400534</v>
      </c>
      <c r="R200" s="47">
        <v>0</v>
      </c>
      <c r="S200" s="26">
        <v>5.74E-2</v>
      </c>
      <c r="T200" s="38">
        <f t="shared" si="28"/>
        <v>4.0422919952999785E-2</v>
      </c>
      <c r="U200" s="31">
        <f t="shared" si="32"/>
        <v>19946.190764954568</v>
      </c>
      <c r="V200" s="47">
        <v>0</v>
      </c>
      <c r="W200" s="37">
        <f t="shared" si="33"/>
        <v>493437.65339431795</v>
      </c>
      <c r="X200" s="40">
        <f t="shared" si="34"/>
        <v>2.0695458442940851E-3</v>
      </c>
      <c r="Y200" s="1"/>
      <c r="Z200" s="1"/>
      <c r="AA200" s="1"/>
      <c r="AB200" s="1"/>
      <c r="AC200" s="1"/>
      <c r="AD200" s="1"/>
      <c r="AE200" s="1"/>
      <c r="AP200"/>
      <c r="AQ200"/>
      <c r="AR200"/>
      <c r="AS200"/>
      <c r="AT200"/>
      <c r="AU200"/>
      <c r="AV200"/>
      <c r="AW200"/>
    </row>
    <row r="201" spans="1:49" x14ac:dyDescent="0.35">
      <c r="A201" s="106" cm="1">
        <f t="array" ref="A201">SUM(G195:G200+K195:K200+O195:O200)</f>
        <v>0.23380000000000006</v>
      </c>
      <c r="B201" s="11" t="s">
        <v>195</v>
      </c>
      <c r="C201" s="20">
        <v>0.14990000000000001</v>
      </c>
      <c r="D201" s="38">
        <f t="shared" si="24"/>
        <v>0.34631873109716749</v>
      </c>
      <c r="E201" s="32">
        <f t="shared" si="35"/>
        <v>176436.61217938198</v>
      </c>
      <c r="F201" s="47">
        <v>0</v>
      </c>
      <c r="G201" s="20">
        <v>1.2800000000000001E-2</v>
      </c>
      <c r="H201" s="38">
        <f t="shared" si="25"/>
        <v>0.2962158341097636</v>
      </c>
      <c r="I201" s="32">
        <f t="shared" si="29"/>
        <v>150911.03527274379</v>
      </c>
      <c r="J201" s="47">
        <v>0</v>
      </c>
      <c r="K201" s="17">
        <v>-9.4500000000000001E-2</v>
      </c>
      <c r="L201" s="38">
        <f t="shared" si="26"/>
        <v>0.19893722719988444</v>
      </c>
      <c r="M201" s="32">
        <f t="shared" si="30"/>
        <v>101351.17523764423</v>
      </c>
      <c r="N201" s="47">
        <v>0</v>
      </c>
      <c r="O201" s="17">
        <v>-2.4899999999999999E-2</v>
      </c>
      <c r="P201" s="38">
        <f t="shared" si="27"/>
        <v>0.11315957119824935</v>
      </c>
      <c r="Q201" s="31">
        <f t="shared" si="31"/>
        <v>57650.625233692364</v>
      </c>
      <c r="R201" s="47">
        <v>0</v>
      </c>
      <c r="S201" s="26">
        <v>0.1588</v>
      </c>
      <c r="T201" s="38">
        <f t="shared" si="28"/>
        <v>4.5368636394935075E-2</v>
      </c>
      <c r="U201" s="31">
        <f t="shared" si="32"/>
        <v>23113.645858429354</v>
      </c>
      <c r="V201" s="47">
        <v>0</v>
      </c>
      <c r="W201" s="37">
        <f t="shared" si="33"/>
        <v>509463.09378189174</v>
      </c>
      <c r="X201" s="40">
        <f t="shared" si="34"/>
        <v>3.2477133184579898E-2</v>
      </c>
      <c r="Y201" s="1"/>
      <c r="Z201" s="1"/>
      <c r="AA201" s="1"/>
      <c r="AB201" s="1"/>
      <c r="AC201" s="1"/>
      <c r="AD201" s="1"/>
      <c r="AE201" s="1"/>
      <c r="AP201"/>
      <c r="AQ201"/>
      <c r="AR201"/>
      <c r="AS201"/>
      <c r="AT201"/>
      <c r="AU201"/>
      <c r="AV201"/>
      <c r="AW201"/>
    </row>
    <row r="202" spans="1:49" x14ac:dyDescent="0.35">
      <c r="A202" s="105" cm="1">
        <f t="array" ref="A202">SUM(G196:G201+K196:K201+O196:O201)</f>
        <v>8.2700000000000023E-2</v>
      </c>
      <c r="B202" s="10" t="s">
        <v>196</v>
      </c>
      <c r="C202" s="20">
        <v>9.9000000000000005E-2</v>
      </c>
      <c r="D202" s="38">
        <f t="shared" si="24"/>
        <v>0.33757713149837337</v>
      </c>
      <c r="E202" s="32">
        <f t="shared" si="35"/>
        <v>193903.8367851408</v>
      </c>
      <c r="F202" s="47">
        <v>0</v>
      </c>
      <c r="G202" s="20">
        <v>0.1575</v>
      </c>
      <c r="H202" s="38">
        <f t="shared" si="25"/>
        <v>0.30410853851219966</v>
      </c>
      <c r="I202" s="32">
        <f t="shared" si="29"/>
        <v>174679.52332820094</v>
      </c>
      <c r="J202" s="47">
        <v>0</v>
      </c>
      <c r="K202" s="19">
        <v>0.1694</v>
      </c>
      <c r="L202" s="38">
        <f t="shared" si="26"/>
        <v>0.20633765686370209</v>
      </c>
      <c r="M202" s="32">
        <f t="shared" si="30"/>
        <v>118520.06432290116</v>
      </c>
      <c r="N202" s="47">
        <v>0</v>
      </c>
      <c r="O202" s="19">
        <v>0.1027</v>
      </c>
      <c r="P202" s="38">
        <f t="shared" si="27"/>
        <v>0.11067461304070335</v>
      </c>
      <c r="Q202" s="31">
        <f t="shared" si="31"/>
        <v>63571.344445192568</v>
      </c>
      <c r="R202" s="47">
        <v>0</v>
      </c>
      <c r="S202" s="26">
        <v>2.64E-2</v>
      </c>
      <c r="T202" s="38">
        <f t="shared" si="28"/>
        <v>4.1302060085021491E-2</v>
      </c>
      <c r="U202" s="31">
        <f t="shared" si="32"/>
        <v>23723.84610909189</v>
      </c>
      <c r="V202" s="47">
        <v>0</v>
      </c>
      <c r="W202" s="37">
        <f t="shared" si="33"/>
        <v>574398.61499052739</v>
      </c>
      <c r="X202" s="40">
        <f t="shared" si="34"/>
        <v>0.1274587345014544</v>
      </c>
      <c r="Y202" s="1"/>
      <c r="Z202" s="1"/>
      <c r="AA202" s="1"/>
      <c r="AB202" s="1"/>
      <c r="AC202" s="1"/>
      <c r="AD202" s="1"/>
      <c r="AE202" s="1"/>
      <c r="AP202"/>
      <c r="AQ202"/>
      <c r="AR202"/>
      <c r="AS202"/>
      <c r="AT202"/>
      <c r="AU202"/>
      <c r="AV202"/>
      <c r="AW202"/>
    </row>
    <row r="203" spans="1:49" x14ac:dyDescent="0.35">
      <c r="A203" s="106" cm="1">
        <f t="array" ref="A203">SUM(G197:G202+K197:K202+O197:O202)</f>
        <v>0.54980000000000007</v>
      </c>
      <c r="B203" s="11" t="s">
        <v>197</v>
      </c>
      <c r="C203" s="20">
        <v>3.9600000000000003E-2</v>
      </c>
      <c r="D203" s="38">
        <f t="shared" si="24"/>
        <v>0.33326498780654029</v>
      </c>
      <c r="E203" s="32">
        <f t="shared" si="35"/>
        <v>201582.42872183237</v>
      </c>
      <c r="F203" s="47">
        <v>0</v>
      </c>
      <c r="G203" s="20">
        <v>5.8900000000000001E-2</v>
      </c>
      <c r="H203" s="38">
        <f t="shared" si="25"/>
        <v>0.30579752277752548</v>
      </c>
      <c r="I203" s="32">
        <f t="shared" si="29"/>
        <v>184968.14725223198</v>
      </c>
      <c r="J203" s="47">
        <v>0</v>
      </c>
      <c r="K203" s="19">
        <v>7.9799999999999996E-2</v>
      </c>
      <c r="L203" s="38">
        <f t="shared" si="26"/>
        <v>0.21157883337148545</v>
      </c>
      <c r="M203" s="32">
        <f t="shared" si="30"/>
        <v>127977.96545586867</v>
      </c>
      <c r="N203" s="47">
        <v>0</v>
      </c>
      <c r="O203" s="19">
        <v>4.3200000000000002E-2</v>
      </c>
      <c r="P203" s="38">
        <f t="shared" si="27"/>
        <v>0.10963923361487946</v>
      </c>
      <c r="Q203" s="31">
        <f t="shared" si="31"/>
        <v>66317.626525224885</v>
      </c>
      <c r="R203" s="47">
        <v>0</v>
      </c>
      <c r="S203" s="26">
        <v>1.2699999999999999E-2</v>
      </c>
      <c r="T203" s="38">
        <f t="shared" si="28"/>
        <v>3.9719422429569218E-2</v>
      </c>
      <c r="U203" s="31">
        <f t="shared" si="32"/>
        <v>24025.138954677357</v>
      </c>
      <c r="V203" s="47">
        <v>0</v>
      </c>
      <c r="W203" s="37">
        <f t="shared" si="33"/>
        <v>604871.30690983532</v>
      </c>
      <c r="X203" s="40">
        <f t="shared" si="34"/>
        <v>5.3051471789865801E-2</v>
      </c>
      <c r="Y203" s="1"/>
      <c r="Z203" s="1"/>
      <c r="AA203" s="1"/>
      <c r="AB203" s="1"/>
      <c r="AC203" s="1"/>
      <c r="AD203" s="1"/>
      <c r="AE203" s="1"/>
      <c r="AP203"/>
      <c r="AQ203"/>
      <c r="AR203"/>
      <c r="AS203"/>
      <c r="AT203"/>
      <c r="AU203"/>
      <c r="AV203"/>
      <c r="AW203"/>
    </row>
    <row r="204" spans="1:49" x14ac:dyDescent="0.35">
      <c r="A204" s="106" cm="1">
        <f t="array" ref="A204">SUM(G198:G203+K198:K203+O198:O203)</f>
        <v>0.503</v>
      </c>
      <c r="B204" s="10" t="s">
        <v>198</v>
      </c>
      <c r="C204" s="20">
        <v>3.0200000000000001E-2</v>
      </c>
      <c r="D204" s="38">
        <f t="shared" si="24"/>
        <v>0.28361177779938479</v>
      </c>
      <c r="E204" s="32">
        <f t="shared" si="35"/>
        <v>176513.2922552317</v>
      </c>
      <c r="F204" s="48">
        <v>-30243.57</v>
      </c>
      <c r="G204" s="20">
        <v>1.8200000000000001E-2</v>
      </c>
      <c r="H204" s="38">
        <f t="shared" si="25"/>
        <v>0.31909824717593038</v>
      </c>
      <c r="I204" s="32">
        <f t="shared" si="29"/>
        <v>198599.23519022259</v>
      </c>
      <c r="J204" s="49">
        <v>10081.19</v>
      </c>
      <c r="K204" s="19">
        <v>3.0599999999999999E-2</v>
      </c>
      <c r="L204" s="38">
        <f t="shared" si="26"/>
        <v>0.22861367096984914</v>
      </c>
      <c r="M204" s="32">
        <f t="shared" si="30"/>
        <v>142283.76561281827</v>
      </c>
      <c r="N204" s="49">
        <v>10081.19</v>
      </c>
      <c r="O204" s="19">
        <v>5.9700000000000003E-2</v>
      </c>
      <c r="P204" s="38">
        <f t="shared" si="27"/>
        <v>0.13008176241267649</v>
      </c>
      <c r="Q204" s="31">
        <f t="shared" si="31"/>
        <v>80959.825871780806</v>
      </c>
      <c r="R204" s="49">
        <v>10081.19</v>
      </c>
      <c r="S204" s="27">
        <v>-2.0000000000000001E-4</v>
      </c>
      <c r="T204" s="38">
        <f t="shared" si="28"/>
        <v>3.8594541642159079E-2</v>
      </c>
      <c r="U204" s="31">
        <f t="shared" si="32"/>
        <v>24020.333926886422</v>
      </c>
      <c r="V204" s="47">
        <v>0</v>
      </c>
      <c r="W204" s="37">
        <f t="shared" si="33"/>
        <v>622376.45285693987</v>
      </c>
      <c r="X204" s="40">
        <f t="shared" si="34"/>
        <v>2.894028158904538E-2</v>
      </c>
      <c r="Y204" s="1"/>
      <c r="Z204" s="1"/>
      <c r="AA204" s="1"/>
      <c r="AB204" s="1"/>
      <c r="AC204" s="1"/>
      <c r="AD204" s="1"/>
      <c r="AE204" s="1"/>
      <c r="AP204"/>
      <c r="AQ204"/>
      <c r="AR204"/>
      <c r="AS204"/>
      <c r="AT204"/>
      <c r="AU204"/>
      <c r="AV204"/>
      <c r="AW204"/>
    </row>
    <row r="205" spans="1:49" x14ac:dyDescent="0.35">
      <c r="A205" s="106" cm="1">
        <f t="array" ref="A205">SUM(G199:G204+K199:K204+O199:O204)</f>
        <v>0.63080000000000003</v>
      </c>
      <c r="B205" s="11" t="s">
        <v>199</v>
      </c>
      <c r="C205" s="20">
        <v>5.6899999999999999E-2</v>
      </c>
      <c r="D205" s="38">
        <f t="shared" si="24"/>
        <v>0.29494136615573585</v>
      </c>
      <c r="E205" s="32">
        <f t="shared" si="35"/>
        <v>186556.89858455438</v>
      </c>
      <c r="F205" s="47">
        <v>0</v>
      </c>
      <c r="G205" s="20">
        <v>6.1999999999999998E-3</v>
      </c>
      <c r="H205" s="38">
        <f t="shared" si="25"/>
        <v>0.31592664755943822</v>
      </c>
      <c r="I205" s="32">
        <f t="shared" si="29"/>
        <v>199830.55044840198</v>
      </c>
      <c r="J205" s="47">
        <v>0</v>
      </c>
      <c r="K205" s="17">
        <v>-1.8499999999999999E-2</v>
      </c>
      <c r="L205" s="38">
        <f t="shared" si="26"/>
        <v>0.22078523609805653</v>
      </c>
      <c r="M205" s="32">
        <f t="shared" si="30"/>
        <v>139651.51594898113</v>
      </c>
      <c r="N205" s="47">
        <v>0</v>
      </c>
      <c r="O205" s="19">
        <v>3.2300000000000002E-2</v>
      </c>
      <c r="P205" s="38">
        <f t="shared" si="27"/>
        <v>0.13212952298496003</v>
      </c>
      <c r="Q205" s="31">
        <f t="shared" si="31"/>
        <v>83574.82824743932</v>
      </c>
      <c r="R205" s="47">
        <v>0</v>
      </c>
      <c r="S205" s="27">
        <v>-4.6300000000000001E-2</v>
      </c>
      <c r="T205" s="38">
        <f t="shared" si="28"/>
        <v>3.6217227201809227E-2</v>
      </c>
      <c r="U205" s="31">
        <f t="shared" si="32"/>
        <v>22908.192466071581</v>
      </c>
      <c r="V205" s="47">
        <v>0</v>
      </c>
      <c r="W205" s="37">
        <f t="shared" si="33"/>
        <v>632521.98569544847</v>
      </c>
      <c r="X205" s="40">
        <f t="shared" si="34"/>
        <v>1.6301280024231035E-2</v>
      </c>
      <c r="Y205" s="1"/>
      <c r="Z205" s="1"/>
      <c r="AA205" s="1"/>
      <c r="AB205" s="1"/>
      <c r="AC205" s="1"/>
      <c r="AD205" s="1"/>
      <c r="AE205" s="1"/>
      <c r="AP205"/>
      <c r="AQ205"/>
      <c r="AR205"/>
      <c r="AS205"/>
      <c r="AT205"/>
      <c r="AU205"/>
      <c r="AV205"/>
      <c r="AW205"/>
    </row>
    <row r="206" spans="1:49" x14ac:dyDescent="0.35">
      <c r="A206" s="106" cm="1">
        <f t="array" ref="A206">SUM(G200:G205+K200:K205+O200:O205)</f>
        <v>0.58330000000000004</v>
      </c>
      <c r="B206" s="10" t="s">
        <v>200</v>
      </c>
      <c r="C206" s="20">
        <v>4.1599999999999998E-2</v>
      </c>
      <c r="D206" s="38">
        <f t="shared" si="24"/>
        <v>0.28334327968734391</v>
      </c>
      <c r="E206" s="32">
        <f t="shared" si="35"/>
        <v>194317.66556567184</v>
      </c>
      <c r="F206" s="47">
        <v>0</v>
      </c>
      <c r="G206" s="20">
        <v>0.11890000000000001</v>
      </c>
      <c r="H206" s="38">
        <f t="shared" si="25"/>
        <v>0.32602716731361508</v>
      </c>
      <c r="I206" s="32">
        <f t="shared" si="29"/>
        <v>223590.40289671696</v>
      </c>
      <c r="J206" s="47">
        <v>0</v>
      </c>
      <c r="K206" s="19">
        <v>0.10290000000000001</v>
      </c>
      <c r="L206" s="38">
        <f t="shared" si="26"/>
        <v>0.22458586713284076</v>
      </c>
      <c r="M206" s="32">
        <f t="shared" si="30"/>
        <v>154021.6569401313</v>
      </c>
      <c r="N206" s="47">
        <v>0</v>
      </c>
      <c r="O206" s="19">
        <v>7.5899999999999995E-2</v>
      </c>
      <c r="P206" s="38">
        <f t="shared" si="27"/>
        <v>0.13111368765794015</v>
      </c>
      <c r="Q206" s="31">
        <f t="shared" si="31"/>
        <v>89918.157711419961</v>
      </c>
      <c r="R206" s="47">
        <v>0</v>
      </c>
      <c r="S206" s="26">
        <v>4.5699999999999998E-2</v>
      </c>
      <c r="T206" s="38">
        <f t="shared" si="28"/>
        <v>3.4929998208260142E-2</v>
      </c>
      <c r="U206" s="31">
        <f t="shared" si="32"/>
        <v>23955.096861771053</v>
      </c>
      <c r="V206" s="47">
        <v>0</v>
      </c>
      <c r="W206" s="37">
        <f t="shared" si="33"/>
        <v>685802.97997571109</v>
      </c>
      <c r="X206" s="40">
        <f t="shared" si="34"/>
        <v>8.4235798099066894E-2</v>
      </c>
      <c r="Y206" s="1"/>
      <c r="Z206" s="1"/>
      <c r="AA206" s="1"/>
      <c r="AB206" s="1"/>
      <c r="AC206" s="1"/>
      <c r="AD206" s="1"/>
      <c r="AE206" s="1"/>
      <c r="AP206"/>
      <c r="AQ206"/>
      <c r="AR206"/>
      <c r="AS206"/>
      <c r="AT206"/>
      <c r="AU206"/>
      <c r="AV206"/>
      <c r="AW206"/>
    </row>
    <row r="207" spans="1:49" x14ac:dyDescent="0.35">
      <c r="A207" s="106" cm="1">
        <f t="array" ref="A207">SUM(G201:G206+K201:K206+O201:O206)</f>
        <v>0.93109999999999993</v>
      </c>
      <c r="B207" s="11" t="s">
        <v>201</v>
      </c>
      <c r="C207" s="20">
        <v>1.6999999999999999E-3</v>
      </c>
      <c r="D207" s="38">
        <f t="shared" si="24"/>
        <v>0.28112281932877431</v>
      </c>
      <c r="E207" s="32">
        <f t="shared" si="35"/>
        <v>194648.00559713348</v>
      </c>
      <c r="F207" s="47">
        <v>0</v>
      </c>
      <c r="G207" s="20">
        <v>4.1999999999999997E-3</v>
      </c>
      <c r="H207" s="38">
        <f t="shared" si="25"/>
        <v>0.32427951662889959</v>
      </c>
      <c r="I207" s="32">
        <f t="shared" si="29"/>
        <v>224529.48258888317</v>
      </c>
      <c r="J207" s="47">
        <v>0</v>
      </c>
      <c r="K207" s="19">
        <v>7.3000000000000001E-3</v>
      </c>
      <c r="L207" s="38">
        <f t="shared" si="26"/>
        <v>0.2240715748444802</v>
      </c>
      <c r="M207" s="32">
        <f t="shared" si="30"/>
        <v>155146.01503579426</v>
      </c>
      <c r="N207" s="47">
        <v>0</v>
      </c>
      <c r="O207" s="19">
        <v>3.4700000000000002E-2</v>
      </c>
      <c r="P207" s="38">
        <f t="shared" si="27"/>
        <v>0.13437175541978147</v>
      </c>
      <c r="Q207" s="31">
        <f t="shared" si="31"/>
        <v>93038.317784006227</v>
      </c>
      <c r="R207" s="47">
        <v>0</v>
      </c>
      <c r="S207" s="26">
        <v>4.4999999999999998E-2</v>
      </c>
      <c r="T207" s="38">
        <f t="shared" si="28"/>
        <v>3.6154333778064471E-2</v>
      </c>
      <c r="U207" s="31">
        <f t="shared" si="32"/>
        <v>25033.076220550749</v>
      </c>
      <c r="V207" s="47">
        <v>0</v>
      </c>
      <c r="W207" s="37">
        <f t="shared" si="33"/>
        <v>692394.89722636784</v>
      </c>
      <c r="X207" s="40">
        <f t="shared" si="34"/>
        <v>9.6119693893574887E-3</v>
      </c>
      <c r="Y207" s="1"/>
      <c r="Z207" s="1"/>
      <c r="AA207" s="1"/>
      <c r="AB207" s="1"/>
      <c r="AC207" s="1"/>
      <c r="AD207" s="1"/>
      <c r="AE207" s="1"/>
      <c r="AP207"/>
      <c r="AQ207"/>
      <c r="AR207"/>
      <c r="AS207"/>
      <c r="AT207"/>
      <c r="AU207"/>
      <c r="AV207"/>
      <c r="AW207"/>
    </row>
    <row r="208" spans="1:49" x14ac:dyDescent="0.35">
      <c r="A208" s="106" cm="1">
        <f t="array" ref="A208">SUM(G202:G207+K202:K207+O202:O207)</f>
        <v>1.0839000000000001</v>
      </c>
      <c r="B208" s="10" t="s">
        <v>202</v>
      </c>
      <c r="C208" s="20">
        <v>2.2100000000000002E-2</v>
      </c>
      <c r="D208" s="38">
        <f t="shared" si="24"/>
        <v>0.28093905677747466</v>
      </c>
      <c r="E208" s="32">
        <f t="shared" si="35"/>
        <v>198949.72652083013</v>
      </c>
      <c r="F208" s="47">
        <v>0</v>
      </c>
      <c r="G208" s="15">
        <v>-2.3E-3</v>
      </c>
      <c r="H208" s="38">
        <f t="shared" si="25"/>
        <v>0.31633126732764999</v>
      </c>
      <c r="I208" s="32">
        <f t="shared" si="29"/>
        <v>224013.06477892873</v>
      </c>
      <c r="J208" s="47">
        <v>0</v>
      </c>
      <c r="K208" s="19">
        <v>4.87E-2</v>
      </c>
      <c r="L208" s="38">
        <f t="shared" si="26"/>
        <v>0.22975272263486193</v>
      </c>
      <c r="M208" s="32">
        <f t="shared" si="30"/>
        <v>162701.62596803744</v>
      </c>
      <c r="N208" s="47">
        <v>0</v>
      </c>
      <c r="O208" s="19">
        <v>4.0500000000000001E-2</v>
      </c>
      <c r="P208" s="38">
        <f t="shared" si="27"/>
        <v>0.13670131975713684</v>
      </c>
      <c r="Q208" s="31">
        <f t="shared" si="31"/>
        <v>96806.36965425848</v>
      </c>
      <c r="R208" s="47">
        <v>0</v>
      </c>
      <c r="S208" s="26">
        <v>2.6200000000000001E-2</v>
      </c>
      <c r="T208" s="38">
        <f t="shared" si="28"/>
        <v>3.6275633502876437E-2</v>
      </c>
      <c r="U208" s="31">
        <f t="shared" si="32"/>
        <v>25688.94281752918</v>
      </c>
      <c r="V208" s="47">
        <v>0</v>
      </c>
      <c r="W208" s="37">
        <f t="shared" si="33"/>
        <v>708159.72973958403</v>
      </c>
      <c r="X208" s="40">
        <f t="shared" si="34"/>
        <v>2.2768556753332225E-2</v>
      </c>
      <c r="Y208" s="1"/>
      <c r="Z208" s="1"/>
      <c r="AA208" s="1"/>
      <c r="AB208" s="1"/>
      <c r="AC208" s="1"/>
      <c r="AD208" s="1"/>
      <c r="AE208" s="1"/>
      <c r="AP208"/>
      <c r="AQ208"/>
      <c r="AR208"/>
      <c r="AS208"/>
      <c r="AT208"/>
      <c r="AU208"/>
      <c r="AV208"/>
      <c r="AW208"/>
    </row>
    <row r="209" spans="1:49" x14ac:dyDescent="0.35">
      <c r="A209" s="106" cm="1">
        <f t="array" ref="A209">SUM(G203:G208+K203:K208+O203:O208)</f>
        <v>0.74119999999999997</v>
      </c>
      <c r="B209" s="11" t="s">
        <v>203</v>
      </c>
      <c r="C209" s="15">
        <v>-0.12509999999999999</v>
      </c>
      <c r="D209" s="38">
        <f t="shared" si="24"/>
        <v>0.24769753197479186</v>
      </c>
      <c r="E209" s="32">
        <f t="shared" si="35"/>
        <v>174061.11573307429</v>
      </c>
      <c r="F209" s="47">
        <v>0</v>
      </c>
      <c r="G209" s="20">
        <v>2.4199999999999999E-2</v>
      </c>
      <c r="H209" s="38">
        <f t="shared" si="25"/>
        <v>0.32649612828103203</v>
      </c>
      <c r="I209" s="32">
        <f t="shared" si="29"/>
        <v>229434.1809465788</v>
      </c>
      <c r="J209" s="47">
        <v>0</v>
      </c>
      <c r="K209" s="19">
        <v>9.3399999999999997E-2</v>
      </c>
      <c r="L209" s="38">
        <f t="shared" si="26"/>
        <v>0.25315754706683569</v>
      </c>
      <c r="M209" s="32">
        <f t="shared" si="30"/>
        <v>177897.95783345212</v>
      </c>
      <c r="N209" s="47">
        <v>0</v>
      </c>
      <c r="O209" s="19">
        <v>7.9000000000000008E-3</v>
      </c>
      <c r="P209" s="38">
        <f t="shared" si="27"/>
        <v>0.13884853295275648</v>
      </c>
      <c r="Q209" s="31">
        <f t="shared" si="31"/>
        <v>97571.139974527119</v>
      </c>
      <c r="R209" s="47">
        <v>0</v>
      </c>
      <c r="S209" s="27">
        <v>-7.5399999999999995E-2</v>
      </c>
      <c r="T209" s="38">
        <f t="shared" si="28"/>
        <v>3.3800259724584038E-2</v>
      </c>
      <c r="U209" s="31">
        <f t="shared" si="32"/>
        <v>23751.996529087479</v>
      </c>
      <c r="V209" s="47">
        <v>0</v>
      </c>
      <c r="W209" s="37">
        <f t="shared" si="33"/>
        <v>702716.39101671975</v>
      </c>
      <c r="X209" s="40">
        <f t="shared" si="34"/>
        <v>-7.6865973794725262E-3</v>
      </c>
      <c r="Y209" s="1"/>
      <c r="Z209" s="1"/>
      <c r="AA209" s="1"/>
      <c r="AB209" s="1"/>
      <c r="AC209" s="1"/>
      <c r="AD209" s="1"/>
      <c r="AE209" s="1"/>
      <c r="AP209"/>
      <c r="AQ209"/>
      <c r="AR209"/>
      <c r="AS209"/>
      <c r="AT209"/>
      <c r="AU209"/>
      <c r="AV209"/>
      <c r="AW209"/>
    </row>
    <row r="210" spans="1:49" x14ac:dyDescent="0.35">
      <c r="A210" s="106" cm="1">
        <f t="array" ref="A210">SUM(G204:G209+K204:K209+O204:O209)</f>
        <v>0.68480000000000008</v>
      </c>
      <c r="B210" s="10" t="s">
        <v>204</v>
      </c>
      <c r="C210" s="20">
        <v>3.8899999999999997E-2</v>
      </c>
      <c r="D210" s="38">
        <f t="shared" si="24"/>
        <v>0.28351983962697946</v>
      </c>
      <c r="E210" s="32">
        <f t="shared" si="35"/>
        <v>205142.83102909086</v>
      </c>
      <c r="F210" s="49">
        <v>23400.46</v>
      </c>
      <c r="G210" s="20">
        <v>8.6999999999999994E-3</v>
      </c>
      <c r="H210" s="38">
        <f t="shared" si="25"/>
        <v>0.30897679924067978</v>
      </c>
      <c r="I210" s="32">
        <f t="shared" si="29"/>
        <v>223562.39832081404</v>
      </c>
      <c r="J210" s="48">
        <v>-7800</v>
      </c>
      <c r="K210" s="19">
        <v>5.3400000000000003E-2</v>
      </c>
      <c r="L210" s="38">
        <f t="shared" si="26"/>
        <v>0.24763927480542403</v>
      </c>
      <c r="M210" s="32">
        <f t="shared" si="30"/>
        <v>179181.18878175848</v>
      </c>
      <c r="N210" s="48">
        <v>-7800</v>
      </c>
      <c r="O210" s="19">
        <v>3.1199999999999999E-2</v>
      </c>
      <c r="P210" s="38">
        <f t="shared" si="27"/>
        <v>0.12794012021945281</v>
      </c>
      <c r="Q210" s="31">
        <f t="shared" si="31"/>
        <v>92571.999541732366</v>
      </c>
      <c r="R210" s="48">
        <v>-7800</v>
      </c>
      <c r="S210" s="27">
        <v>-2.75E-2</v>
      </c>
      <c r="T210" s="38">
        <f t="shared" si="28"/>
        <v>3.1923966107463946E-2</v>
      </c>
      <c r="U210" s="31">
        <f t="shared" si="32"/>
        <v>23098.816624537572</v>
      </c>
      <c r="V210" s="47">
        <v>0</v>
      </c>
      <c r="W210" s="37">
        <f t="shared" si="33"/>
        <v>723557.23429793329</v>
      </c>
      <c r="X210" s="40">
        <f t="shared" si="34"/>
        <v>2.9657545416096109E-2</v>
      </c>
      <c r="Y210" s="1"/>
      <c r="Z210" s="1"/>
      <c r="AA210" s="1"/>
      <c r="AB210" s="1"/>
      <c r="AC210" s="1"/>
      <c r="AD210" s="1"/>
      <c r="AE210" s="1"/>
      <c r="AP210"/>
      <c r="AQ210"/>
      <c r="AR210"/>
      <c r="AS210"/>
      <c r="AT210"/>
      <c r="AU210"/>
      <c r="AV210"/>
      <c r="AW210"/>
    </row>
    <row r="211" spans="1:49" x14ac:dyDescent="0.35">
      <c r="A211" s="106" cm="1">
        <f t="array" ref="A211">SUM(G205:G210+K205:K210+O205:O210)</f>
        <v>0.66959999999999997</v>
      </c>
      <c r="B211" s="9" t="s">
        <v>205</v>
      </c>
      <c r="C211" s="20">
        <v>1.9E-2</v>
      </c>
      <c r="D211" s="38">
        <f t="shared" si="24"/>
        <v>0.27450500809239553</v>
      </c>
      <c r="E211" s="32">
        <f t="shared" si="35"/>
        <v>209040.54481864357</v>
      </c>
      <c r="F211" s="47">
        <v>0</v>
      </c>
      <c r="G211" s="20">
        <v>3.56E-2</v>
      </c>
      <c r="H211" s="38">
        <f t="shared" si="25"/>
        <v>0.304025873749664</v>
      </c>
      <c r="I211" s="32">
        <f t="shared" si="29"/>
        <v>231521.21970103504</v>
      </c>
      <c r="J211" s="47">
        <v>0</v>
      </c>
      <c r="K211" s="19">
        <v>9.8000000000000004E-2</v>
      </c>
      <c r="L211" s="38">
        <f t="shared" si="26"/>
        <v>0.25835358793049851</v>
      </c>
      <c r="M211" s="32">
        <f t="shared" si="30"/>
        <v>196740.94528237081</v>
      </c>
      <c r="N211" s="47">
        <v>0</v>
      </c>
      <c r="O211" s="19">
        <v>8.0500000000000002E-2</v>
      </c>
      <c r="P211" s="38">
        <f t="shared" si="27"/>
        <v>0.13134821019798618</v>
      </c>
      <c r="Q211" s="31">
        <f t="shared" si="31"/>
        <v>100024.04550484182</v>
      </c>
      <c r="R211" s="47">
        <v>0</v>
      </c>
      <c r="S211" s="26">
        <v>4.7300000000000002E-2</v>
      </c>
      <c r="T211" s="38">
        <f t="shared" si="28"/>
        <v>3.1767320029455676E-2</v>
      </c>
      <c r="U211" s="31">
        <f t="shared" si="32"/>
        <v>24191.390650878198</v>
      </c>
      <c r="V211" s="47">
        <v>0</v>
      </c>
      <c r="W211" s="37">
        <f t="shared" si="33"/>
        <v>761518.14595776948</v>
      </c>
      <c r="X211" s="40">
        <f t="shared" si="34"/>
        <v>5.246428321136154E-2</v>
      </c>
      <c r="Y211" s="1"/>
      <c r="Z211" s="1"/>
      <c r="AA211" s="1"/>
      <c r="AB211" s="1"/>
      <c r="AC211" s="1"/>
      <c r="AD211" s="1"/>
      <c r="AE211" s="1"/>
      <c r="AP211"/>
      <c r="AQ211"/>
      <c r="AR211"/>
      <c r="AS211"/>
      <c r="AT211"/>
      <c r="AU211"/>
      <c r="AV211"/>
      <c r="AW211"/>
    </row>
    <row r="212" spans="1:49" x14ac:dyDescent="0.35">
      <c r="A212" s="106" cm="1">
        <f t="array" ref="A212">SUM(G206:G211+K206:K211+O206:O211)</f>
        <v>0.86369999999999991</v>
      </c>
      <c r="B212" s="10" t="s">
        <v>206</v>
      </c>
      <c r="C212" s="15">
        <v>-4.6600000000000003E-2</v>
      </c>
      <c r="D212" s="38">
        <f t="shared" si="24"/>
        <v>0.26073991551500209</v>
      </c>
      <c r="E212" s="32">
        <f t="shared" si="35"/>
        <v>203292.4283200948</v>
      </c>
      <c r="F212" s="49">
        <v>4188.3500000000004</v>
      </c>
      <c r="G212" s="20">
        <v>4.2700000000000002E-2</v>
      </c>
      <c r="H212" s="38">
        <f t="shared" si="25"/>
        <v>0.30775823325313562</v>
      </c>
      <c r="I212" s="32">
        <f t="shared" si="29"/>
        <v>239951.44145826923</v>
      </c>
      <c r="J212" s="48">
        <v>-1396.12</v>
      </c>
      <c r="K212" s="19">
        <v>7.9299999999999995E-2</v>
      </c>
      <c r="L212" s="38">
        <f t="shared" si="26"/>
        <v>0.27041476762639194</v>
      </c>
      <c r="M212" s="32">
        <f t="shared" si="30"/>
        <v>210835.66992726282</v>
      </c>
      <c r="N212" s="48">
        <v>-1396.12</v>
      </c>
      <c r="O212" s="19">
        <v>2.4199999999999999E-2</v>
      </c>
      <c r="P212" s="38">
        <f t="shared" si="27"/>
        <v>0.12956001419098037</v>
      </c>
      <c r="Q212" s="31">
        <f t="shared" si="31"/>
        <v>101014.721302059</v>
      </c>
      <c r="R212" s="48">
        <v>-1396.12</v>
      </c>
      <c r="S212" s="26">
        <v>1.61E-2</v>
      </c>
      <c r="T212" s="38">
        <f t="shared" si="28"/>
        <v>3.152706941448994E-2</v>
      </c>
      <c r="U212" s="31">
        <f t="shared" si="32"/>
        <v>24580.872040357339</v>
      </c>
      <c r="V212" s="47">
        <v>0</v>
      </c>
      <c r="W212" s="37">
        <f t="shared" si="33"/>
        <v>779675.13304804324</v>
      </c>
      <c r="X212" s="40">
        <f t="shared" si="34"/>
        <v>2.3843144364521285E-2</v>
      </c>
      <c r="Y212" s="1"/>
      <c r="Z212" s="1"/>
      <c r="AA212" s="1"/>
      <c r="AB212" s="1"/>
      <c r="AC212" s="1"/>
      <c r="AD212" s="1"/>
      <c r="AE212" s="1"/>
      <c r="AP212"/>
      <c r="AQ212"/>
      <c r="AR212"/>
      <c r="AS212"/>
      <c r="AT212"/>
      <c r="AU212"/>
      <c r="AV212"/>
      <c r="AW212"/>
    </row>
    <row r="213" spans="1:49" x14ac:dyDescent="0.35">
      <c r="A213" s="106" cm="1">
        <f t="array" ref="A213">SUM(G207:G212+K207:K212+O207:O212)</f>
        <v>0.71220000000000006</v>
      </c>
      <c r="B213" s="11" t="s">
        <v>207</v>
      </c>
      <c r="C213" s="20">
        <v>2.86E-2</v>
      </c>
      <c r="D213" s="38">
        <f t="shared" si="24"/>
        <v>0.27297863257268912</v>
      </c>
      <c r="E213" s="32">
        <f t="shared" si="35"/>
        <v>224584.68684804952</v>
      </c>
      <c r="F213" s="49">
        <v>15047.73</v>
      </c>
      <c r="G213" s="20">
        <v>8.7999999999999995E-2</v>
      </c>
      <c r="H213" s="38">
        <f t="shared" si="25"/>
        <v>0.31068916830471494</v>
      </c>
      <c r="I213" s="32">
        <f t="shared" si="29"/>
        <v>255609.8582265969</v>
      </c>
      <c r="J213" s="48">
        <v>-5015.91</v>
      </c>
      <c r="K213" s="19">
        <v>5.6300000000000003E-2</v>
      </c>
      <c r="L213" s="38">
        <f t="shared" si="26"/>
        <v>0.26425478506164085</v>
      </c>
      <c r="M213" s="32">
        <f t="shared" si="30"/>
        <v>217407.41241116772</v>
      </c>
      <c r="N213" s="48">
        <v>-5015.91</v>
      </c>
      <c r="O213" s="19">
        <v>3.61E-2</v>
      </c>
      <c r="P213" s="38">
        <f t="shared" si="27"/>
        <v>0.12089714420821607</v>
      </c>
      <c r="Q213" s="31">
        <f t="shared" si="31"/>
        <v>99464.368390063319</v>
      </c>
      <c r="R213" s="48">
        <v>-5015.91</v>
      </c>
      <c r="S213" s="26">
        <v>4.36E-2</v>
      </c>
      <c r="T213" s="38">
        <f t="shared" si="28"/>
        <v>3.1180269852739181E-2</v>
      </c>
      <c r="U213" s="31">
        <f t="shared" si="32"/>
        <v>25652.598061316919</v>
      </c>
      <c r="V213" s="47">
        <v>0</v>
      </c>
      <c r="W213" s="37">
        <f t="shared" si="33"/>
        <v>822718.92393719428</v>
      </c>
      <c r="X213" s="40">
        <f t="shared" si="34"/>
        <v>5.5207340935546689E-2</v>
      </c>
      <c r="Y213" s="1"/>
      <c r="Z213" s="1"/>
      <c r="AA213" s="1"/>
      <c r="AB213" s="1"/>
      <c r="AC213" s="1"/>
      <c r="AD213" s="1"/>
      <c r="AE213" s="1"/>
      <c r="AP213"/>
      <c r="AQ213"/>
      <c r="AR213"/>
      <c r="AS213"/>
      <c r="AT213"/>
      <c r="AU213"/>
      <c r="AV213"/>
      <c r="AW213"/>
    </row>
    <row r="214" spans="1:49" x14ac:dyDescent="0.35">
      <c r="A214" s="106" cm="1">
        <f t="array" ref="A214">SUM(G208:G213+K208:K213+O208:O213)</f>
        <v>0.84640000000000004</v>
      </c>
      <c r="B214" s="10" t="s">
        <v>208</v>
      </c>
      <c r="C214" s="16">
        <v>-4.2200000000000001E-2</v>
      </c>
      <c r="D214" s="38">
        <f t="shared" si="24"/>
        <v>0.28095912243833099</v>
      </c>
      <c r="E214" s="32">
        <f t="shared" si="35"/>
        <v>220623.21199706182</v>
      </c>
      <c r="F214" s="49">
        <v>5759.03</v>
      </c>
      <c r="G214" s="16">
        <v>-2.7E-2</v>
      </c>
      <c r="H214" s="38">
        <f t="shared" si="25"/>
        <v>0.31434635472923994</v>
      </c>
      <c r="I214" s="32">
        <f t="shared" si="29"/>
        <v>246840.5434144788</v>
      </c>
      <c r="J214" s="48">
        <v>-1919.68</v>
      </c>
      <c r="K214" s="17">
        <v>-5.8900000000000001E-2</v>
      </c>
      <c r="L214" s="38">
        <f t="shared" si="26"/>
        <v>0.25825590424353101</v>
      </c>
      <c r="M214" s="32">
        <f t="shared" si="30"/>
        <v>202795.50497214994</v>
      </c>
      <c r="N214" s="48">
        <v>-1919.68</v>
      </c>
      <c r="O214" s="17">
        <v>-6.4299999999999996E-2</v>
      </c>
      <c r="P214" s="38">
        <f t="shared" si="27"/>
        <v>0.11623373403161973</v>
      </c>
      <c r="Q214" s="31">
        <f t="shared" si="31"/>
        <v>91272.564926582258</v>
      </c>
      <c r="R214" s="48">
        <v>-1919.68</v>
      </c>
      <c r="S214" s="27">
        <v>-7.5399999999999995E-2</v>
      </c>
      <c r="T214" s="38">
        <f t="shared" si="28"/>
        <v>3.0204884557278312E-2</v>
      </c>
      <c r="U214" s="31">
        <f t="shared" si="32"/>
        <v>23718.392167493625</v>
      </c>
      <c r="V214" s="47">
        <v>0</v>
      </c>
      <c r="W214" s="37">
        <f t="shared" si="33"/>
        <v>785250.21747776645</v>
      </c>
      <c r="X214" s="40">
        <f t="shared" si="34"/>
        <v>-4.5542536301605874E-2</v>
      </c>
      <c r="Y214" s="1"/>
      <c r="Z214" s="1"/>
      <c r="AA214" s="1"/>
      <c r="AB214" s="1"/>
      <c r="AC214" s="1"/>
      <c r="AD214" s="1"/>
      <c r="AE214" s="1"/>
      <c r="AP214"/>
      <c r="AQ214"/>
      <c r="AR214"/>
      <c r="AS214"/>
      <c r="AT214"/>
      <c r="AU214"/>
      <c r="AV214"/>
      <c r="AW214"/>
    </row>
    <row r="215" spans="1:49" x14ac:dyDescent="0.35">
      <c r="A215" s="106" cm="1">
        <f t="array" ref="A215">SUM(G209:G214+K209:K214+O209:O214)</f>
        <v>0.60929999999999995</v>
      </c>
      <c r="B215" s="11" t="s">
        <v>209</v>
      </c>
      <c r="C215" s="18">
        <v>5.6000000000000001E-2</v>
      </c>
      <c r="D215" s="38">
        <f t="shared" si="24"/>
        <v>0.29468187570970955</v>
      </c>
      <c r="E215" s="32">
        <f t="shared" si="35"/>
        <v>232978.11186889728</v>
      </c>
      <c r="F215" s="47">
        <v>0</v>
      </c>
      <c r="G215" s="16">
        <v>-1.29E-2</v>
      </c>
      <c r="H215" s="38">
        <f t="shared" si="25"/>
        <v>0.30818816006231009</v>
      </c>
      <c r="I215" s="32">
        <f t="shared" si="29"/>
        <v>243656.30040443203</v>
      </c>
      <c r="J215" s="47">
        <v>0</v>
      </c>
      <c r="K215" s="17">
        <v>-1.5699999999999999E-2</v>
      </c>
      <c r="L215" s="38">
        <f t="shared" si="26"/>
        <v>0.25247833287908877</v>
      </c>
      <c r="M215" s="32">
        <f t="shared" si="30"/>
        <v>199611.6155440872</v>
      </c>
      <c r="N215" s="47">
        <v>0</v>
      </c>
      <c r="O215" s="17">
        <v>-2.0999999999999999E-3</v>
      </c>
      <c r="P215" s="38">
        <f t="shared" si="27"/>
        <v>0.11520347572468463</v>
      </c>
      <c r="Q215" s="31">
        <f t="shared" si="31"/>
        <v>91080.89254023644</v>
      </c>
      <c r="R215" s="47">
        <v>0</v>
      </c>
      <c r="S215" s="27">
        <v>-1.84E-2</v>
      </c>
      <c r="T215" s="38">
        <f t="shared" si="28"/>
        <v>2.9448155624206902E-2</v>
      </c>
      <c r="U215" s="31">
        <f t="shared" si="32"/>
        <v>23281.973751611742</v>
      </c>
      <c r="V215" s="47">
        <v>0</v>
      </c>
      <c r="W215" s="37">
        <f t="shared" si="33"/>
        <v>790608.89410926471</v>
      </c>
      <c r="X215" s="40">
        <f t="shared" si="34"/>
        <v>6.8241644665956169E-3</v>
      </c>
      <c r="Y215" s="1"/>
      <c r="Z215" s="1"/>
      <c r="AA215" s="1"/>
      <c r="AB215" s="1"/>
      <c r="AC215" s="1"/>
      <c r="AD215" s="1"/>
      <c r="AE215" s="1"/>
      <c r="AP215"/>
      <c r="AQ215"/>
      <c r="AR215"/>
      <c r="AS215"/>
      <c r="AT215"/>
      <c r="AU215"/>
      <c r="AV215"/>
      <c r="AW215"/>
    </row>
    <row r="216" spans="1:49" x14ac:dyDescent="0.35">
      <c r="A216" s="106" cm="1">
        <f t="array" ref="A216">SUM(G210:G215+K210:K215+O210:O215)</f>
        <v>0.4531</v>
      </c>
      <c r="B216" s="10" t="s">
        <v>210</v>
      </c>
      <c r="C216" s="17">
        <v>-0.1202</v>
      </c>
      <c r="D216" s="38">
        <f t="shared" si="24"/>
        <v>0.27658025334711811</v>
      </c>
      <c r="E216" s="32">
        <f t="shared" si="35"/>
        <v>204974.14282225582</v>
      </c>
      <c r="F216" s="47">
        <v>0</v>
      </c>
      <c r="G216" s="16">
        <v>-3.3300000000000003E-2</v>
      </c>
      <c r="H216" s="38">
        <f t="shared" si="25"/>
        <v>0.31762123492666877</v>
      </c>
      <c r="I216" s="32">
        <f t="shared" si="29"/>
        <v>235389.69099696443</v>
      </c>
      <c r="J216" s="48">
        <v>-158.12</v>
      </c>
      <c r="K216" s="17">
        <v>-3.8100000000000002E-2</v>
      </c>
      <c r="L216" s="38">
        <f t="shared" si="26"/>
        <v>0.25887711967771465</v>
      </c>
      <c r="M216" s="32">
        <f t="shared" si="30"/>
        <v>191854.31736385747</v>
      </c>
      <c r="N216" s="48">
        <v>-158.12</v>
      </c>
      <c r="O216" s="17">
        <v>-4.9500000000000002E-2</v>
      </c>
      <c r="P216" s="38">
        <f t="shared" si="27"/>
        <v>0.11661297704974583</v>
      </c>
      <c r="Q216" s="31">
        <f t="shared" si="31"/>
        <v>86422.095299494744</v>
      </c>
      <c r="R216" s="48">
        <v>-158.12</v>
      </c>
      <c r="S216" s="27">
        <v>-5.45E-2</v>
      </c>
      <c r="T216" s="38">
        <f t="shared" si="28"/>
        <v>3.0308414998752534E-2</v>
      </c>
      <c r="U216" s="31">
        <f t="shared" si="32"/>
        <v>22461.623017148901</v>
      </c>
      <c r="V216" s="49">
        <v>474.37</v>
      </c>
      <c r="W216" s="37">
        <f t="shared" si="33"/>
        <v>741101.86949972145</v>
      </c>
      <c r="X216" s="40">
        <f t="shared" si="34"/>
        <v>-6.2618856147982127E-2</v>
      </c>
      <c r="Y216" s="1"/>
      <c r="Z216" s="1"/>
      <c r="AA216" s="1"/>
      <c r="AB216" s="1"/>
      <c r="AC216" s="1"/>
      <c r="AD216" s="1"/>
      <c r="AE216" s="1"/>
      <c r="AP216"/>
      <c r="AQ216"/>
      <c r="AR216"/>
      <c r="AS216"/>
      <c r="AT216"/>
      <c r="AU216"/>
      <c r="AV216"/>
      <c r="AW216"/>
    </row>
    <row r="217" spans="1:49" x14ac:dyDescent="0.35">
      <c r="A217" s="106" cm="1">
        <f t="array" ref="A217">SUM(G211:G216+K211:K216+O211:O216)</f>
        <v>0.23889999999999995</v>
      </c>
      <c r="B217" s="11" t="s">
        <v>211</v>
      </c>
      <c r="C217" s="18">
        <v>5.0999999999999997E-2</v>
      </c>
      <c r="D217" s="38">
        <f t="shared" si="24"/>
        <v>0.28871640032194756</v>
      </c>
      <c r="E217" s="32">
        <f t="shared" si="35"/>
        <v>218854.97745619086</v>
      </c>
      <c r="F217" s="49">
        <v>3260.85</v>
      </c>
      <c r="G217" s="20">
        <v>4.8800000000000003E-2</v>
      </c>
      <c r="H217" s="38">
        <f t="shared" si="25"/>
        <v>0.32417914610126786</v>
      </c>
      <c r="I217" s="32">
        <f t="shared" si="29"/>
        <v>245736.71475761628</v>
      </c>
      <c r="J217" s="48">
        <v>-1086.95</v>
      </c>
      <c r="K217" s="17">
        <v>-1.17E-2</v>
      </c>
      <c r="L217" s="38">
        <f t="shared" si="26"/>
        <v>0.24871839574274543</v>
      </c>
      <c r="M217" s="32">
        <f t="shared" si="30"/>
        <v>188535.38916570033</v>
      </c>
      <c r="N217" s="48">
        <v>-1086.95</v>
      </c>
      <c r="O217" s="17">
        <v>-4.0599999999999997E-2</v>
      </c>
      <c r="P217" s="38">
        <f t="shared" si="27"/>
        <v>0.10800470436682744</v>
      </c>
      <c r="Q217" s="31">
        <f t="shared" si="31"/>
        <v>81870.538400335266</v>
      </c>
      <c r="R217" s="48">
        <v>-1086.95</v>
      </c>
      <c r="S217" s="26">
        <v>2.53E-2</v>
      </c>
      <c r="T217" s="38">
        <f t="shared" si="28"/>
        <v>3.0381353467211773E-2</v>
      </c>
      <c r="U217" s="31">
        <f t="shared" si="32"/>
        <v>23029.902079482767</v>
      </c>
      <c r="V217" s="47">
        <v>0</v>
      </c>
      <c r="W217" s="37">
        <f t="shared" si="33"/>
        <v>758027.52185932547</v>
      </c>
      <c r="X217" s="40">
        <f t="shared" si="34"/>
        <v>2.2838496374364414E-2</v>
      </c>
      <c r="Y217" s="1"/>
      <c r="Z217" s="1"/>
      <c r="AA217" s="1"/>
      <c r="AB217" s="1"/>
      <c r="AC217" s="1"/>
      <c r="AD217" s="1"/>
      <c r="AE217" s="1"/>
      <c r="AP217"/>
      <c r="AQ217"/>
      <c r="AR217"/>
      <c r="AS217"/>
      <c r="AT217"/>
      <c r="AU217"/>
      <c r="AV217"/>
      <c r="AW217"/>
    </row>
    <row r="218" spans="1:49" x14ac:dyDescent="0.35">
      <c r="A218" s="105" cm="1">
        <f t="array" ref="A218">SUM(G212:G217+K212:K217+O212:O217)</f>
        <v>2.1299999999999993E-2</v>
      </c>
      <c r="B218" s="10" t="s">
        <v>212</v>
      </c>
      <c r="C218" s="18">
        <v>1.9800000000000002E-2</v>
      </c>
      <c r="D218" s="38">
        <f t="shared" si="24"/>
        <v>0.2839272735445329</v>
      </c>
      <c r="E218" s="32">
        <f t="shared" si="35"/>
        <v>223188.30600982343</v>
      </c>
      <c r="F218" s="47">
        <v>0</v>
      </c>
      <c r="G218" s="20">
        <v>4.9799999999999997E-2</v>
      </c>
      <c r="H218" s="38">
        <f t="shared" si="25"/>
        <v>0.32818013739553431</v>
      </c>
      <c r="I218" s="32">
        <f t="shared" si="29"/>
        <v>257974.40315254556</v>
      </c>
      <c r="J218" s="47">
        <v>0</v>
      </c>
      <c r="K218" s="19">
        <v>4.2700000000000002E-2</v>
      </c>
      <c r="L218" s="38">
        <f t="shared" si="26"/>
        <v>0.25008516568897088</v>
      </c>
      <c r="M218" s="32">
        <f t="shared" si="30"/>
        <v>196585.85028307574</v>
      </c>
      <c r="N218" s="47">
        <v>0</v>
      </c>
      <c r="O218" s="19">
        <v>3.6200000000000003E-2</v>
      </c>
      <c r="P218" s="38">
        <f t="shared" si="27"/>
        <v>0.10792123598706391</v>
      </c>
      <c r="Q218" s="31">
        <f t="shared" si="31"/>
        <v>84834.251890427404</v>
      </c>
      <c r="R218" s="47">
        <v>0</v>
      </c>
      <c r="S218" s="26">
        <v>2.01E-2</v>
      </c>
      <c r="T218" s="38">
        <f t="shared" si="28"/>
        <v>2.9886187383898016E-2</v>
      </c>
      <c r="U218" s="31">
        <f t="shared" si="32"/>
        <v>23492.803111280369</v>
      </c>
      <c r="V218" s="47">
        <v>0</v>
      </c>
      <c r="W218" s="37">
        <f t="shared" si="33"/>
        <v>786075.61444715247</v>
      </c>
      <c r="X218" s="40">
        <f t="shared" si="34"/>
        <v>3.7001417203202935E-2</v>
      </c>
      <c r="Y218" s="1"/>
      <c r="Z218" s="1"/>
      <c r="AA218" s="1"/>
      <c r="AB218" s="1"/>
      <c r="AC218" s="1"/>
      <c r="AD218" s="1"/>
      <c r="AE218" s="1"/>
      <c r="AP218"/>
      <c r="AQ218"/>
      <c r="AR218"/>
      <c r="AS218"/>
      <c r="AT218"/>
      <c r="AU218"/>
      <c r="AV218"/>
      <c r="AW218"/>
    </row>
    <row r="219" spans="1:49" x14ac:dyDescent="0.35">
      <c r="A219" s="105" cm="1">
        <f t="array" ref="A219">SUM(G213:G218+K213:K218+O213:O218)</f>
        <v>3.7999999999999701E-3</v>
      </c>
      <c r="B219" s="11" t="s">
        <v>213</v>
      </c>
      <c r="C219" s="18">
        <v>1.18E-2</v>
      </c>
      <c r="D219" s="38">
        <f t="shared" si="24"/>
        <v>0.28524231714991871</v>
      </c>
      <c r="E219" s="32">
        <f t="shared" si="35"/>
        <v>225821.92802073935</v>
      </c>
      <c r="F219" s="47">
        <v>0</v>
      </c>
      <c r="G219" s="16">
        <v>-5.1000000000000004E-3</v>
      </c>
      <c r="H219" s="38">
        <f t="shared" si="25"/>
        <v>0.3175700355646342</v>
      </c>
      <c r="I219" s="32">
        <f t="shared" si="29"/>
        <v>251415.28237946759</v>
      </c>
      <c r="J219" s="48">
        <v>-5270.33</v>
      </c>
      <c r="K219" s="19">
        <v>1.14E-2</v>
      </c>
      <c r="L219" s="38">
        <f t="shared" si="26"/>
        <v>0.24441114029270861</v>
      </c>
      <c r="M219" s="32">
        <f t="shared" si="30"/>
        <v>193496.51721430282</v>
      </c>
      <c r="N219" s="48">
        <v>-5270.33</v>
      </c>
      <c r="O219" s="19">
        <v>4.1000000000000003E-3</v>
      </c>
      <c r="P219" s="38">
        <f t="shared" si="27"/>
        <v>0.1009115772361053</v>
      </c>
      <c r="Q219" s="31">
        <f t="shared" si="31"/>
        <v>79890.133970178154</v>
      </c>
      <c r="R219" s="48">
        <v>-5270.33</v>
      </c>
      <c r="S219" s="26">
        <v>4.4699999999999997E-2</v>
      </c>
      <c r="T219" s="38">
        <f t="shared" si="28"/>
        <v>5.1864929756633101E-2</v>
      </c>
      <c r="U219" s="31">
        <f t="shared" si="32"/>
        <v>41060.662216354598</v>
      </c>
      <c r="V219" s="49">
        <v>15810.98</v>
      </c>
      <c r="W219" s="37">
        <f t="shared" si="33"/>
        <v>791684.52380104258</v>
      </c>
      <c r="X219" s="40">
        <f t="shared" si="34"/>
        <v>7.1353305595605043E-3</v>
      </c>
      <c r="Y219" s="1"/>
      <c r="Z219" s="1"/>
      <c r="AA219" s="1"/>
      <c r="AB219" s="1"/>
      <c r="AC219" s="1"/>
      <c r="AD219" s="1"/>
      <c r="AE219" s="1"/>
      <c r="AP219"/>
      <c r="AQ219"/>
      <c r="AR219"/>
      <c r="AS219"/>
      <c r="AT219"/>
      <c r="AU219"/>
      <c r="AV219"/>
      <c r="AW219"/>
    </row>
    <row r="220" spans="1:49" x14ac:dyDescent="0.35">
      <c r="A220" s="105" cm="1">
        <f t="array" ref="A220">SUM(G214:G219+K214:K219+O214:O219)</f>
        <v>-0.16620000000000001</v>
      </c>
      <c r="B220" s="10" t="s">
        <v>214</v>
      </c>
      <c r="C220" s="18">
        <v>5.8299999999999998E-2</v>
      </c>
      <c r="D220" s="38">
        <f t="shared" si="24"/>
        <v>0.27901308812588443</v>
      </c>
      <c r="E220" s="32">
        <f t="shared" si="35"/>
        <v>238987.34642434845</v>
      </c>
      <c r="F220" s="47">
        <v>0</v>
      </c>
      <c r="G220" s="20">
        <v>0.1147</v>
      </c>
      <c r="H220" s="38">
        <f t="shared" si="25"/>
        <v>0.32718948852859864</v>
      </c>
      <c r="I220" s="32">
        <f t="shared" si="29"/>
        <v>280252.61526839255</v>
      </c>
      <c r="J220" s="47">
        <v>0</v>
      </c>
      <c r="K220" s="19">
        <v>8.6900000000000005E-2</v>
      </c>
      <c r="L220" s="38">
        <f t="shared" si="26"/>
        <v>0.24553443590994609</v>
      </c>
      <c r="M220" s="32">
        <f t="shared" si="30"/>
        <v>210311.36456022575</v>
      </c>
      <c r="N220" s="47">
        <v>0</v>
      </c>
      <c r="O220" s="19">
        <v>5.3800000000000001E-2</v>
      </c>
      <c r="P220" s="38">
        <f t="shared" si="27"/>
        <v>9.8288116438405057E-2</v>
      </c>
      <c r="Q220" s="31">
        <f t="shared" si="31"/>
        <v>84188.223177773732</v>
      </c>
      <c r="R220" s="47">
        <v>0</v>
      </c>
      <c r="S220" s="26">
        <v>4.2500000000000003E-2</v>
      </c>
      <c r="T220" s="38">
        <f t="shared" si="28"/>
        <v>4.997487099716573E-2</v>
      </c>
      <c r="U220" s="31">
        <f t="shared" si="32"/>
        <v>42805.740360549666</v>
      </c>
      <c r="V220" s="47">
        <v>0</v>
      </c>
      <c r="W220" s="37">
        <f t="shared" si="33"/>
        <v>856545.28979129018</v>
      </c>
      <c r="X220" s="40">
        <f t="shared" si="34"/>
        <v>8.1927540630499562E-2</v>
      </c>
      <c r="Y220" s="1"/>
      <c r="Z220" s="1"/>
      <c r="AA220" s="1"/>
      <c r="AB220" s="1"/>
      <c r="AC220" s="1"/>
      <c r="AD220" s="1"/>
      <c r="AE220" s="1"/>
      <c r="AP220"/>
      <c r="AQ220"/>
      <c r="AR220"/>
      <c r="AS220"/>
      <c r="AT220"/>
      <c r="AU220"/>
      <c r="AV220"/>
      <c r="AW220"/>
    </row>
    <row r="221" spans="1:49" x14ac:dyDescent="0.35">
      <c r="A221" s="106" cm="1">
        <f t="array" ref="A221">SUM(G215:G220+K215:K220+O215:O220)</f>
        <v>0.2394</v>
      </c>
      <c r="B221" s="11" t="s">
        <v>215</v>
      </c>
      <c r="C221" s="17">
        <v>-1.3100000000000001E-2</v>
      </c>
      <c r="D221" s="38">
        <f t="shared" si="24"/>
        <v>0.35430809989986267</v>
      </c>
      <c r="E221" s="32">
        <f t="shared" si="35"/>
        <v>295863.58633618947</v>
      </c>
      <c r="F221" s="49">
        <v>60803.5</v>
      </c>
      <c r="G221" s="16">
        <v>-1.6500000000000001E-2</v>
      </c>
      <c r="H221" s="38">
        <f t="shared" si="25"/>
        <v>0.3034939055374829</v>
      </c>
      <c r="I221" s="32">
        <f t="shared" si="29"/>
        <v>253431.39304146403</v>
      </c>
      <c r="J221" s="48">
        <v>-22569.45</v>
      </c>
      <c r="K221" s="17">
        <v>-5.1200000000000002E-2</v>
      </c>
      <c r="L221" s="38">
        <f t="shared" si="26"/>
        <v>0.21331700724903654</v>
      </c>
      <c r="M221" s="32">
        <f t="shared" si="30"/>
        <v>178129.52853474219</v>
      </c>
      <c r="N221" s="48">
        <v>-22569.45</v>
      </c>
      <c r="O221" s="17">
        <v>-4.8800000000000003E-2</v>
      </c>
      <c r="P221" s="38">
        <f t="shared" si="27"/>
        <v>7.8055178894110205E-2</v>
      </c>
      <c r="Q221" s="31">
        <f t="shared" si="31"/>
        <v>65179.670366698374</v>
      </c>
      <c r="R221" s="48">
        <v>-15664.6</v>
      </c>
      <c r="S221" s="27">
        <v>-8.5000000000000006E-3</v>
      </c>
      <c r="T221" s="38">
        <f t="shared" si="28"/>
        <v>5.0825808419507602E-2</v>
      </c>
      <c r="U221" s="31">
        <f t="shared" si="32"/>
        <v>42441.891567484992</v>
      </c>
      <c r="V221" s="47">
        <v>0</v>
      </c>
      <c r="W221" s="37">
        <f t="shared" si="33"/>
        <v>835046.06984657911</v>
      </c>
      <c r="X221" s="40">
        <f t="shared" si="34"/>
        <v>-2.5099921978380957E-2</v>
      </c>
      <c r="Y221" s="1"/>
      <c r="Z221" s="1"/>
      <c r="AA221" s="1"/>
      <c r="AB221" s="1"/>
      <c r="AC221" s="1"/>
      <c r="AD221" s="1"/>
      <c r="AE221" s="1"/>
      <c r="AP221"/>
      <c r="AQ221"/>
      <c r="AR221"/>
      <c r="AS221"/>
      <c r="AT221"/>
      <c r="AU221"/>
      <c r="AV221"/>
      <c r="AW221"/>
    </row>
    <row r="222" spans="1:49" x14ac:dyDescent="0.35">
      <c r="A222" s="105" cm="1">
        <f t="array" ref="A222">SUM(G216:G221+K216:K221+O216:O221)</f>
        <v>0.15359999999999999</v>
      </c>
      <c r="B222" s="10" t="s">
        <v>216</v>
      </c>
      <c r="C222" s="18">
        <v>2.5899999999999999E-2</v>
      </c>
      <c r="D222" s="38">
        <f t="shared" ref="D222:D275" si="36">E222/W222</f>
        <v>0.3052438204942845</v>
      </c>
      <c r="E222" s="32">
        <f t="shared" si="35"/>
        <v>260692.7686522968</v>
      </c>
      <c r="F222" s="48">
        <v>-41752.300000000003</v>
      </c>
      <c r="G222" s="20">
        <v>3.8300000000000001E-2</v>
      </c>
      <c r="H222" s="38">
        <f t="shared" ref="H222:H275" si="37">I222/W222</f>
        <v>0.32502669120591554</v>
      </c>
      <c r="I222" s="32">
        <f t="shared" si="29"/>
        <v>277588.28296395211</v>
      </c>
      <c r="J222" s="49">
        <v>13917.43</v>
      </c>
      <c r="K222" s="19">
        <v>1.4500000000000001E-2</v>
      </c>
      <c r="L222" s="38">
        <f t="shared" ref="L222:L275" si="38">M222/W222</f>
        <v>0.22812736341438689</v>
      </c>
      <c r="M222" s="32">
        <f t="shared" si="30"/>
        <v>194831.63943349593</v>
      </c>
      <c r="N222" s="49">
        <v>13917.43</v>
      </c>
      <c r="O222" s="17">
        <v>-4.8999999999999998E-3</v>
      </c>
      <c r="P222" s="38">
        <f t="shared" ref="P222:P275" si="39">Q222/W222</f>
        <v>9.2160577045296774E-2</v>
      </c>
      <c r="Q222" s="31">
        <f t="shared" si="31"/>
        <v>78709.524574901559</v>
      </c>
      <c r="R222" s="49">
        <v>13917.43</v>
      </c>
      <c r="S222" s="27">
        <v>-5.1000000000000004E-3</v>
      </c>
      <c r="T222" s="38">
        <f t="shared" si="28"/>
        <v>4.9441547840116111E-2</v>
      </c>
      <c r="U222" s="31">
        <f t="shared" si="32"/>
        <v>42225.437920490818</v>
      </c>
      <c r="V222" s="47">
        <v>0</v>
      </c>
      <c r="W222" s="37">
        <f t="shared" si="33"/>
        <v>854047.65354513738</v>
      </c>
      <c r="X222" s="40">
        <f t="shared" si="34"/>
        <v>2.2755132183365001E-2</v>
      </c>
      <c r="Y222" s="1"/>
      <c r="Z222" s="1"/>
      <c r="AA222" s="1"/>
      <c r="AB222" s="1"/>
      <c r="AC222" s="1"/>
      <c r="AD222" s="1"/>
      <c r="AE222" s="1"/>
      <c r="AP222"/>
      <c r="AQ222"/>
      <c r="AR222"/>
      <c r="AS222"/>
      <c r="AT222"/>
      <c r="AU222"/>
      <c r="AV222"/>
      <c r="AW222"/>
    </row>
    <row r="223" spans="1:49" x14ac:dyDescent="0.35">
      <c r="A223" s="106" cm="1">
        <f t="array" ref="A223">SUM(G217:G222+K217:K222+O217:O222)</f>
        <v>0.32239999999999996</v>
      </c>
      <c r="B223" s="9" t="s">
        <v>217</v>
      </c>
      <c r="C223" s="17">
        <v>-5.3800000000000001E-2</v>
      </c>
      <c r="D223" s="38">
        <f t="shared" si="36"/>
        <v>0.31370216983508131</v>
      </c>
      <c r="E223" s="32">
        <f t="shared" si="35"/>
        <v>246667.49769880323</v>
      </c>
      <c r="F223" s="47">
        <v>0</v>
      </c>
      <c r="G223" s="16">
        <v>-8.7300000000000003E-2</v>
      </c>
      <c r="H223" s="38">
        <f t="shared" si="37"/>
        <v>0.32220685478349886</v>
      </c>
      <c r="I223" s="32">
        <f t="shared" si="29"/>
        <v>253354.82586119909</v>
      </c>
      <c r="J223" s="47">
        <v>0</v>
      </c>
      <c r="K223" s="17">
        <v>-0.1285</v>
      </c>
      <c r="L223" s="38">
        <f t="shared" si="38"/>
        <v>0.21593968867496527</v>
      </c>
      <c r="M223" s="32">
        <f t="shared" si="30"/>
        <v>169795.77376629171</v>
      </c>
      <c r="N223" s="47">
        <v>0</v>
      </c>
      <c r="O223" s="17">
        <v>-3.6799999999999999E-2</v>
      </c>
      <c r="P223" s="38">
        <f t="shared" si="39"/>
        <v>9.6416054962813857E-2</v>
      </c>
      <c r="Q223" s="31">
        <f t="shared" si="31"/>
        <v>75813.014070545178</v>
      </c>
      <c r="R223" s="47">
        <v>0</v>
      </c>
      <c r="S223" s="27">
        <v>-3.6600000000000001E-2</v>
      </c>
      <c r="T223" s="38">
        <f t="shared" ref="T223:T275" si="40">U223/W223</f>
        <v>5.1735231743640746E-2</v>
      </c>
      <c r="U223" s="31">
        <f t="shared" si="32"/>
        <v>40679.986892600857</v>
      </c>
      <c r="V223" s="47">
        <v>0</v>
      </c>
      <c r="W223" s="37">
        <f t="shared" si="33"/>
        <v>786311.09828944004</v>
      </c>
      <c r="X223" s="40">
        <f t="shared" si="34"/>
        <v>-7.9312383769833072E-2</v>
      </c>
      <c r="Y223" s="1"/>
      <c r="Z223" s="1"/>
      <c r="AA223" s="1"/>
      <c r="AB223" s="1"/>
      <c r="AC223" s="1"/>
      <c r="AD223" s="1"/>
      <c r="AE223" s="1"/>
      <c r="AP223"/>
      <c r="AQ223"/>
      <c r="AR223"/>
      <c r="AS223"/>
      <c r="AT223"/>
      <c r="AU223"/>
      <c r="AV223"/>
      <c r="AW223"/>
    </row>
    <row r="224" spans="1:49" x14ac:dyDescent="0.35">
      <c r="A224" s="105" cm="1">
        <f t="array" ref="A224">SUM(G218:G223+K218:K223+O218:O223)</f>
        <v>7.3300000000000032E-2</v>
      </c>
      <c r="B224" s="10" t="s">
        <v>218</v>
      </c>
      <c r="C224" s="18">
        <v>2.1899999999999999E-2</v>
      </c>
      <c r="D224" s="38">
        <f t="shared" si="36"/>
        <v>0.33079103365856188</v>
      </c>
      <c r="E224" s="32">
        <f t="shared" si="35"/>
        <v>252069.51589840703</v>
      </c>
      <c r="F224" s="47">
        <v>0</v>
      </c>
      <c r="G224" s="16">
        <v>-6.83E-2</v>
      </c>
      <c r="H224" s="38">
        <f t="shared" si="37"/>
        <v>0.30976951686410964</v>
      </c>
      <c r="I224" s="32">
        <f t="shared" ref="I224:I275" si="41">((I223+J224)*G224)+I223+J224</f>
        <v>236050.6912548792</v>
      </c>
      <c r="J224" s="47">
        <v>0</v>
      </c>
      <c r="K224" s="17">
        <v>-2.8199999999999999E-2</v>
      </c>
      <c r="L224" s="38">
        <f t="shared" si="38"/>
        <v>0.21653952160832748</v>
      </c>
      <c r="M224" s="32">
        <f t="shared" ref="M224:M275" si="42">((M223+N224)*K224)+M223+N224</f>
        <v>165007.53294608227</v>
      </c>
      <c r="N224" s="47">
        <v>0</v>
      </c>
      <c r="O224" s="17">
        <v>-7.9699999999999993E-2</v>
      </c>
      <c r="P224" s="38">
        <f t="shared" si="39"/>
        <v>9.1560169278549389E-2</v>
      </c>
      <c r="Q224" s="31">
        <f t="shared" ref="Q224:Q275" si="43">((Q223+R224)*O224)+Q223+R224</f>
        <v>69770.71684912272</v>
      </c>
      <c r="R224" s="47">
        <v>0</v>
      </c>
      <c r="S224" s="27">
        <v>-3.8300000000000001E-2</v>
      </c>
      <c r="T224" s="38">
        <f t="shared" si="40"/>
        <v>5.1339758590451499E-2</v>
      </c>
      <c r="U224" s="31">
        <f t="shared" ref="U224:U275" si="44">((U223+V224)*S224)+U223+V224</f>
        <v>39121.943394614245</v>
      </c>
      <c r="V224" s="47">
        <v>0</v>
      </c>
      <c r="W224" s="37">
        <f t="shared" ref="W224:W275" si="45">Q224+M224+I224+E224+U224</f>
        <v>762020.40034310555</v>
      </c>
      <c r="X224" s="40">
        <f t="shared" ref="X224:X275" si="46">W224/W223-1</f>
        <v>-3.0891968839276251E-2</v>
      </c>
      <c r="Y224" s="1"/>
      <c r="Z224" s="1"/>
      <c r="AA224" s="1"/>
      <c r="AB224" s="1"/>
      <c r="AC224" s="1"/>
      <c r="AD224" s="1"/>
      <c r="AE224" s="1"/>
      <c r="AP224"/>
      <c r="AQ224"/>
      <c r="AR224"/>
      <c r="AS224"/>
      <c r="AT224"/>
      <c r="AU224"/>
      <c r="AV224"/>
      <c r="AW224"/>
    </row>
    <row r="225" spans="1:49" x14ac:dyDescent="0.35">
      <c r="A225" s="106" cm="1">
        <f t="array" ref="A225">SUM(G219:G224+K219:K224+O219:O224)</f>
        <v>-0.23159999999999997</v>
      </c>
      <c r="B225" s="11" t="s">
        <v>219</v>
      </c>
      <c r="C225" s="17">
        <v>-6.25E-2</v>
      </c>
      <c r="D225" s="38">
        <f t="shared" si="36"/>
        <v>0.33068345964804752</v>
      </c>
      <c r="E225" s="32">
        <f t="shared" ref="E225:E275" si="47">((E224+F225)*C225)+E224+F225</f>
        <v>236315.17115475659</v>
      </c>
      <c r="F225" s="47">
        <v>0</v>
      </c>
      <c r="G225" s="16">
        <v>-4.2900000000000001E-2</v>
      </c>
      <c r="H225" s="38">
        <f t="shared" si="37"/>
        <v>0.31614292104126707</v>
      </c>
      <c r="I225" s="32">
        <f t="shared" si="41"/>
        <v>225924.11660004489</v>
      </c>
      <c r="J225" s="47">
        <v>0</v>
      </c>
      <c r="K225" s="17">
        <v>-6.7100000000000007E-2</v>
      </c>
      <c r="L225" s="38">
        <f t="shared" si="38"/>
        <v>0.21540696072485158</v>
      </c>
      <c r="M225" s="32">
        <f t="shared" si="42"/>
        <v>153935.52748540015</v>
      </c>
      <c r="N225" s="47">
        <v>0</v>
      </c>
      <c r="O225" s="17">
        <v>-0.1072</v>
      </c>
      <c r="P225" s="38">
        <f t="shared" si="39"/>
        <v>8.716622452778941E-2</v>
      </c>
      <c r="Q225" s="31">
        <f t="shared" si="43"/>
        <v>62291.296002896765</v>
      </c>
      <c r="R225" s="47">
        <v>0</v>
      </c>
      <c r="S225" s="27">
        <v>-7.5700000000000003E-2</v>
      </c>
      <c r="T225" s="38">
        <f t="shared" si="40"/>
        <v>5.0600434058044409E-2</v>
      </c>
      <c r="U225" s="31">
        <f t="shared" si="44"/>
        <v>36160.412279641947</v>
      </c>
      <c r="V225" s="47">
        <v>0</v>
      </c>
      <c r="W225" s="37">
        <f t="shared" si="45"/>
        <v>714626.52352274035</v>
      </c>
      <c r="X225" s="40">
        <f t="shared" si="46"/>
        <v>-6.2195023649006975E-2</v>
      </c>
      <c r="Y225" s="1"/>
      <c r="Z225" s="1"/>
      <c r="AA225" s="1"/>
      <c r="AB225" s="1"/>
      <c r="AC225" s="1"/>
      <c r="AD225" s="1"/>
      <c r="AE225" s="1"/>
      <c r="AP225"/>
      <c r="AQ225"/>
      <c r="AR225"/>
      <c r="AS225"/>
      <c r="AT225"/>
      <c r="AU225"/>
      <c r="AV225"/>
      <c r="AW225"/>
    </row>
    <row r="226" spans="1:49" x14ac:dyDescent="0.35">
      <c r="A226" s="106" cm="1">
        <f t="array" ref="A226">SUM(G220:G225+K220:K225+O220:O225)</f>
        <v>-0.4592</v>
      </c>
      <c r="B226" s="10" t="s">
        <v>220</v>
      </c>
      <c r="C226" s="18">
        <v>1.35E-2</v>
      </c>
      <c r="D226" s="38">
        <f t="shared" si="36"/>
        <v>0.39564682260953699</v>
      </c>
      <c r="E226" s="32">
        <f t="shared" si="47"/>
        <v>275719.1289203458</v>
      </c>
      <c r="F226" s="49">
        <v>35731.33</v>
      </c>
      <c r="G226" s="16">
        <v>-5.5800000000000002E-2</v>
      </c>
      <c r="H226" s="38">
        <f t="shared" si="37"/>
        <v>0.28536611487292457</v>
      </c>
      <c r="I226" s="32">
        <f t="shared" si="41"/>
        <v>198866.49435776239</v>
      </c>
      <c r="J226" s="48">
        <v>-15305.08</v>
      </c>
      <c r="K226" s="17">
        <v>-6.7199999999999996E-2</v>
      </c>
      <c r="L226" s="38">
        <f t="shared" si="38"/>
        <v>0.18556153100201009</v>
      </c>
      <c r="M226" s="32">
        <f t="shared" si="42"/>
        <v>129314.48141438125</v>
      </c>
      <c r="N226" s="48">
        <v>-15305.08</v>
      </c>
      <c r="O226" s="17">
        <v>-2.8299999999999999E-2</v>
      </c>
      <c r="P226" s="38">
        <f t="shared" si="39"/>
        <v>7.9715368990004212E-2</v>
      </c>
      <c r="Q226" s="31">
        <f t="shared" si="43"/>
        <v>55552.201720014789</v>
      </c>
      <c r="R226" s="48">
        <v>-5121.18</v>
      </c>
      <c r="S226" s="26">
        <v>3.5099999999999999E-2</v>
      </c>
      <c r="T226" s="38">
        <f t="shared" si="40"/>
        <v>5.3710162525524019E-2</v>
      </c>
      <c r="U226" s="31">
        <f t="shared" si="44"/>
        <v>37429.642750657382</v>
      </c>
      <c r="V226" s="47">
        <v>0</v>
      </c>
      <c r="W226" s="37">
        <f t="shared" si="45"/>
        <v>696881.94916316168</v>
      </c>
      <c r="X226" s="40">
        <f t="shared" si="46"/>
        <v>-2.483055662712752E-2</v>
      </c>
      <c r="Y226" s="1"/>
      <c r="Z226" s="1"/>
      <c r="AA226" s="1"/>
      <c r="AB226" s="1"/>
      <c r="AC226" s="1"/>
      <c r="AD226" s="1"/>
      <c r="AE226" s="1"/>
      <c r="AP226"/>
      <c r="AQ226"/>
      <c r="AR226"/>
      <c r="AS226"/>
      <c r="AT226"/>
      <c r="AU226"/>
      <c r="AV226"/>
      <c r="AW226"/>
    </row>
    <row r="227" spans="1:49" x14ac:dyDescent="0.35">
      <c r="A227" s="106" cm="1">
        <f t="array" ref="A227">SUM(G221:G226+K221:K226+O221:O226)</f>
        <v>-0.86590000000000011</v>
      </c>
      <c r="B227" s="11" t="s">
        <v>221</v>
      </c>
      <c r="C227" s="17">
        <v>-6.7400000000000002E-2</v>
      </c>
      <c r="D227" s="38">
        <f t="shared" si="36"/>
        <v>0.43720122634715858</v>
      </c>
      <c r="E227" s="32">
        <f t="shared" si="47"/>
        <v>289446.27675511449</v>
      </c>
      <c r="F227" s="49">
        <v>34645.74</v>
      </c>
      <c r="G227" s="16">
        <v>-3.7400000000000003E-2</v>
      </c>
      <c r="H227" s="38">
        <f t="shared" si="37"/>
        <v>0.26381709658521613</v>
      </c>
      <c r="I227" s="32">
        <f t="shared" si="41"/>
        <v>174658.4221387821</v>
      </c>
      <c r="J227" s="48">
        <v>-17422.05</v>
      </c>
      <c r="K227" s="17">
        <v>-3.56E-2</v>
      </c>
      <c r="L227" s="38">
        <f t="shared" si="38"/>
        <v>0.16299388704917081</v>
      </c>
      <c r="M227" s="32">
        <f t="shared" si="42"/>
        <v>107909.06085602927</v>
      </c>
      <c r="N227" s="48">
        <v>-17422.05</v>
      </c>
      <c r="O227" s="17">
        <v>-3.1600000000000003E-2</v>
      </c>
      <c r="P227" s="38">
        <f t="shared" si="39"/>
        <v>8.1548773254982568E-2</v>
      </c>
      <c r="Q227" s="31">
        <f t="shared" si="43"/>
        <v>53988.843969662325</v>
      </c>
      <c r="R227" s="49">
        <v>198.36</v>
      </c>
      <c r="S227" s="27">
        <v>-3.7100000000000001E-2</v>
      </c>
      <c r="T227" s="38">
        <f t="shared" si="40"/>
        <v>5.4439016763472022E-2</v>
      </c>
      <c r="U227" s="31">
        <f t="shared" si="44"/>
        <v>36041.003004607992</v>
      </c>
      <c r="V227" s="47">
        <v>0</v>
      </c>
      <c r="W227" s="37">
        <f t="shared" si="45"/>
        <v>662043.60672419611</v>
      </c>
      <c r="X227" s="40">
        <f t="shared" si="46"/>
        <v>-4.9991741758845354E-2</v>
      </c>
      <c r="Y227" s="1"/>
      <c r="Z227" s="1"/>
      <c r="AA227" s="1"/>
      <c r="AB227" s="1"/>
      <c r="AC227" s="1"/>
      <c r="AD227" s="1"/>
      <c r="AE227" s="1"/>
      <c r="AP227"/>
      <c r="AQ227"/>
      <c r="AR227"/>
      <c r="AS227"/>
      <c r="AT227"/>
      <c r="AU227"/>
      <c r="AV227"/>
      <c r="AW227"/>
    </row>
    <row r="228" spans="1:49" x14ac:dyDescent="0.35">
      <c r="A228" s="106" cm="1">
        <f t="array" ref="A228">SUM(G222:G227+K222:K227+O222:O227)</f>
        <v>-0.85400000000000009</v>
      </c>
      <c r="B228" s="10" t="s">
        <v>222</v>
      </c>
      <c r="C228" s="18">
        <v>7.2800000000000004E-2</v>
      </c>
      <c r="D228" s="38">
        <f t="shared" si="36"/>
        <v>0.46315929280218771</v>
      </c>
      <c r="E228" s="32">
        <f t="shared" si="47"/>
        <v>319608.16485488688</v>
      </c>
      <c r="F228" s="49">
        <v>8473.34</v>
      </c>
      <c r="G228" s="16">
        <v>-1.2999999999999999E-3</v>
      </c>
      <c r="H228" s="38">
        <f t="shared" si="37"/>
        <v>0.2288229483413286</v>
      </c>
      <c r="I228" s="32">
        <f t="shared" si="41"/>
        <v>157901.7926070017</v>
      </c>
      <c r="J228" s="48">
        <v>-16551.09</v>
      </c>
      <c r="K228" s="17">
        <v>-3.5999999999999999E-3</v>
      </c>
      <c r="L228" s="38">
        <f t="shared" si="38"/>
        <v>0.13191454397680749</v>
      </c>
      <c r="M228" s="32">
        <f t="shared" si="42"/>
        <v>91029.082160947568</v>
      </c>
      <c r="N228" s="48">
        <v>-16551.09</v>
      </c>
      <c r="O228" s="19">
        <v>2.52E-2</v>
      </c>
      <c r="P228" s="38">
        <f t="shared" si="39"/>
        <v>8.0209376880591404E-2</v>
      </c>
      <c r="Q228" s="31">
        <f t="shared" si="43"/>
        <v>55349.362837697816</v>
      </c>
      <c r="R228" s="47">
        <v>0</v>
      </c>
      <c r="S228" s="26">
        <v>9.0700000000000003E-2</v>
      </c>
      <c r="T228" s="38">
        <f t="shared" si="40"/>
        <v>9.5893837999084935E-2</v>
      </c>
      <c r="U228" s="31">
        <f t="shared" si="44"/>
        <v>66172.597765125931</v>
      </c>
      <c r="V228" s="49">
        <v>24628.84</v>
      </c>
      <c r="W228" s="37">
        <f t="shared" si="45"/>
        <v>690061.00022565981</v>
      </c>
      <c r="X228" s="40">
        <f t="shared" si="46"/>
        <v>4.2319559039463162E-2</v>
      </c>
      <c r="Y228" s="1"/>
      <c r="Z228" s="1"/>
      <c r="AA228" s="1"/>
      <c r="AB228" s="1"/>
      <c r="AC228" s="1"/>
      <c r="AD228" s="1"/>
      <c r="AE228" s="1"/>
      <c r="AP228"/>
      <c r="AQ228"/>
      <c r="AR228"/>
      <c r="AS228"/>
      <c r="AT228"/>
      <c r="AU228"/>
      <c r="AV228"/>
      <c r="AW228"/>
    </row>
    <row r="229" spans="1:49" x14ac:dyDescent="0.35">
      <c r="A229" s="106" cm="1">
        <f t="array" ref="A229">SUM(G223:G228+K223:K228+O223:O228)</f>
        <v>-0.88159999999999994</v>
      </c>
      <c r="B229" s="11" t="s">
        <v>223</v>
      </c>
      <c r="C229" s="17">
        <v>-2.29E-2</v>
      </c>
      <c r="D229" s="38">
        <f t="shared" si="36"/>
        <v>0.42964680831992602</v>
      </c>
      <c r="E229" s="32">
        <f t="shared" si="47"/>
        <v>303388.91962870996</v>
      </c>
      <c r="F229" s="48">
        <v>-9108.81</v>
      </c>
      <c r="G229" s="20">
        <v>9.1499999999999998E-2</v>
      </c>
      <c r="H229" s="38">
        <f t="shared" si="37"/>
        <v>0.23825810321128507</v>
      </c>
      <c r="I229" s="32">
        <f t="shared" si="41"/>
        <v>168242.53579054237</v>
      </c>
      <c r="J229" s="48">
        <v>-3762.96</v>
      </c>
      <c r="K229" s="19">
        <v>0.106</v>
      </c>
      <c r="L229" s="38">
        <f t="shared" si="38"/>
        <v>0.13668242618389934</v>
      </c>
      <c r="M229" s="32">
        <f t="shared" si="42"/>
        <v>96516.331110008003</v>
      </c>
      <c r="N229" s="48">
        <v>-3762.96</v>
      </c>
      <c r="O229" s="17">
        <v>-3.2000000000000002E-3</v>
      </c>
      <c r="P229" s="38">
        <f t="shared" si="39"/>
        <v>7.8132645543198598E-2</v>
      </c>
      <c r="Q229" s="31">
        <f t="shared" si="43"/>
        <v>55172.24487661718</v>
      </c>
      <c r="R229" s="47">
        <v>0</v>
      </c>
      <c r="S229" s="26">
        <v>1E-4</v>
      </c>
      <c r="T229" s="38">
        <f t="shared" si="40"/>
        <v>0.11728001674169082</v>
      </c>
      <c r="U229" s="31">
        <f t="shared" si="44"/>
        <v>82815.598496902443</v>
      </c>
      <c r="V229" s="49">
        <v>16634.72</v>
      </c>
      <c r="W229" s="37">
        <f t="shared" si="45"/>
        <v>706135.62990278006</v>
      </c>
      <c r="X229" s="40">
        <f t="shared" si="46"/>
        <v>2.3294505372515761E-2</v>
      </c>
      <c r="Y229" s="1"/>
      <c r="Z229" s="1"/>
      <c r="AA229" s="1"/>
      <c r="AB229" s="1"/>
      <c r="AC229" s="1"/>
      <c r="AD229" s="1"/>
      <c r="AE229" s="1"/>
      <c r="AP229"/>
      <c r="AQ229"/>
      <c r="AR229"/>
      <c r="AS229"/>
      <c r="AT229"/>
      <c r="AU229"/>
      <c r="AV229"/>
      <c r="AW229"/>
    </row>
    <row r="230" spans="1:49" x14ac:dyDescent="0.35">
      <c r="A230" s="106" cm="1">
        <f t="array" ref="A230">SUM(G224:G229+K224:K229+O224:O229)</f>
        <v>-0.43469999999999998</v>
      </c>
      <c r="B230" s="10" t="s">
        <v>224</v>
      </c>
      <c r="C230" s="17">
        <v>-4.2200000000000001E-2</v>
      </c>
      <c r="D230" s="38">
        <f t="shared" si="36"/>
        <v>0.44823110617659745</v>
      </c>
      <c r="E230" s="32">
        <f t="shared" si="47"/>
        <v>304383.17904637841</v>
      </c>
      <c r="F230" s="49">
        <v>14405.17</v>
      </c>
      <c r="G230" s="16">
        <v>-5.3699999999999998E-2</v>
      </c>
      <c r="H230" s="38">
        <f t="shared" si="37"/>
        <v>0.22216366272431226</v>
      </c>
      <c r="I230" s="32">
        <f t="shared" si="41"/>
        <v>150866.10678459026</v>
      </c>
      <c r="J230" s="48">
        <v>-8815.18</v>
      </c>
      <c r="K230" s="17">
        <v>-3.15E-2</v>
      </c>
      <c r="L230" s="38">
        <f t="shared" si="38"/>
        <v>0.12507953625777174</v>
      </c>
      <c r="M230" s="32">
        <f t="shared" si="42"/>
        <v>84938.564850042749</v>
      </c>
      <c r="N230" s="48">
        <v>-8815.18</v>
      </c>
      <c r="O230" s="17">
        <v>-2.4799999999999999E-2</v>
      </c>
      <c r="P230" s="38">
        <f t="shared" si="39"/>
        <v>8.1124714841302598E-2</v>
      </c>
      <c r="Q230" s="31">
        <f t="shared" si="43"/>
        <v>55089.881675677076</v>
      </c>
      <c r="R230" s="49">
        <v>1318.61</v>
      </c>
      <c r="S230" s="27">
        <v>-1.09E-2</v>
      </c>
      <c r="T230" s="38">
        <f t="shared" si="40"/>
        <v>0.12340098000001608</v>
      </c>
      <c r="U230" s="31">
        <f t="shared" si="44"/>
        <v>83798.696860286218</v>
      </c>
      <c r="V230" s="49">
        <v>1906.57</v>
      </c>
      <c r="W230" s="37">
        <f t="shared" si="45"/>
        <v>679076.42921697465</v>
      </c>
      <c r="X230" s="40">
        <f t="shared" si="46"/>
        <v>-3.8320118033883799E-2</v>
      </c>
      <c r="Y230" s="1"/>
      <c r="Z230" s="1"/>
      <c r="AA230" s="1"/>
      <c r="AB230" s="1"/>
      <c r="AC230" s="1"/>
      <c r="AD230" s="1"/>
      <c r="AE230" s="1"/>
      <c r="AP230"/>
      <c r="AQ230"/>
      <c r="AR230"/>
      <c r="AS230"/>
      <c r="AT230"/>
      <c r="AU230"/>
      <c r="AV230"/>
      <c r="AW230"/>
    </row>
    <row r="231" spans="1:49" x14ac:dyDescent="0.35">
      <c r="A231" s="106" cm="1">
        <f t="array" ref="A231">SUM(G225:G230+K225:K230+O225:O230)</f>
        <v>-0.36850000000000005</v>
      </c>
      <c r="B231" s="11" t="s">
        <v>225</v>
      </c>
      <c r="C231" s="18">
        <v>2.2599999999999999E-2</v>
      </c>
      <c r="D231" s="38">
        <f t="shared" si="36"/>
        <v>0.46277444232369525</v>
      </c>
      <c r="E231" s="32">
        <f t="shared" si="47"/>
        <v>312512.20377682662</v>
      </c>
      <c r="F231" s="49">
        <v>1222.3399999999999</v>
      </c>
      <c r="G231" s="16">
        <v>-4.4900000000000002E-2</v>
      </c>
      <c r="H231" s="38">
        <f t="shared" si="37"/>
        <v>0.21388692325460679</v>
      </c>
      <c r="I231" s="32">
        <f t="shared" si="41"/>
        <v>144438.12715696217</v>
      </c>
      <c r="J231" s="49">
        <v>362.17</v>
      </c>
      <c r="K231" s="17">
        <v>-5.3100000000000001E-2</v>
      </c>
      <c r="L231" s="38">
        <f t="shared" si="38"/>
        <v>0.11960773706847494</v>
      </c>
      <c r="M231" s="32">
        <f t="shared" si="42"/>
        <v>80771.265829505472</v>
      </c>
      <c r="N231" s="49">
        <v>362.17</v>
      </c>
      <c r="O231" s="17">
        <v>-6.8000000000000005E-2</v>
      </c>
      <c r="P231" s="38">
        <f t="shared" si="39"/>
        <v>7.6530740640392753E-2</v>
      </c>
      <c r="Q231" s="31">
        <f t="shared" si="43"/>
        <v>51681.312161731032</v>
      </c>
      <c r="R231" s="49">
        <v>362.17</v>
      </c>
      <c r="S231" s="26">
        <v>5.4100000000000002E-2</v>
      </c>
      <c r="T231" s="38">
        <f t="shared" si="40"/>
        <v>0.12720015671283039</v>
      </c>
      <c r="U231" s="31">
        <f t="shared" si="44"/>
        <v>85898.437034427698</v>
      </c>
      <c r="V231" s="48">
        <v>-2308.86</v>
      </c>
      <c r="W231" s="37">
        <f t="shared" si="45"/>
        <v>675301.34595945291</v>
      </c>
      <c r="X231" s="40">
        <f t="shared" si="46"/>
        <v>-5.5591434116991634E-3</v>
      </c>
      <c r="Y231" s="1"/>
      <c r="Z231" s="1"/>
      <c r="AA231" s="1"/>
      <c r="AB231" s="1"/>
      <c r="AC231" s="1"/>
      <c r="AD231" s="1"/>
      <c r="AE231" s="1"/>
      <c r="AP231"/>
      <c r="AQ231"/>
      <c r="AR231"/>
      <c r="AS231"/>
      <c r="AT231"/>
      <c r="AU231"/>
      <c r="AV231"/>
      <c r="AW231"/>
    </row>
    <row r="232" spans="1:49" x14ac:dyDescent="0.35">
      <c r="A232" s="106" cm="1">
        <f t="array" ref="A232">SUM(G226:G231+K226:K231+O226:O231)</f>
        <v>-0.31730000000000003</v>
      </c>
      <c r="B232" s="10" t="s">
        <v>226</v>
      </c>
      <c r="C232" s="17">
        <v>-3.5299999999999998E-2</v>
      </c>
      <c r="D232" s="38">
        <f t="shared" si="36"/>
        <v>0.43267642281019458</v>
      </c>
      <c r="E232" s="32">
        <f t="shared" si="47"/>
        <v>293141.79124150466</v>
      </c>
      <c r="F232" s="48">
        <v>-8643.86</v>
      </c>
      <c r="G232" s="20">
        <v>5.96E-2</v>
      </c>
      <c r="H232" s="38">
        <f t="shared" si="37"/>
        <v>0.23293738316844612</v>
      </c>
      <c r="I232" s="32">
        <f t="shared" si="41"/>
        <v>157816.96933151712</v>
      </c>
      <c r="J232" s="49">
        <v>4502.01</v>
      </c>
      <c r="K232" s="19">
        <v>9.0700000000000003E-2</v>
      </c>
      <c r="L232" s="38">
        <f t="shared" si="38"/>
        <v>0.13727888823766035</v>
      </c>
      <c r="M232" s="32">
        <f t="shared" si="42"/>
        <v>93007.561947241615</v>
      </c>
      <c r="N232" s="49">
        <v>4502.01</v>
      </c>
      <c r="O232" s="17">
        <v>-3.8199999999999998E-2</v>
      </c>
      <c r="P232" s="38">
        <f t="shared" si="39"/>
        <v>7.9758629294263153E-2</v>
      </c>
      <c r="Q232" s="31">
        <f t="shared" si="43"/>
        <v>54037.119255152909</v>
      </c>
      <c r="R232" s="49">
        <v>4502.01</v>
      </c>
      <c r="S232" s="27">
        <v>-1.89E-2</v>
      </c>
      <c r="T232" s="38">
        <f t="shared" si="40"/>
        <v>0.11734867648943594</v>
      </c>
      <c r="U232" s="31">
        <f t="shared" si="44"/>
        <v>79504.681587477011</v>
      </c>
      <c r="V232" s="48">
        <v>-4862.17</v>
      </c>
      <c r="W232" s="37">
        <f t="shared" si="45"/>
        <v>677508.12336289324</v>
      </c>
      <c r="X232" s="40">
        <f t="shared" si="46"/>
        <v>3.2678409670647834E-3</v>
      </c>
      <c r="Y232" s="1"/>
      <c r="Z232" s="1"/>
      <c r="AA232" s="1"/>
      <c r="AB232" s="1"/>
      <c r="AC232" s="1"/>
      <c r="AD232" s="1"/>
      <c r="AE232" s="1"/>
      <c r="AP232"/>
      <c r="AQ232"/>
      <c r="AR232"/>
      <c r="AS232"/>
      <c r="AT232"/>
      <c r="AU232"/>
      <c r="AV232"/>
      <c r="AW232"/>
    </row>
    <row r="233" spans="1:49" x14ac:dyDescent="0.35">
      <c r="A233" s="105" cm="1">
        <f t="array" ref="A233">SUM(G227:G232+K227:K232+O227:O232)</f>
        <v>-5.3900000000000045E-2</v>
      </c>
      <c r="B233" s="11" t="s">
        <v>227</v>
      </c>
      <c r="C233" s="18">
        <v>7.7399999999999997E-2</v>
      </c>
      <c r="D233" s="38">
        <f t="shared" si="36"/>
        <v>0.43590158816686775</v>
      </c>
      <c r="E233" s="32">
        <f t="shared" si="47"/>
        <v>315830.96588359715</v>
      </c>
      <c r="F233" s="47">
        <v>0</v>
      </c>
      <c r="G233" s="20">
        <v>4.8500000000000001E-2</v>
      </c>
      <c r="H233" s="38">
        <f t="shared" si="37"/>
        <v>0.22837884735812033</v>
      </c>
      <c r="I233" s="32">
        <f t="shared" si="41"/>
        <v>165471.0923440957</v>
      </c>
      <c r="J233" s="47">
        <v>0</v>
      </c>
      <c r="K233" s="19">
        <v>1.6899999999999998E-2</v>
      </c>
      <c r="L233" s="38">
        <f t="shared" si="38"/>
        <v>0.13053598491201432</v>
      </c>
      <c r="M233" s="32">
        <f t="shared" si="42"/>
        <v>94579.389744150001</v>
      </c>
      <c r="N233" s="47">
        <v>0</v>
      </c>
      <c r="O233" s="19">
        <v>0.15010000000000001</v>
      </c>
      <c r="P233" s="38">
        <f t="shared" si="39"/>
        <v>0.16131513478775733</v>
      </c>
      <c r="Q233" s="31">
        <f t="shared" si="43"/>
        <v>116880.31476535136</v>
      </c>
      <c r="R233" s="49">
        <v>47589.1</v>
      </c>
      <c r="S233" s="27">
        <v>-4.1000000000000003E-3</v>
      </c>
      <c r="T233" s="38">
        <f t="shared" si="40"/>
        <v>4.386844477524017E-2</v>
      </c>
      <c r="U233" s="31">
        <f t="shared" si="44"/>
        <v>31784.727702968354</v>
      </c>
      <c r="V233" s="48">
        <v>-47589.1</v>
      </c>
      <c r="W233" s="37">
        <f t="shared" si="45"/>
        <v>724546.4904401626</v>
      </c>
      <c r="X233" s="40">
        <f t="shared" si="46"/>
        <v>6.9428491637544942E-2</v>
      </c>
      <c r="Y233" s="1"/>
      <c r="Z233" s="1"/>
      <c r="AA233" s="1"/>
      <c r="AB233" s="1"/>
      <c r="AC233" s="1"/>
      <c r="AD233" s="1"/>
      <c r="AE233" s="1"/>
      <c r="AP233"/>
      <c r="AQ233"/>
      <c r="AR233"/>
      <c r="AS233"/>
      <c r="AT233"/>
      <c r="AU233"/>
      <c r="AV233"/>
      <c r="AW233"/>
    </row>
    <row r="234" spans="1:49" x14ac:dyDescent="0.35">
      <c r="A234" s="106" cm="1">
        <f t="array" ref="A234">SUM(G228:G233+K228:K233+O228:O233)</f>
        <v>0.26619999999999999</v>
      </c>
      <c r="B234" s="10" t="s">
        <v>228</v>
      </c>
      <c r="C234" s="18">
        <v>3.4200000000000001E-2</v>
      </c>
      <c r="D234" s="38">
        <f t="shared" si="36"/>
        <v>0.45658638984068217</v>
      </c>
      <c r="E234" s="32">
        <f t="shared" si="47"/>
        <v>326632.3849168162</v>
      </c>
      <c r="F234" s="47">
        <v>0</v>
      </c>
      <c r="G234" s="16">
        <v>-5.6000000000000001E-2</v>
      </c>
      <c r="H234" s="38">
        <f t="shared" si="37"/>
        <v>0.21835233872682472</v>
      </c>
      <c r="I234" s="32">
        <f t="shared" si="41"/>
        <v>156204.71117282633</v>
      </c>
      <c r="J234" s="47">
        <v>0</v>
      </c>
      <c r="K234" s="17">
        <v>-6.6500000000000004E-2</v>
      </c>
      <c r="L234" s="38">
        <f t="shared" si="38"/>
        <v>0.12341687611939518</v>
      </c>
      <c r="M234" s="32">
        <f t="shared" si="42"/>
        <v>88289.860326164024</v>
      </c>
      <c r="N234" s="47">
        <v>0</v>
      </c>
      <c r="O234" s="17">
        <v>-3.7999999999999999E-2</v>
      </c>
      <c r="P234" s="38">
        <f t="shared" si="39"/>
        <v>0.15717380399578812</v>
      </c>
      <c r="Q234" s="31">
        <f t="shared" si="43"/>
        <v>112438.86280426801</v>
      </c>
      <c r="R234" s="47">
        <v>0</v>
      </c>
      <c r="S234" s="26">
        <v>8.9999999999999998E-4</v>
      </c>
      <c r="T234" s="38">
        <f t="shared" si="40"/>
        <v>4.447059131730996E-2</v>
      </c>
      <c r="U234" s="31">
        <f t="shared" si="44"/>
        <v>31813.333957901024</v>
      </c>
      <c r="V234" s="47">
        <v>0</v>
      </c>
      <c r="W234" s="37">
        <f t="shared" si="45"/>
        <v>715379.15317797544</v>
      </c>
      <c r="X234" s="40">
        <f t="shared" si="46"/>
        <v>-1.2652517655034057E-2</v>
      </c>
      <c r="Y234" s="1"/>
      <c r="Z234" s="1"/>
      <c r="AA234" s="1"/>
      <c r="AB234" s="1"/>
      <c r="AC234" s="1"/>
      <c r="AD234" s="1"/>
      <c r="AE234" s="1"/>
      <c r="AP234"/>
      <c r="AQ234"/>
      <c r="AR234"/>
      <c r="AS234"/>
      <c r="AT234"/>
      <c r="AU234"/>
      <c r="AV234"/>
      <c r="AW234"/>
    </row>
    <row r="235" spans="1:49" x14ac:dyDescent="0.35">
      <c r="A235" s="105" cm="1">
        <f t="array" ref="A235">SUM(G229:G234+K229:K234+O229:O234)</f>
        <v>8.5400000000000004E-2</v>
      </c>
      <c r="B235" s="9" t="s">
        <v>229</v>
      </c>
      <c r="C235" s="18">
        <v>2.3900000000000001E-2</v>
      </c>
      <c r="D235" s="38">
        <f t="shared" si="36"/>
        <v>0.40281840459600399</v>
      </c>
      <c r="E235" s="32">
        <f t="shared" si="47"/>
        <v>297815.06077232806</v>
      </c>
      <c r="F235" s="48">
        <v>-35768.959999999999</v>
      </c>
      <c r="G235" s="20">
        <v>2.76E-2</v>
      </c>
      <c r="H235" s="38">
        <f t="shared" si="37"/>
        <v>0.23368240782499541</v>
      </c>
      <c r="I235" s="32">
        <f t="shared" si="41"/>
        <v>172768.02572519632</v>
      </c>
      <c r="J235" s="49">
        <v>11922.99</v>
      </c>
      <c r="K235" s="19">
        <v>6.2899999999999998E-2</v>
      </c>
      <c r="L235" s="38">
        <f t="shared" si="38"/>
        <v>0.14407163019174904</v>
      </c>
      <c r="M235" s="32">
        <f t="shared" si="42"/>
        <v>106516.23861167974</v>
      </c>
      <c r="N235" s="49">
        <v>11922.99</v>
      </c>
      <c r="O235" s="19">
        <v>5.62E-2</v>
      </c>
      <c r="P235" s="38">
        <f t="shared" si="39"/>
        <v>0.17766259257147235</v>
      </c>
      <c r="Q235" s="31">
        <f t="shared" si="43"/>
        <v>131350.98893186788</v>
      </c>
      <c r="R235" s="49">
        <v>11922.99</v>
      </c>
      <c r="S235" s="27">
        <v>-2.9399999999999999E-2</v>
      </c>
      <c r="T235" s="38">
        <f t="shared" si="40"/>
        <v>4.176496481577912E-2</v>
      </c>
      <c r="U235" s="31">
        <f t="shared" si="44"/>
        <v>30878.021939538736</v>
      </c>
      <c r="V235" s="47">
        <v>0</v>
      </c>
      <c r="W235" s="37">
        <f t="shared" si="45"/>
        <v>739328.33598061081</v>
      </c>
      <c r="X235" s="40">
        <f t="shared" si="46"/>
        <v>3.347760791776544E-2</v>
      </c>
      <c r="Y235" s="1"/>
      <c r="Z235" s="1"/>
      <c r="AA235" s="1"/>
      <c r="AB235" s="1"/>
      <c r="AC235" s="1"/>
      <c r="AD235" s="1"/>
      <c r="AE235" s="1"/>
      <c r="AP235"/>
      <c r="AQ235"/>
      <c r="AR235"/>
      <c r="AS235"/>
      <c r="AT235"/>
      <c r="AU235"/>
      <c r="AV235"/>
      <c r="AW235"/>
    </row>
    <row r="236" spans="1:49" x14ac:dyDescent="0.35">
      <c r="A236" s="105" cm="1">
        <f t="array" ref="A236">SUM(G230:G235+K230:K235+O230:O235)</f>
        <v>3.7799999999999973E-2</v>
      </c>
      <c r="B236" s="10" t="s">
        <v>230</v>
      </c>
      <c r="C236" s="17">
        <v>-3.6999999999999998E-2</v>
      </c>
      <c r="D236" s="38">
        <f t="shared" si="36"/>
        <v>0.39885685244919078</v>
      </c>
      <c r="E236" s="32">
        <f t="shared" si="47"/>
        <v>286795.90352375194</v>
      </c>
      <c r="F236" s="47">
        <v>0</v>
      </c>
      <c r="G236" s="16">
        <v>-0.01</v>
      </c>
      <c r="H236" s="38">
        <f t="shared" si="37"/>
        <v>0.23787164669008806</v>
      </c>
      <c r="I236" s="32">
        <f t="shared" si="41"/>
        <v>171040.34546794437</v>
      </c>
      <c r="J236" s="47">
        <v>0</v>
      </c>
      <c r="K236" s="17">
        <v>-1E-3</v>
      </c>
      <c r="L236" s="38">
        <f t="shared" si="38"/>
        <v>0.14798763306672952</v>
      </c>
      <c r="M236" s="32">
        <f t="shared" si="42"/>
        <v>106409.72237306806</v>
      </c>
      <c r="N236" s="47">
        <v>0</v>
      </c>
      <c r="O236" s="17">
        <v>-6.0400000000000002E-2</v>
      </c>
      <c r="P236" s="38">
        <f t="shared" si="39"/>
        <v>0.17164077585886695</v>
      </c>
      <c r="Q236" s="31">
        <f t="shared" si="43"/>
        <v>123417.38920038306</v>
      </c>
      <c r="R236" s="47">
        <v>0</v>
      </c>
      <c r="S236" s="26">
        <v>1.6299999999999999E-2</v>
      </c>
      <c r="T236" s="38">
        <f t="shared" si="40"/>
        <v>4.3643091935124695E-2</v>
      </c>
      <c r="U236" s="31">
        <f t="shared" si="44"/>
        <v>31381.333697153215</v>
      </c>
      <c r="V236" s="47">
        <v>0</v>
      </c>
      <c r="W236" s="37">
        <f t="shared" si="45"/>
        <v>719044.69426230062</v>
      </c>
      <c r="X236" s="40">
        <f t="shared" si="46"/>
        <v>-2.7435228343313689E-2</v>
      </c>
      <c r="Y236" s="1"/>
      <c r="Z236" s="1"/>
      <c r="AA236" s="1"/>
      <c r="AB236" s="1"/>
      <c r="AC236" s="1"/>
      <c r="AD236" s="1"/>
      <c r="AE236" s="1"/>
      <c r="AP236"/>
      <c r="AQ236"/>
      <c r="AR236"/>
      <c r="AS236"/>
      <c r="AT236"/>
      <c r="AU236"/>
      <c r="AV236"/>
      <c r="AW236"/>
    </row>
    <row r="237" spans="1:49" x14ac:dyDescent="0.35">
      <c r="A237" s="105" cm="1">
        <f t="array" ref="A237">SUM(G231:G236+K231:K236+O231:O236)</f>
        <v>7.640000000000001E-2</v>
      </c>
      <c r="B237" s="11" t="s">
        <v>231</v>
      </c>
      <c r="C237" s="18">
        <v>5.5500000000000001E-2</v>
      </c>
      <c r="D237" s="38">
        <f t="shared" si="36"/>
        <v>0.41440672794051758</v>
      </c>
      <c r="E237" s="32">
        <f t="shared" si="47"/>
        <v>302713.07616932015</v>
      </c>
      <c r="F237" s="47">
        <v>0</v>
      </c>
      <c r="G237" s="20">
        <v>1.38E-2</v>
      </c>
      <c r="H237" s="38">
        <f t="shared" si="37"/>
        <v>0.23738128046958731</v>
      </c>
      <c r="I237" s="32">
        <f t="shared" si="41"/>
        <v>173400.70223540199</v>
      </c>
      <c r="J237" s="47">
        <v>0</v>
      </c>
      <c r="K237" s="17">
        <v>-7.1400000000000005E-2</v>
      </c>
      <c r="L237" s="38">
        <f t="shared" si="38"/>
        <v>0.1352712819022148</v>
      </c>
      <c r="M237" s="32">
        <f t="shared" si="42"/>
        <v>98812.068195631</v>
      </c>
      <c r="N237" s="47">
        <v>0</v>
      </c>
      <c r="O237" s="19">
        <v>1.0999999999999999E-2</v>
      </c>
      <c r="P237" s="38">
        <f t="shared" si="39"/>
        <v>0.1708138678531822</v>
      </c>
      <c r="Q237" s="31">
        <f t="shared" si="43"/>
        <v>124774.98048158726</v>
      </c>
      <c r="R237" s="47">
        <v>0</v>
      </c>
      <c r="S237" s="27">
        <v>-1.9400000000000001E-2</v>
      </c>
      <c r="T237" s="38">
        <f t="shared" si="40"/>
        <v>4.2126841834498156E-2</v>
      </c>
      <c r="U237" s="31">
        <f t="shared" si="44"/>
        <v>30772.535823428443</v>
      </c>
      <c r="V237" s="47">
        <v>0</v>
      </c>
      <c r="W237" s="37">
        <f t="shared" si="45"/>
        <v>730473.36290536879</v>
      </c>
      <c r="X237" s="40">
        <f t="shared" si="46"/>
        <v>1.5894239585194869E-2</v>
      </c>
      <c r="Y237" s="1"/>
      <c r="Z237" s="1"/>
      <c r="AA237" s="1"/>
      <c r="AB237" s="1"/>
      <c r="AC237" s="1"/>
      <c r="AD237" s="1"/>
      <c r="AE237" s="1"/>
      <c r="AP237"/>
      <c r="AQ237"/>
      <c r="AR237"/>
      <c r="AS237"/>
      <c r="AT237"/>
      <c r="AU237"/>
      <c r="AV237"/>
      <c r="AW237"/>
    </row>
    <row r="238" spans="1:49" x14ac:dyDescent="0.35">
      <c r="A238" s="105" cm="1">
        <f t="array" ref="A238">SUM(G232:G237+K232:K237+O232:O237)</f>
        <v>0.19579999999999995</v>
      </c>
      <c r="B238" s="10" t="s">
        <v>232</v>
      </c>
      <c r="C238" s="17">
        <v>-1.2500000000000001E-2</v>
      </c>
      <c r="D238" s="38">
        <f t="shared" si="36"/>
        <v>0.4171517467120307</v>
      </c>
      <c r="E238" s="32">
        <f t="shared" si="47"/>
        <v>298929.16271720367</v>
      </c>
      <c r="F238" s="47">
        <v>0</v>
      </c>
      <c r="G238" s="16">
        <v>-8.6E-3</v>
      </c>
      <c r="H238" s="38">
        <f t="shared" si="37"/>
        <v>0.23989740337376481</v>
      </c>
      <c r="I238" s="32">
        <f t="shared" si="41"/>
        <v>171909.45619617752</v>
      </c>
      <c r="J238" s="47">
        <v>0</v>
      </c>
      <c r="K238" s="17">
        <v>-4.0500000000000001E-2</v>
      </c>
      <c r="L238" s="38">
        <f t="shared" si="38"/>
        <v>0.13230636849663302</v>
      </c>
      <c r="M238" s="32">
        <f t="shared" si="42"/>
        <v>94810.179433707948</v>
      </c>
      <c r="N238" s="47">
        <v>0</v>
      </c>
      <c r="O238" s="17">
        <v>-3.1099999999999999E-2</v>
      </c>
      <c r="P238" s="38">
        <f t="shared" si="39"/>
        <v>0.16870666766891673</v>
      </c>
      <c r="Q238" s="31">
        <f t="shared" si="43"/>
        <v>120894.4785886099</v>
      </c>
      <c r="R238" s="47">
        <v>0</v>
      </c>
      <c r="S238" s="27">
        <v>-2.3400000000000001E-2</v>
      </c>
      <c r="T238" s="38">
        <f t="shared" si="40"/>
        <v>4.193781374865467E-2</v>
      </c>
      <c r="U238" s="31">
        <f t="shared" si="44"/>
        <v>30052.458485160216</v>
      </c>
      <c r="V238" s="47">
        <v>0</v>
      </c>
      <c r="W238" s="37">
        <f t="shared" si="45"/>
        <v>716595.7354208593</v>
      </c>
      <c r="X238" s="40">
        <f t="shared" si="46"/>
        <v>-1.8998129417495679E-2</v>
      </c>
      <c r="Y238" s="1"/>
      <c r="Z238" s="1"/>
      <c r="AA238" s="1"/>
      <c r="AB238" s="1"/>
      <c r="AC238" s="1"/>
      <c r="AD238" s="1"/>
      <c r="AE238" s="1"/>
      <c r="AP238"/>
      <c r="AQ238"/>
      <c r="AR238"/>
      <c r="AS238"/>
      <c r="AT238"/>
      <c r="AU238"/>
      <c r="AV238"/>
      <c r="AW238"/>
    </row>
    <row r="239" spans="1:49" x14ac:dyDescent="0.35">
      <c r="A239" s="105" cm="1">
        <f t="array" ref="A239">SUM(G233:G238+K233:K238+O233:O238)</f>
        <v>3.500000000000017E-3</v>
      </c>
      <c r="B239" s="11" t="s">
        <v>233</v>
      </c>
      <c r="C239" s="21">
        <v>-1.9E-3</v>
      </c>
      <c r="D239" s="38">
        <f t="shared" si="36"/>
        <v>0.41574267191343406</v>
      </c>
      <c r="E239" s="32">
        <f t="shared" si="47"/>
        <v>298361.19730804098</v>
      </c>
      <c r="F239" s="47">
        <v>0</v>
      </c>
      <c r="G239" s="20">
        <v>1.43E-2</v>
      </c>
      <c r="H239" s="38">
        <f t="shared" si="37"/>
        <v>0.24296765022490754</v>
      </c>
      <c r="I239" s="32">
        <f t="shared" si="41"/>
        <v>174367.76141978285</v>
      </c>
      <c r="J239" s="47">
        <v>0</v>
      </c>
      <c r="K239" s="19">
        <v>3.5000000000000001E-3</v>
      </c>
      <c r="L239" s="38">
        <f t="shared" si="38"/>
        <v>0.1325728543452393</v>
      </c>
      <c r="M239" s="32">
        <f t="shared" si="42"/>
        <v>95142.015061725921</v>
      </c>
      <c r="N239" s="47">
        <v>0</v>
      </c>
      <c r="O239" s="17">
        <v>-1.2500000000000001E-2</v>
      </c>
      <c r="P239" s="38">
        <f t="shared" si="39"/>
        <v>0.16635115952231894</v>
      </c>
      <c r="Q239" s="31">
        <f t="shared" si="43"/>
        <v>119383.29760625228</v>
      </c>
      <c r="R239" s="47">
        <v>0</v>
      </c>
      <c r="S239" s="26">
        <v>1.17E-2</v>
      </c>
      <c r="T239" s="38">
        <f t="shared" si="40"/>
        <v>4.2365663994100085E-2</v>
      </c>
      <c r="U239" s="31">
        <f t="shared" si="44"/>
        <v>30404.072249436591</v>
      </c>
      <c r="V239" s="47">
        <v>0</v>
      </c>
      <c r="W239" s="37">
        <f t="shared" si="45"/>
        <v>717658.34364523867</v>
      </c>
      <c r="X239" s="40">
        <f t="shared" si="46"/>
        <v>1.4828559142279207E-3</v>
      </c>
      <c r="Y239" s="1"/>
      <c r="Z239" s="1"/>
      <c r="AA239" s="1"/>
      <c r="AB239" s="1"/>
      <c r="AC239" s="1"/>
      <c r="AD239" s="1"/>
      <c r="AE239" s="1"/>
      <c r="AP239"/>
      <c r="AQ239"/>
      <c r="AR239"/>
      <c r="AS239"/>
      <c r="AT239"/>
      <c r="AU239"/>
      <c r="AV239"/>
      <c r="AW239"/>
    </row>
    <row r="240" spans="1:49" x14ac:dyDescent="0.35">
      <c r="A240" s="106" cm="1">
        <f t="array" ref="A240">SUM(G234:G239+K234:K239+O234:O239)</f>
        <v>-0.20670000000000002</v>
      </c>
      <c r="B240" s="10" t="s">
        <v>234</v>
      </c>
      <c r="C240" s="17">
        <v>-5.7000000000000002E-2</v>
      </c>
      <c r="D240" s="38">
        <f t="shared" si="36"/>
        <v>0.39747887743656718</v>
      </c>
      <c r="E240" s="32">
        <f t="shared" si="47"/>
        <v>281354.60906148265</v>
      </c>
      <c r="F240" s="47">
        <v>0</v>
      </c>
      <c r="G240" s="20">
        <v>2.6700000000000002E-2</v>
      </c>
      <c r="H240" s="38">
        <f t="shared" si="37"/>
        <v>0.25291219721937713</v>
      </c>
      <c r="I240" s="32">
        <f t="shared" si="41"/>
        <v>179023.38064969104</v>
      </c>
      <c r="J240" s="47">
        <v>0</v>
      </c>
      <c r="K240" s="19">
        <v>3.9300000000000002E-2</v>
      </c>
      <c r="L240" s="38">
        <f t="shared" si="38"/>
        <v>0.13969256544153494</v>
      </c>
      <c r="M240" s="32">
        <f t="shared" si="42"/>
        <v>98881.096253651747</v>
      </c>
      <c r="N240" s="47">
        <v>0</v>
      </c>
      <c r="O240" s="17">
        <v>-1.1000000000000001E-3</v>
      </c>
      <c r="P240" s="38">
        <f t="shared" si="39"/>
        <v>0.16847117487178531</v>
      </c>
      <c r="Q240" s="31">
        <f t="shared" si="43"/>
        <v>119251.9759788854</v>
      </c>
      <c r="R240" s="47">
        <v>0</v>
      </c>
      <c r="S240" s="27">
        <v>-3.5099999999999999E-2</v>
      </c>
      <c r="T240" s="38">
        <f t="shared" si="40"/>
        <v>4.1445185030735493E-2</v>
      </c>
      <c r="U240" s="31">
        <f t="shared" si="44"/>
        <v>29336.889313481366</v>
      </c>
      <c r="V240" s="47">
        <v>0</v>
      </c>
      <c r="W240" s="37">
        <f t="shared" si="45"/>
        <v>707847.95125719218</v>
      </c>
      <c r="X240" s="40">
        <f t="shared" si="46"/>
        <v>-1.367000394396034E-2</v>
      </c>
      <c r="Y240" s="1"/>
      <c r="Z240" s="1"/>
      <c r="AA240" s="1"/>
      <c r="AB240" s="1"/>
      <c r="AC240" s="1"/>
      <c r="AD240" s="1"/>
      <c r="AE240" s="1"/>
      <c r="AP240"/>
      <c r="AQ240"/>
      <c r="AR240"/>
      <c r="AS240"/>
      <c r="AT240"/>
      <c r="AU240"/>
      <c r="AV240"/>
      <c r="AW240"/>
    </row>
    <row r="241" spans="1:49" x14ac:dyDescent="0.35">
      <c r="A241" s="105" cm="1">
        <f t="array" ref="A241">SUM(G235:G240+K235:K240+O235:O240)</f>
        <v>1.8699999999999981E-2</v>
      </c>
      <c r="B241" s="11" t="s">
        <v>235</v>
      </c>
      <c r="C241" s="21">
        <v>-1.8E-3</v>
      </c>
      <c r="D241" s="38">
        <f t="shared" si="36"/>
        <v>0.44282866167804685</v>
      </c>
      <c r="E241" s="32">
        <f t="shared" si="47"/>
        <v>316176.86444517202</v>
      </c>
      <c r="F241" s="49">
        <v>35392.400000000001</v>
      </c>
      <c r="G241" s="20">
        <v>5.1000000000000004E-3</v>
      </c>
      <c r="H241" s="38">
        <f t="shared" si="37"/>
        <v>0.23540651437346946</v>
      </c>
      <c r="I241" s="32">
        <f t="shared" si="41"/>
        <v>168078.76279400446</v>
      </c>
      <c r="J241" s="48">
        <v>-11797.47</v>
      </c>
      <c r="K241" s="19">
        <v>3.4299999999999997E-2</v>
      </c>
      <c r="L241" s="38">
        <f t="shared" si="38"/>
        <v>0.12615040935515373</v>
      </c>
      <c r="M241" s="32">
        <f t="shared" si="42"/>
        <v>90070.594634152003</v>
      </c>
      <c r="N241" s="48">
        <v>-11797.47</v>
      </c>
      <c r="O241" s="19">
        <v>3.3700000000000001E-2</v>
      </c>
      <c r="P241" s="38">
        <f t="shared" si="39"/>
        <v>0.15556961693642735</v>
      </c>
      <c r="Q241" s="31">
        <f t="shared" si="43"/>
        <v>111075.72283037384</v>
      </c>
      <c r="R241" s="48">
        <v>-11797.47</v>
      </c>
      <c r="S241" s="27">
        <v>-2.5399999999999999E-2</v>
      </c>
      <c r="T241" s="38">
        <f t="shared" si="40"/>
        <v>4.0044797656902505E-2</v>
      </c>
      <c r="U241" s="31">
        <f t="shared" si="44"/>
        <v>28591.732324918939</v>
      </c>
      <c r="V241" s="47">
        <v>0</v>
      </c>
      <c r="W241" s="37">
        <f t="shared" si="45"/>
        <v>713993.67702862131</v>
      </c>
      <c r="X241" s="40">
        <f t="shared" si="46"/>
        <v>8.6822682194866996E-3</v>
      </c>
      <c r="Y241" s="1"/>
      <c r="Z241" s="1"/>
      <c r="AA241" s="1"/>
      <c r="AB241" s="1"/>
      <c r="AC241" s="1"/>
      <c r="AD241" s="1"/>
      <c r="AE241" s="1"/>
      <c r="AP241"/>
      <c r="AQ241"/>
      <c r="AR241"/>
      <c r="AS241"/>
      <c r="AT241"/>
      <c r="AU241"/>
      <c r="AV241"/>
      <c r="AW241"/>
    </row>
    <row r="242" spans="1:49" x14ac:dyDescent="0.35">
      <c r="A242" s="105" cm="1">
        <f t="array" ref="A242">SUM(G236:G241+K236:K241+O236:O241)</f>
        <v>-5.4900000000000004E-2</v>
      </c>
      <c r="B242" s="10" t="s">
        <v>236</v>
      </c>
      <c r="C242" s="18">
        <v>1.9900000000000001E-2</v>
      </c>
      <c r="D242" s="38">
        <f t="shared" si="36"/>
        <v>0.44902657126341172</v>
      </c>
      <c r="E242" s="32">
        <f t="shared" si="47"/>
        <v>322468.78404763096</v>
      </c>
      <c r="F242" s="47">
        <v>0</v>
      </c>
      <c r="G242" s="18">
        <v>1.4999999999999999E-2</v>
      </c>
      <c r="H242" s="38">
        <f t="shared" si="37"/>
        <v>0.23755449149666219</v>
      </c>
      <c r="I242" s="32">
        <f t="shared" si="41"/>
        <v>170599.94423591453</v>
      </c>
      <c r="J242" s="47">
        <v>0</v>
      </c>
      <c r="K242" s="17">
        <v>-1.9199999999999998E-2</v>
      </c>
      <c r="L242" s="38">
        <f t="shared" si="38"/>
        <v>0.12301210445532715</v>
      </c>
      <c r="M242" s="32">
        <f t="shared" si="42"/>
        <v>88341.239217176291</v>
      </c>
      <c r="N242" s="47">
        <v>0</v>
      </c>
      <c r="O242" s="17">
        <v>-3.5099999999999999E-2</v>
      </c>
      <c r="P242" s="38">
        <f t="shared" si="39"/>
        <v>0.14924019773294578</v>
      </c>
      <c r="Q242" s="31">
        <f t="shared" si="43"/>
        <v>107176.96495902771</v>
      </c>
      <c r="R242" s="47">
        <v>0</v>
      </c>
      <c r="S242" s="26">
        <v>3.4000000000000002E-2</v>
      </c>
      <c r="T242" s="38">
        <f t="shared" si="40"/>
        <v>4.1166635051653085E-2</v>
      </c>
      <c r="U242" s="31">
        <f t="shared" si="44"/>
        <v>29563.851223966183</v>
      </c>
      <c r="V242" s="47">
        <v>0</v>
      </c>
      <c r="W242" s="37">
        <f t="shared" si="45"/>
        <v>718150.78368371574</v>
      </c>
      <c r="X242" s="40">
        <f t="shared" si="46"/>
        <v>5.8223297892423531E-3</v>
      </c>
      <c r="Y242" s="1"/>
      <c r="Z242" s="1"/>
      <c r="AA242" s="1"/>
      <c r="AB242" s="1"/>
      <c r="AC242" s="1"/>
      <c r="AD242" s="1"/>
      <c r="AE242" s="1"/>
      <c r="AP242"/>
      <c r="AQ242"/>
      <c r="AR242"/>
      <c r="AS242"/>
      <c r="AT242"/>
      <c r="AU242"/>
      <c r="AV242"/>
      <c r="AW242"/>
    </row>
    <row r="243" spans="1:49" x14ac:dyDescent="0.35">
      <c r="A243" s="105" cm="1">
        <f t="array" ref="A243">SUM(G237:G242+K237:K242+O237:O242)</f>
        <v>-2.2800000000000029E-2</v>
      </c>
      <c r="B243" s="11" t="s">
        <v>237</v>
      </c>
      <c r="C243" s="17">
        <v>-1.9900000000000001E-2</v>
      </c>
      <c r="D243" s="38">
        <f t="shared" si="36"/>
        <v>0.44804438085074533</v>
      </c>
      <c r="E243" s="32">
        <f t="shared" si="47"/>
        <v>316051.65524508309</v>
      </c>
      <c r="F243" s="47">
        <v>0</v>
      </c>
      <c r="G243" s="17">
        <v>-2.1299999999999999E-2</v>
      </c>
      <c r="H243" s="38">
        <f t="shared" si="37"/>
        <v>0.23669628356247605</v>
      </c>
      <c r="I243" s="32">
        <f t="shared" si="41"/>
        <v>166966.16542368956</v>
      </c>
      <c r="J243" s="47">
        <v>0</v>
      </c>
      <c r="K243" s="17">
        <v>-3.5999999999999997E-2</v>
      </c>
      <c r="L243" s="38">
        <f t="shared" si="38"/>
        <v>0.12072674370025982</v>
      </c>
      <c r="M243" s="32">
        <f t="shared" si="42"/>
        <v>85160.95460535794</v>
      </c>
      <c r="N243" s="47">
        <v>0</v>
      </c>
      <c r="O243" s="17">
        <v>-3.3E-3</v>
      </c>
      <c r="P243" s="38">
        <f t="shared" si="39"/>
        <v>0.15143591242268187</v>
      </c>
      <c r="Q243" s="31">
        <f t="shared" si="43"/>
        <v>106823.28097466292</v>
      </c>
      <c r="R243" s="47">
        <v>0</v>
      </c>
      <c r="S243" s="26">
        <v>2.8299999999999999E-2</v>
      </c>
      <c r="T243" s="38">
        <f t="shared" si="40"/>
        <v>4.3096679463836773E-2</v>
      </c>
      <c r="U243" s="31">
        <f t="shared" si="44"/>
        <v>30400.508213604426</v>
      </c>
      <c r="V243" s="47">
        <v>0</v>
      </c>
      <c r="W243" s="37">
        <f t="shared" si="45"/>
        <v>705402.56446239806</v>
      </c>
      <c r="X243" s="40">
        <f t="shared" si="46"/>
        <v>-1.7751452077969465E-2</v>
      </c>
      <c r="Y243" s="1"/>
      <c r="Z243" s="1"/>
      <c r="AA243" s="1"/>
      <c r="AB243" s="1"/>
      <c r="AC243" s="1"/>
      <c r="AD243" s="1"/>
      <c r="AE243" s="1"/>
      <c r="AP243"/>
      <c r="AQ243"/>
      <c r="AR243"/>
      <c r="AS243"/>
      <c r="AT243"/>
      <c r="AU243"/>
      <c r="AV243"/>
      <c r="AW243"/>
    </row>
    <row r="244" spans="1:49" x14ac:dyDescent="0.35">
      <c r="A244" s="105" cm="1">
        <f t="array" ref="A244">SUM(G238:G243+K238:K243+O238:O243)</f>
        <v>-3.6800000000000006E-2</v>
      </c>
      <c r="B244" s="10" t="s">
        <v>238</v>
      </c>
      <c r="C244" s="18">
        <v>7.6200000000000004E-2</v>
      </c>
      <c r="D244" s="38">
        <f t="shared" si="36"/>
        <v>0.4740971723179111</v>
      </c>
      <c r="E244" s="32">
        <f t="shared" si="47"/>
        <v>340134.79137475841</v>
      </c>
      <c r="F244" s="47">
        <v>0</v>
      </c>
      <c r="G244" s="17">
        <v>-1.9300000000000001E-2</v>
      </c>
      <c r="H244" s="38">
        <f t="shared" si="37"/>
        <v>0.22823432316110953</v>
      </c>
      <c r="I244" s="32">
        <f t="shared" si="41"/>
        <v>163743.71843101236</v>
      </c>
      <c r="J244" s="47">
        <v>0</v>
      </c>
      <c r="K244" s="17">
        <v>-6.6600000000000006E-2</v>
      </c>
      <c r="L244" s="38">
        <f t="shared" si="38"/>
        <v>0.11079613880272191</v>
      </c>
      <c r="M244" s="32">
        <f t="shared" si="42"/>
        <v>79489.235028641095</v>
      </c>
      <c r="N244" s="47">
        <v>0</v>
      </c>
      <c r="O244" s="17">
        <v>-3.0300000000000001E-2</v>
      </c>
      <c r="P244" s="38">
        <f t="shared" si="39"/>
        <v>0.14438418193342528</v>
      </c>
      <c r="Q244" s="31">
        <f t="shared" si="43"/>
        <v>103586.53556113063</v>
      </c>
      <c r="R244" s="47">
        <v>0</v>
      </c>
      <c r="S244" s="26">
        <v>2.7000000000000001E-3</v>
      </c>
      <c r="T244" s="38">
        <f t="shared" si="40"/>
        <v>4.248818378483208E-2</v>
      </c>
      <c r="U244" s="31">
        <f t="shared" si="44"/>
        <v>30482.589585781159</v>
      </c>
      <c r="V244" s="47">
        <v>0</v>
      </c>
      <c r="W244" s="37">
        <f t="shared" si="45"/>
        <v>717436.86998132372</v>
      </c>
      <c r="X244" s="40">
        <f t="shared" si="46"/>
        <v>1.7060195305778736E-2</v>
      </c>
      <c r="Y244" s="1"/>
      <c r="Z244" s="1"/>
      <c r="AA244" s="1"/>
      <c r="AB244" s="1"/>
      <c r="AC244" s="1"/>
      <c r="AD244" s="1"/>
      <c r="AE244" s="1"/>
      <c r="AP244"/>
      <c r="AQ244"/>
      <c r="AR244"/>
      <c r="AS244"/>
      <c r="AT244"/>
      <c r="AU244"/>
      <c r="AV244"/>
      <c r="AW244"/>
    </row>
    <row r="245" spans="1:49" x14ac:dyDescent="0.35">
      <c r="A245" s="105" cm="1">
        <f t="array" ref="A245">SUM(G239:G244+K239:K244+O239:O244)</f>
        <v>-7.2800000000000004E-2</v>
      </c>
      <c r="B245" s="11" t="s">
        <v>239</v>
      </c>
      <c r="C245" s="21">
        <v>-2.3999999999999998E-3</v>
      </c>
      <c r="D245" s="38">
        <f t="shared" si="36"/>
        <v>0.33836106190858728</v>
      </c>
      <c r="E245" s="32">
        <f t="shared" si="47"/>
        <v>250500.25441145897</v>
      </c>
      <c r="F245" s="48">
        <v>-89031.89</v>
      </c>
      <c r="G245" s="18">
        <v>5.8500000000000003E-2</v>
      </c>
      <c r="H245" s="38">
        <f t="shared" si="37"/>
        <v>0.27654558920203109</v>
      </c>
      <c r="I245" s="32">
        <f t="shared" si="41"/>
        <v>204736.14800922657</v>
      </c>
      <c r="J245" s="49">
        <v>29677.3</v>
      </c>
      <c r="K245" s="19">
        <v>6.13E-2</v>
      </c>
      <c r="L245" s="38">
        <f t="shared" si="38"/>
        <v>0.15649479521862461</v>
      </c>
      <c r="M245" s="32">
        <f t="shared" si="42"/>
        <v>115858.44362589679</v>
      </c>
      <c r="N245" s="49">
        <v>29677.3</v>
      </c>
      <c r="O245" s="19">
        <v>4.7600000000000003E-2</v>
      </c>
      <c r="P245" s="38">
        <f t="shared" si="39"/>
        <v>0.18857321549707654</v>
      </c>
      <c r="Q245" s="31">
        <f t="shared" si="43"/>
        <v>139607.19413384044</v>
      </c>
      <c r="R245" s="49">
        <v>29677.3</v>
      </c>
      <c r="S245" s="27">
        <v>-2.7900000000000001E-2</v>
      </c>
      <c r="T245" s="38">
        <f t="shared" si="40"/>
        <v>4.0025338173680453E-2</v>
      </c>
      <c r="U245" s="31">
        <f t="shared" si="44"/>
        <v>29632.125336337864</v>
      </c>
      <c r="V245" s="47">
        <v>0</v>
      </c>
      <c r="W245" s="37">
        <f t="shared" si="45"/>
        <v>740334.16551676067</v>
      </c>
      <c r="X245" s="40">
        <f t="shared" si="46"/>
        <v>3.1915415130578717E-2</v>
      </c>
      <c r="Y245" s="1"/>
      <c r="Z245" s="1"/>
      <c r="AA245" s="1"/>
      <c r="AB245" s="1"/>
      <c r="AC245" s="1"/>
      <c r="AD245" s="1"/>
      <c r="AE245" s="1"/>
      <c r="AP245"/>
      <c r="AQ245"/>
      <c r="AR245"/>
      <c r="AS245"/>
      <c r="AT245"/>
      <c r="AU245"/>
      <c r="AV245"/>
      <c r="AW245"/>
    </row>
    <row r="246" spans="1:49" x14ac:dyDescent="0.35">
      <c r="A246" s="105" cm="1">
        <f t="array" ref="A246">SUM(G240:G245+K240:K245+O240:O245)</f>
        <v>8.9300000000000018E-2</v>
      </c>
      <c r="B246" s="10" t="s">
        <v>240</v>
      </c>
      <c r="C246" s="22">
        <v>1.9E-3</v>
      </c>
      <c r="D246" s="38">
        <f t="shared" si="36"/>
        <v>0.33025325289368535</v>
      </c>
      <c r="E246" s="32">
        <f t="shared" si="47"/>
        <v>250976.20489484075</v>
      </c>
      <c r="F246" s="47">
        <v>0</v>
      </c>
      <c r="G246" s="18">
        <v>3.2800000000000003E-2</v>
      </c>
      <c r="H246" s="38">
        <f t="shared" si="37"/>
        <v>0.27824368306549624</v>
      </c>
      <c r="I246" s="32">
        <f t="shared" si="41"/>
        <v>211451.4936639292</v>
      </c>
      <c r="J246" s="47">
        <v>0</v>
      </c>
      <c r="K246" s="19">
        <v>0.10489999999999999</v>
      </c>
      <c r="L246" s="38">
        <f t="shared" si="38"/>
        <v>0.16844775210963175</v>
      </c>
      <c r="M246" s="32">
        <f t="shared" si="42"/>
        <v>128011.99436225336</v>
      </c>
      <c r="N246" s="47">
        <v>0</v>
      </c>
      <c r="O246" s="19">
        <v>5.3E-3</v>
      </c>
      <c r="P246" s="38">
        <f t="shared" si="39"/>
        <v>0.18467922239253354</v>
      </c>
      <c r="Q246" s="31">
        <f t="shared" si="43"/>
        <v>140347.11226274981</v>
      </c>
      <c r="R246" s="47">
        <v>0</v>
      </c>
      <c r="S246" s="27">
        <v>-1.5800000000000002E-2</v>
      </c>
      <c r="T246" s="38">
        <f t="shared" si="40"/>
        <v>3.8376089538653284E-2</v>
      </c>
      <c r="U246" s="31">
        <f t="shared" si="44"/>
        <v>29163.937756023726</v>
      </c>
      <c r="V246" s="47">
        <v>0</v>
      </c>
      <c r="W246" s="37">
        <f t="shared" si="45"/>
        <v>759950.74293979676</v>
      </c>
      <c r="X246" s="40">
        <f t="shared" si="46"/>
        <v>2.649692306087692E-2</v>
      </c>
      <c r="Y246" s="1"/>
      <c r="Z246" s="1"/>
      <c r="AA246" s="1"/>
      <c r="AB246" s="1"/>
      <c r="AC246" s="1"/>
      <c r="AD246" s="1"/>
      <c r="AE246" s="1"/>
      <c r="AP246"/>
      <c r="AQ246"/>
      <c r="AR246"/>
      <c r="AS246"/>
      <c r="AT246"/>
      <c r="AU246"/>
      <c r="AV246"/>
      <c r="AW246"/>
    </row>
    <row r="247" spans="1:49" x14ac:dyDescent="0.35">
      <c r="A247" s="105" cm="1">
        <f t="array" ref="A247">SUM(G241:G246+K241:K246+O241:O246)</f>
        <v>0.16739999999999999</v>
      </c>
      <c r="B247" s="9" t="s">
        <v>241</v>
      </c>
      <c r="C247" s="18">
        <v>9.4000000000000004E-3</v>
      </c>
      <c r="D247" s="38">
        <f t="shared" si="36"/>
        <v>0.33115976305249856</v>
      </c>
      <c r="E247" s="32">
        <f t="shared" si="47"/>
        <v>253335.38122085226</v>
      </c>
      <c r="F247" s="47">
        <v>0</v>
      </c>
      <c r="G247" s="18">
        <v>3.73E-2</v>
      </c>
      <c r="H247" s="38">
        <f t="shared" si="37"/>
        <v>0.28671924876304572</v>
      </c>
      <c r="I247" s="32">
        <f t="shared" si="41"/>
        <v>219338.63437759376</v>
      </c>
      <c r="J247" s="47">
        <v>0</v>
      </c>
      <c r="K247" s="17">
        <v>-1.8800000000000001E-2</v>
      </c>
      <c r="L247" s="38">
        <f t="shared" si="38"/>
        <v>0.16419121558179442</v>
      </c>
      <c r="M247" s="32">
        <f t="shared" si="42"/>
        <v>125605.36886824299</v>
      </c>
      <c r="N247" s="47">
        <v>0</v>
      </c>
      <c r="O247" s="17">
        <v>-2.52E-2</v>
      </c>
      <c r="P247" s="38">
        <f t="shared" si="39"/>
        <v>0.17883837563217633</v>
      </c>
      <c r="Q247" s="31">
        <f t="shared" si="43"/>
        <v>136810.36503372851</v>
      </c>
      <c r="R247" s="47">
        <v>0</v>
      </c>
      <c r="S247" s="26">
        <v>2.5399999999999999E-2</v>
      </c>
      <c r="T247" s="38">
        <f t="shared" si="40"/>
        <v>3.9091396970484991E-2</v>
      </c>
      <c r="U247" s="31">
        <f t="shared" si="44"/>
        <v>29904.70177502673</v>
      </c>
      <c r="V247" s="47">
        <v>0</v>
      </c>
      <c r="W247" s="37">
        <f t="shared" si="45"/>
        <v>764994.45127544424</v>
      </c>
      <c r="X247" s="40">
        <f t="shared" si="46"/>
        <v>6.6368884858725163E-3</v>
      </c>
      <c r="Y247" s="1"/>
      <c r="Z247" s="1"/>
      <c r="AA247" s="1"/>
      <c r="AB247" s="1"/>
      <c r="AC247" s="1"/>
      <c r="AD247" s="1"/>
      <c r="AE247" s="1"/>
      <c r="AP247"/>
      <c r="AQ247"/>
      <c r="AR247"/>
      <c r="AS247"/>
      <c r="AT247"/>
      <c r="AU247"/>
      <c r="AV247"/>
      <c r="AW247"/>
    </row>
    <row r="248" spans="1:49" x14ac:dyDescent="0.35">
      <c r="A248" s="105" cm="1">
        <f t="array" ref="A248">SUM(G242:G247+K242:K247+O242:O247)</f>
        <v>8.7599999999999997E-2</v>
      </c>
      <c r="B248" s="10" t="s">
        <v>242</v>
      </c>
      <c r="C248" s="22">
        <v>5.3E-3</v>
      </c>
      <c r="D248" s="38">
        <f t="shared" si="36"/>
        <v>0.32156909384098031</v>
      </c>
      <c r="E248" s="32">
        <f t="shared" si="47"/>
        <v>254678.05874132278</v>
      </c>
      <c r="F248" s="47">
        <v>0</v>
      </c>
      <c r="G248" s="18">
        <v>5.4699999999999999E-2</v>
      </c>
      <c r="H248" s="38">
        <f t="shared" si="37"/>
        <v>0.29209683565034172</v>
      </c>
      <c r="I248" s="32">
        <f t="shared" si="41"/>
        <v>231336.45767804814</v>
      </c>
      <c r="J248" s="47">
        <v>0</v>
      </c>
      <c r="K248" s="19">
        <v>5.9299999999999999E-2</v>
      </c>
      <c r="L248" s="38">
        <f t="shared" si="38"/>
        <v>0.16800025717032119</v>
      </c>
      <c r="M248" s="32">
        <f t="shared" si="42"/>
        <v>133053.7672421298</v>
      </c>
      <c r="N248" s="47">
        <v>0</v>
      </c>
      <c r="O248" s="19">
        <v>4.4699999999999997E-2</v>
      </c>
      <c r="P248" s="38">
        <f t="shared" si="39"/>
        <v>0.18046515853623729</v>
      </c>
      <c r="Q248" s="31">
        <f t="shared" si="43"/>
        <v>142925.78835073617</v>
      </c>
      <c r="R248" s="47">
        <v>0</v>
      </c>
      <c r="S248" s="26">
        <v>2.8999999999999998E-3</v>
      </c>
      <c r="T248" s="38">
        <f t="shared" si="40"/>
        <v>3.786865480211965E-2</v>
      </c>
      <c r="U248" s="31">
        <f t="shared" si="44"/>
        <v>29991.425410174306</v>
      </c>
      <c r="V248" s="47">
        <v>0</v>
      </c>
      <c r="W248" s="37">
        <f t="shared" si="45"/>
        <v>791985.49742241111</v>
      </c>
      <c r="X248" s="40">
        <f t="shared" si="46"/>
        <v>3.52826691774899E-2</v>
      </c>
      <c r="Y248" s="1"/>
      <c r="Z248" s="1"/>
      <c r="AA248" s="1"/>
      <c r="AB248" s="1"/>
      <c r="AC248" s="1"/>
      <c r="AD248" s="1"/>
      <c r="AE248" s="1"/>
      <c r="AP248"/>
      <c r="AQ248"/>
      <c r="AR248"/>
      <c r="AS248"/>
      <c r="AT248"/>
      <c r="AU248"/>
      <c r="AV248"/>
      <c r="AW248"/>
    </row>
    <row r="249" spans="1:49" x14ac:dyDescent="0.35">
      <c r="A249" s="106" cm="1">
        <f t="array" ref="A249">SUM(G243:G248+K243:K248+O243:O248)</f>
        <v>0.28559999999999997</v>
      </c>
      <c r="B249" s="11" t="s">
        <v>243</v>
      </c>
      <c r="C249" s="18">
        <v>9.7699999999999995E-2</v>
      </c>
      <c r="D249" s="38">
        <f t="shared" si="36"/>
        <v>0.33475748039081787</v>
      </c>
      <c r="E249" s="32">
        <f t="shared" si="47"/>
        <v>279560.10508035001</v>
      </c>
      <c r="F249" s="47">
        <v>0</v>
      </c>
      <c r="G249" s="18">
        <v>3.6400000000000002E-2</v>
      </c>
      <c r="H249" s="38">
        <f t="shared" si="37"/>
        <v>0.2870956292732274</v>
      </c>
      <c r="I249" s="32">
        <f t="shared" si="41"/>
        <v>239757.10473752909</v>
      </c>
      <c r="J249" s="47">
        <v>0</v>
      </c>
      <c r="K249" s="19">
        <v>3.7600000000000001E-2</v>
      </c>
      <c r="L249" s="38">
        <f t="shared" si="38"/>
        <v>0.1653149895441253</v>
      </c>
      <c r="M249" s="32">
        <f t="shared" si="42"/>
        <v>138056.58889043389</v>
      </c>
      <c r="N249" s="47">
        <v>0</v>
      </c>
      <c r="O249" s="19">
        <v>3.2599999999999997E-2</v>
      </c>
      <c r="P249" s="38">
        <f t="shared" si="39"/>
        <v>0.17672492761567621</v>
      </c>
      <c r="Q249" s="31">
        <f t="shared" si="43"/>
        <v>147585.16905097017</v>
      </c>
      <c r="R249" s="47">
        <v>0</v>
      </c>
      <c r="S249" s="26">
        <v>5.4000000000000003E-3</v>
      </c>
      <c r="T249" s="38">
        <f t="shared" si="40"/>
        <v>3.6106973176153148E-2</v>
      </c>
      <c r="U249" s="31">
        <f t="shared" si="44"/>
        <v>30153.379107389246</v>
      </c>
      <c r="V249" s="47">
        <v>0</v>
      </c>
      <c r="W249" s="37">
        <f t="shared" si="45"/>
        <v>835112.34686667251</v>
      </c>
      <c r="X249" s="40">
        <f t="shared" si="46"/>
        <v>5.4454089859753418E-2</v>
      </c>
      <c r="Y249" s="1"/>
      <c r="Z249" s="1"/>
      <c r="AA249" s="1"/>
      <c r="AB249" s="1"/>
      <c r="AC249" s="1"/>
      <c r="AD249" s="1"/>
      <c r="AE249" s="1"/>
      <c r="AP249"/>
      <c r="AQ249"/>
      <c r="AR249"/>
      <c r="AS249"/>
      <c r="AT249"/>
      <c r="AU249"/>
      <c r="AV249"/>
      <c r="AW249"/>
    </row>
    <row r="250" spans="1:49" x14ac:dyDescent="0.35">
      <c r="A250" s="106" cm="1">
        <f t="array" ref="A250">SUM(G244:G249+K244:K249+O244:O249)</f>
        <v>0.45279999999999998</v>
      </c>
      <c r="B250" s="10" t="s">
        <v>244</v>
      </c>
      <c r="C250" s="18">
        <v>4.9599999999999998E-2</v>
      </c>
      <c r="D250" s="38">
        <f t="shared" si="36"/>
        <v>0.29711353402451279</v>
      </c>
      <c r="E250" s="32">
        <f t="shared" si="47"/>
        <v>249599.58754033537</v>
      </c>
      <c r="F250" s="48">
        <v>-41755.620000000003</v>
      </c>
      <c r="G250" s="17">
        <v>-1.7500000000000002E-2</v>
      </c>
      <c r="H250" s="38">
        <f t="shared" si="37"/>
        <v>0.29668111576558132</v>
      </c>
      <c r="I250" s="32">
        <f t="shared" si="41"/>
        <v>249236.32095462235</v>
      </c>
      <c r="J250" s="49">
        <v>13918.54</v>
      </c>
      <c r="K250" s="17">
        <v>-4.4999999999999998E-2</v>
      </c>
      <c r="L250" s="38">
        <f t="shared" si="38"/>
        <v>0.17276448254634272</v>
      </c>
      <c r="M250" s="32">
        <f t="shared" si="42"/>
        <v>145136.24809036439</v>
      </c>
      <c r="N250" s="49">
        <v>13918.54</v>
      </c>
      <c r="O250" s="19">
        <v>2.29E-2</v>
      </c>
      <c r="P250" s="38">
        <f t="shared" si="39"/>
        <v>0.19665013597364089</v>
      </c>
      <c r="Q250" s="31">
        <f t="shared" si="43"/>
        <v>165202.1439882374</v>
      </c>
      <c r="R250" s="49">
        <v>13918.54</v>
      </c>
      <c r="S250" s="26">
        <v>2.5000000000000001E-2</v>
      </c>
      <c r="T250" s="38">
        <f t="shared" si="40"/>
        <v>3.6790731689922335E-2</v>
      </c>
      <c r="U250" s="31">
        <f t="shared" si="44"/>
        <v>30907.213585073976</v>
      </c>
      <c r="V250" s="47">
        <v>0</v>
      </c>
      <c r="W250" s="37">
        <f t="shared" si="45"/>
        <v>840081.51415863342</v>
      </c>
      <c r="X250" s="40">
        <f t="shared" si="46"/>
        <v>5.9502979576402382E-3</v>
      </c>
      <c r="Y250" s="1"/>
      <c r="Z250" s="1"/>
      <c r="AA250" s="1"/>
      <c r="AB250" s="1"/>
      <c r="AC250" s="1"/>
      <c r="AD250" s="1"/>
      <c r="AE250" s="1"/>
      <c r="AP250"/>
      <c r="AQ250"/>
      <c r="AR250"/>
      <c r="AS250"/>
      <c r="AT250"/>
      <c r="AU250"/>
      <c r="AV250"/>
      <c r="AW250"/>
    </row>
    <row r="251" spans="1:49" x14ac:dyDescent="0.35">
      <c r="A251" s="106" cm="1">
        <f t="array" ref="A251">SUM(G245:G250+K245:K250+O245:O250)</f>
        <v>0.52940000000000009</v>
      </c>
      <c r="B251" s="11" t="s">
        <v>245</v>
      </c>
      <c r="C251" s="18">
        <v>3.5200000000000002E-2</v>
      </c>
      <c r="D251" s="38">
        <f t="shared" si="36"/>
        <v>0.29306654914454533</v>
      </c>
      <c r="E251" s="32">
        <f t="shared" si="47"/>
        <v>258385.49302175519</v>
      </c>
      <c r="F251" s="47">
        <v>0</v>
      </c>
      <c r="G251" s="18">
        <v>6.5600000000000006E-2</v>
      </c>
      <c r="H251" s="38">
        <f t="shared" si="37"/>
        <v>0.30123377726527306</v>
      </c>
      <c r="I251" s="32">
        <f t="shared" si="41"/>
        <v>265586.22360924556</v>
      </c>
      <c r="J251" s="47">
        <v>0</v>
      </c>
      <c r="K251" s="19">
        <v>6.8000000000000005E-2</v>
      </c>
      <c r="L251" s="38">
        <f t="shared" si="38"/>
        <v>0.17581068600430955</v>
      </c>
      <c r="M251" s="32">
        <f t="shared" si="42"/>
        <v>155005.51296050916</v>
      </c>
      <c r="N251" s="47">
        <v>0</v>
      </c>
      <c r="O251" s="19">
        <v>3.6600000000000001E-2</v>
      </c>
      <c r="P251" s="38">
        <f t="shared" si="39"/>
        <v>0.19423388982613762</v>
      </c>
      <c r="Q251" s="31">
        <f t="shared" si="43"/>
        <v>171248.54245820688</v>
      </c>
      <c r="R251" s="47">
        <v>0</v>
      </c>
      <c r="S251" s="26">
        <v>1.7100000000000001E-2</v>
      </c>
      <c r="T251" s="38">
        <f t="shared" si="40"/>
        <v>3.5655097759734258E-2</v>
      </c>
      <c r="U251" s="31">
        <f t="shared" si="44"/>
        <v>31435.726937378742</v>
      </c>
      <c r="V251" s="47">
        <v>0</v>
      </c>
      <c r="W251" s="37">
        <f t="shared" si="45"/>
        <v>881661.49898709566</v>
      </c>
      <c r="X251" s="40">
        <f t="shared" si="46"/>
        <v>4.9495178893569358E-2</v>
      </c>
      <c r="Y251" s="1"/>
      <c r="Z251" s="1"/>
      <c r="AA251" s="1"/>
      <c r="AB251" s="1"/>
      <c r="AC251" s="1"/>
      <c r="AD251" s="1"/>
      <c r="AE251" s="1"/>
      <c r="AP251"/>
      <c r="AQ251"/>
      <c r="AR251"/>
      <c r="AS251"/>
      <c r="AT251"/>
      <c r="AU251"/>
      <c r="AV251"/>
      <c r="AW251"/>
    </row>
    <row r="252" spans="1:49" x14ac:dyDescent="0.35">
      <c r="A252" s="106" cm="1">
        <f t="array" ref="A252">SUM(G246:G251+K246:K251+O246:O251)</f>
        <v>0.53220000000000001</v>
      </c>
      <c r="B252" s="10" t="s">
        <v>246</v>
      </c>
      <c r="C252" s="18">
        <v>5.6899999999999999E-2</v>
      </c>
      <c r="D252" s="38">
        <f t="shared" si="36"/>
        <v>0.28962986697878162</v>
      </c>
      <c r="E252" s="32">
        <f t="shared" si="47"/>
        <v>273087.62757469306</v>
      </c>
      <c r="F252" s="47">
        <v>0</v>
      </c>
      <c r="G252" s="18">
        <v>9.3799999999999994E-2</v>
      </c>
      <c r="H252" s="38">
        <f t="shared" si="37"/>
        <v>0.30809509412010738</v>
      </c>
      <c r="I252" s="32">
        <f t="shared" si="41"/>
        <v>290498.2113837928</v>
      </c>
      <c r="J252" s="47">
        <v>0</v>
      </c>
      <c r="K252" s="19">
        <v>4.24E-2</v>
      </c>
      <c r="L252" s="38">
        <f t="shared" si="38"/>
        <v>0.17136529289873756</v>
      </c>
      <c r="M252" s="32">
        <f t="shared" si="42"/>
        <v>161577.74671003476</v>
      </c>
      <c r="N252" s="47">
        <v>0</v>
      </c>
      <c r="O252" s="19">
        <v>7.7399999999999997E-2</v>
      </c>
      <c r="P252" s="38">
        <f t="shared" si="39"/>
        <v>0.19567943026995904</v>
      </c>
      <c r="Q252" s="31">
        <f t="shared" si="43"/>
        <v>184503.17964447208</v>
      </c>
      <c r="R252" s="47">
        <v>0</v>
      </c>
      <c r="S252" s="26">
        <v>5.67E-2</v>
      </c>
      <c r="T252" s="38">
        <f t="shared" si="40"/>
        <v>3.5230315732414377E-2</v>
      </c>
      <c r="U252" s="31">
        <f t="shared" si="44"/>
        <v>33218.132654728121</v>
      </c>
      <c r="V252" s="47">
        <v>0</v>
      </c>
      <c r="W252" s="37">
        <f t="shared" si="45"/>
        <v>942884.89796772087</v>
      </c>
      <c r="X252" s="40">
        <f t="shared" si="46"/>
        <v>6.9440935155909767E-2</v>
      </c>
      <c r="Y252" s="1"/>
      <c r="Z252" s="1"/>
      <c r="AA252" s="1"/>
      <c r="AB252" s="1"/>
      <c r="AC252" s="1"/>
      <c r="AD252" s="1"/>
      <c r="AE252" s="1"/>
      <c r="AP252"/>
      <c r="AQ252"/>
      <c r="AR252"/>
      <c r="AS252"/>
      <c r="AT252"/>
      <c r="AU252"/>
      <c r="AV252"/>
      <c r="AW252"/>
    </row>
    <row r="253" spans="1:49" x14ac:dyDescent="0.35">
      <c r="A253" s="106" cm="1">
        <f t="array" ref="A253">SUM(G247:G252+K247:K252+O247:O252)</f>
        <v>0.60279999999999989</v>
      </c>
      <c r="B253" s="11" t="s">
        <v>247</v>
      </c>
      <c r="C253" s="18">
        <v>7.3400000000000007E-2</v>
      </c>
      <c r="D253" s="38">
        <f t="shared" si="36"/>
        <v>0.29357532057451319</v>
      </c>
      <c r="E253" s="32">
        <f t="shared" si="47"/>
        <v>293132.25943867554</v>
      </c>
      <c r="F253" s="47">
        <v>0</v>
      </c>
      <c r="G253" s="18">
        <v>3.1800000000000002E-2</v>
      </c>
      <c r="H253" s="38">
        <f t="shared" si="37"/>
        <v>0.30018909709147235</v>
      </c>
      <c r="I253" s="32">
        <f t="shared" si="41"/>
        <v>299736.05450579739</v>
      </c>
      <c r="J253" s="47">
        <v>0</v>
      </c>
      <c r="K253" s="19">
        <v>0.12570000000000001</v>
      </c>
      <c r="L253" s="38">
        <f t="shared" si="38"/>
        <v>0.18216298815430074</v>
      </c>
      <c r="M253" s="32">
        <f t="shared" si="42"/>
        <v>181888.06947148612</v>
      </c>
      <c r="N253" s="47">
        <v>0</v>
      </c>
      <c r="O253" s="19">
        <v>2.8899999999999999E-2</v>
      </c>
      <c r="P253" s="38">
        <f t="shared" si="39"/>
        <v>0.19012225226617907</v>
      </c>
      <c r="Q253" s="31">
        <f t="shared" si="43"/>
        <v>189835.32153619733</v>
      </c>
      <c r="R253" s="47">
        <v>0</v>
      </c>
      <c r="S253" s="26">
        <v>2.0500000000000001E-2</v>
      </c>
      <c r="T253" s="38">
        <f t="shared" si="40"/>
        <v>3.395034191353466E-2</v>
      </c>
      <c r="U253" s="31">
        <f t="shared" si="44"/>
        <v>33899.104374150047</v>
      </c>
      <c r="V253" s="47">
        <v>0</v>
      </c>
      <c r="W253" s="37">
        <f t="shared" si="45"/>
        <v>998490.80932630645</v>
      </c>
      <c r="X253" s="40">
        <f t="shared" si="46"/>
        <v>5.8974230553949569E-2</v>
      </c>
      <c r="Y253" s="1"/>
      <c r="Z253" s="1"/>
      <c r="AA253" s="1"/>
      <c r="AB253" s="1"/>
      <c r="AC253" s="1"/>
      <c r="AD253" s="1"/>
      <c r="AE253" s="1"/>
      <c r="AP253"/>
      <c r="AQ253"/>
      <c r="AR253"/>
      <c r="AS253"/>
      <c r="AT253"/>
      <c r="AU253"/>
      <c r="AV253"/>
      <c r="AW253"/>
    </row>
    <row r="254" spans="1:49" x14ac:dyDescent="0.35">
      <c r="A254" s="106" cm="1">
        <f t="array" ref="A254">SUM(G248:G253+K248:K253+O248:O253)</f>
        <v>0.79589999999999994</v>
      </c>
      <c r="B254" s="10" t="s">
        <v>248</v>
      </c>
      <c r="C254" s="18">
        <v>2.58E-2</v>
      </c>
      <c r="D254" s="38">
        <f t="shared" si="36"/>
        <v>0.29657345800465401</v>
      </c>
      <c r="E254" s="32">
        <f t="shared" si="47"/>
        <v>300695.07173219335</v>
      </c>
      <c r="F254" s="47">
        <v>0</v>
      </c>
      <c r="G254" s="18">
        <v>2.5999999999999999E-2</v>
      </c>
      <c r="H254" s="38">
        <f t="shared" si="37"/>
        <v>0.30331390321952173</v>
      </c>
      <c r="I254" s="32">
        <f t="shared" si="41"/>
        <v>307529.19192294811</v>
      </c>
      <c r="J254" s="47">
        <v>0</v>
      </c>
      <c r="K254" s="17">
        <v>-1.38E-2</v>
      </c>
      <c r="L254" s="38">
        <f t="shared" si="38"/>
        <v>0.17691928779868676</v>
      </c>
      <c r="M254" s="32">
        <f t="shared" si="42"/>
        <v>179378.01411277961</v>
      </c>
      <c r="N254" s="47">
        <v>0</v>
      </c>
      <c r="O254" s="19">
        <v>1.29E-2</v>
      </c>
      <c r="P254" s="38">
        <f t="shared" si="39"/>
        <v>0.18964856640318006</v>
      </c>
      <c r="Q254" s="31">
        <f t="shared" si="43"/>
        <v>192284.19718401428</v>
      </c>
      <c r="R254" s="47">
        <v>0</v>
      </c>
      <c r="S254" s="26">
        <v>3.3E-3</v>
      </c>
      <c r="T254" s="38">
        <f t="shared" si="40"/>
        <v>3.3544784573957515E-2</v>
      </c>
      <c r="U254" s="31">
        <f t="shared" si="44"/>
        <v>34010.971418584741</v>
      </c>
      <c r="V254" s="47">
        <v>0</v>
      </c>
      <c r="W254" s="37">
        <f t="shared" si="45"/>
        <v>1013897.44637052</v>
      </c>
      <c r="X254" s="40">
        <f t="shared" si="46"/>
        <v>1.5429923741219653E-2</v>
      </c>
      <c r="Y254" s="1"/>
      <c r="Z254" s="1"/>
      <c r="AA254" s="1"/>
      <c r="AB254" s="1"/>
      <c r="AC254" s="1"/>
      <c r="AD254" s="1"/>
      <c r="AE254" s="1"/>
      <c r="AP254"/>
      <c r="AQ254"/>
      <c r="AR254"/>
      <c r="AS254"/>
      <c r="AT254"/>
      <c r="AU254"/>
      <c r="AV254"/>
      <c r="AW254"/>
    </row>
    <row r="255" spans="1:49" x14ac:dyDescent="0.35">
      <c r="A255" s="106" cm="1">
        <f t="array" ref="A255">SUM(G249:G254+K249:K254+O249:O254)</f>
        <v>0.6623</v>
      </c>
      <c r="B255" s="11" t="s">
        <v>249</v>
      </c>
      <c r="C255" s="18">
        <v>1.5900000000000001E-2</v>
      </c>
      <c r="D255" s="38">
        <f t="shared" si="36"/>
        <v>0.30209144211886635</v>
      </c>
      <c r="E255" s="32">
        <f t="shared" si="47"/>
        <v>305476.12337273522</v>
      </c>
      <c r="F255" s="47">
        <v>0</v>
      </c>
      <c r="G255" s="17">
        <v>-1.52E-2</v>
      </c>
      <c r="H255" s="38">
        <f t="shared" si="37"/>
        <v>0.29949911183853156</v>
      </c>
      <c r="I255" s="32">
        <f t="shared" si="41"/>
        <v>302854.74820571928</v>
      </c>
      <c r="J255" s="47">
        <v>0</v>
      </c>
      <c r="K255" s="17">
        <v>-3.1199999999999999E-2</v>
      </c>
      <c r="L255" s="38">
        <f t="shared" si="38"/>
        <v>0.17185591863458821</v>
      </c>
      <c r="M255" s="32">
        <f t="shared" si="42"/>
        <v>173781.4200724609</v>
      </c>
      <c r="N255" s="47">
        <v>0</v>
      </c>
      <c r="O255" s="19">
        <v>2.07E-2</v>
      </c>
      <c r="P255" s="38">
        <f t="shared" si="39"/>
        <v>0.19408986589573726</v>
      </c>
      <c r="Q255" s="31">
        <f t="shared" si="43"/>
        <v>196264.48006572339</v>
      </c>
      <c r="R255" s="47">
        <v>0</v>
      </c>
      <c r="S255" s="27">
        <v>-3.4799999999999998E-2</v>
      </c>
      <c r="T255" s="38">
        <f t="shared" si="40"/>
        <v>3.246366151227658E-2</v>
      </c>
      <c r="U255" s="31">
        <f t="shared" si="44"/>
        <v>32827.389613217994</v>
      </c>
      <c r="V255" s="47">
        <v>0</v>
      </c>
      <c r="W255" s="37">
        <f t="shared" si="45"/>
        <v>1011204.1613298568</v>
      </c>
      <c r="X255" s="40">
        <f t="shared" si="46"/>
        <v>-2.6563683046095798E-3</v>
      </c>
      <c r="Y255" s="1"/>
      <c r="Z255" s="1"/>
      <c r="AA255" s="1"/>
      <c r="AB255" s="1"/>
      <c r="AC255" s="1"/>
      <c r="AD255" s="1"/>
      <c r="AE255" s="1"/>
      <c r="AP255"/>
      <c r="AQ255"/>
      <c r="AR255"/>
      <c r="AS255"/>
      <c r="AT255"/>
      <c r="AU255"/>
      <c r="AV255"/>
      <c r="AW255"/>
    </row>
    <row r="256" spans="1:49" x14ac:dyDescent="0.35">
      <c r="A256" s="106" cm="1">
        <f t="array" ref="A256">SUM(G250:G255+K250:K255+O250:O255)</f>
        <v>0.53</v>
      </c>
      <c r="B256" s="10" t="s">
        <v>250</v>
      </c>
      <c r="C256" s="18">
        <v>0.105</v>
      </c>
      <c r="D256" s="38">
        <f t="shared" si="36"/>
        <v>0.31427298226121952</v>
      </c>
      <c r="E256" s="32">
        <f t="shared" si="47"/>
        <v>337551.11632687243</v>
      </c>
      <c r="F256" s="47">
        <v>0</v>
      </c>
      <c r="G256" s="18">
        <v>5.04E-2</v>
      </c>
      <c r="H256" s="38">
        <f t="shared" si="37"/>
        <v>0.29618059294243954</v>
      </c>
      <c r="I256" s="32">
        <f t="shared" si="41"/>
        <v>318118.62751528755</v>
      </c>
      <c r="J256" s="47">
        <v>0</v>
      </c>
      <c r="K256" s="19">
        <v>4.5900000000000003E-2</v>
      </c>
      <c r="L256" s="38">
        <f t="shared" si="38"/>
        <v>0.16922362848514411</v>
      </c>
      <c r="M256" s="32">
        <f t="shared" si="42"/>
        <v>181757.98725378685</v>
      </c>
      <c r="N256" s="47">
        <v>0</v>
      </c>
      <c r="O256" s="19">
        <v>2.8299999999999999E-2</v>
      </c>
      <c r="P256" s="38">
        <f t="shared" si="39"/>
        <v>0.18790097866174216</v>
      </c>
      <c r="Q256" s="31">
        <f t="shared" si="43"/>
        <v>201818.76485158337</v>
      </c>
      <c r="R256" s="47">
        <v>0</v>
      </c>
      <c r="S256" s="26">
        <v>6.08E-2</v>
      </c>
      <c r="T256" s="38">
        <f t="shared" si="40"/>
        <v>3.2421817649454614E-2</v>
      </c>
      <c r="U256" s="31">
        <f t="shared" si="44"/>
        <v>34823.294901701651</v>
      </c>
      <c r="V256" s="47">
        <v>0</v>
      </c>
      <c r="W256" s="37">
        <f t="shared" si="45"/>
        <v>1074069.7908492319</v>
      </c>
      <c r="X256" s="40">
        <f t="shared" si="46"/>
        <v>6.216907714926645E-2</v>
      </c>
      <c r="Y256" s="1"/>
      <c r="Z256" s="1"/>
      <c r="AA256" s="1"/>
      <c r="AB256" s="1"/>
      <c r="AC256" s="1"/>
      <c r="AD256" s="1"/>
      <c r="AE256" s="1"/>
      <c r="AP256"/>
      <c r="AQ256"/>
      <c r="AR256"/>
      <c r="AS256"/>
      <c r="AT256"/>
      <c r="AU256"/>
      <c r="AV256"/>
      <c r="AW256"/>
    </row>
    <row r="257" spans="1:49" x14ac:dyDescent="0.35">
      <c r="A257" s="106" cm="1">
        <f t="array" ref="A257">SUM(G251:G256+K251:K256+O251:O256)</f>
        <v>0.69420000000000015</v>
      </c>
      <c r="B257" s="11" t="s">
        <v>251</v>
      </c>
      <c r="C257" s="18">
        <v>7.7999999999999996E-3</v>
      </c>
      <c r="D257" s="38">
        <f t="shared" si="36"/>
        <v>0.29764534445488794</v>
      </c>
      <c r="E257" s="32">
        <f t="shared" si="47"/>
        <v>340184.01503422204</v>
      </c>
      <c r="F257" s="47">
        <v>0</v>
      </c>
      <c r="G257" s="18">
        <v>0.10299999999999999</v>
      </c>
      <c r="H257" s="38">
        <f t="shared" si="37"/>
        <v>0.30700807880588044</v>
      </c>
      <c r="I257" s="32">
        <f t="shared" si="41"/>
        <v>350884.84614936216</v>
      </c>
      <c r="J257" s="47">
        <v>0</v>
      </c>
      <c r="K257" s="19">
        <v>0.1588</v>
      </c>
      <c r="L257" s="38">
        <f t="shared" si="38"/>
        <v>0.1842838100743168</v>
      </c>
      <c r="M257" s="32">
        <f t="shared" si="42"/>
        <v>210621.1556296882</v>
      </c>
      <c r="N257" s="47">
        <v>0</v>
      </c>
      <c r="O257" s="19">
        <v>1.5299999999999999E-2</v>
      </c>
      <c r="P257" s="38">
        <f t="shared" si="39"/>
        <v>0.17928383006777746</v>
      </c>
      <c r="Q257" s="31">
        <f t="shared" si="43"/>
        <v>204906.5919538126</v>
      </c>
      <c r="R257" s="47">
        <v>0</v>
      </c>
      <c r="S257" s="26">
        <v>4.2999999999999997E-2</v>
      </c>
      <c r="T257" s="38">
        <f t="shared" si="40"/>
        <v>3.177893659713743E-2</v>
      </c>
      <c r="U257" s="31">
        <f t="shared" si="44"/>
        <v>36320.696582474819</v>
      </c>
      <c r="V257" s="47">
        <v>0</v>
      </c>
      <c r="W257" s="37">
        <f t="shared" si="45"/>
        <v>1142917.3053495598</v>
      </c>
      <c r="X257" s="40">
        <f t="shared" si="46"/>
        <v>6.4099665670600769E-2</v>
      </c>
      <c r="Y257" s="1"/>
      <c r="Z257" s="1"/>
      <c r="AA257" s="1"/>
      <c r="AB257" s="1"/>
      <c r="AC257" s="1"/>
      <c r="AD257" s="1"/>
      <c r="AE257" s="1"/>
      <c r="AP257"/>
      <c r="AQ257"/>
      <c r="AR257"/>
      <c r="AS257"/>
      <c r="AT257"/>
      <c r="AU257"/>
      <c r="AV257"/>
      <c r="AW257"/>
    </row>
    <row r="258" spans="1:49" x14ac:dyDescent="0.35">
      <c r="A258" s="106" cm="1">
        <f t="array" ref="A258">SUM(G252:G257+K252:K257+O252:O257)</f>
        <v>0.80109999999999992</v>
      </c>
      <c r="B258" s="10" t="s">
        <v>252</v>
      </c>
      <c r="C258" s="18">
        <v>1.7000000000000001E-2</v>
      </c>
      <c r="D258" s="38">
        <f t="shared" si="36"/>
        <v>0.3046600669392549</v>
      </c>
      <c r="E258" s="32">
        <f t="shared" si="47"/>
        <v>345967.14328980382</v>
      </c>
      <c r="F258" s="47">
        <v>0</v>
      </c>
      <c r="G258" s="18">
        <v>1.4E-3</v>
      </c>
      <c r="H258" s="38">
        <f t="shared" si="37"/>
        <v>0.30942320284780622</v>
      </c>
      <c r="I258" s="32">
        <f t="shared" si="41"/>
        <v>351376.08493397129</v>
      </c>
      <c r="J258" s="47">
        <v>0</v>
      </c>
      <c r="K258" s="17">
        <v>-6.1699999999999998E-2</v>
      </c>
      <c r="L258" s="38">
        <f t="shared" si="38"/>
        <v>0.17403010622317264</v>
      </c>
      <c r="M258" s="32">
        <f t="shared" si="42"/>
        <v>197625.83032733644</v>
      </c>
      <c r="N258" s="47">
        <v>0</v>
      </c>
      <c r="O258" s="17">
        <v>-7.1000000000000004E-3</v>
      </c>
      <c r="P258" s="38">
        <f t="shared" si="39"/>
        <v>0.17916043920758412</v>
      </c>
      <c r="Q258" s="31">
        <f t="shared" si="43"/>
        <v>203451.75515094053</v>
      </c>
      <c r="R258" s="47">
        <v>0</v>
      </c>
      <c r="S258" s="26">
        <v>2.3199999999999998E-2</v>
      </c>
      <c r="T258" s="38">
        <f t="shared" si="40"/>
        <v>3.2726184782182123E-2</v>
      </c>
      <c r="U258" s="31">
        <f t="shared" si="44"/>
        <v>37163.336743188236</v>
      </c>
      <c r="V258" s="47">
        <v>0</v>
      </c>
      <c r="W258" s="37">
        <f t="shared" si="45"/>
        <v>1135584.1504452403</v>
      </c>
      <c r="X258" s="40">
        <f t="shared" si="46"/>
        <v>-6.4161727799515456E-3</v>
      </c>
      <c r="Y258" s="1"/>
      <c r="Z258" s="1"/>
      <c r="AA258" s="1"/>
      <c r="AB258" s="1"/>
      <c r="AC258" s="1"/>
      <c r="AD258" s="1"/>
      <c r="AE258" s="1"/>
      <c r="AP258"/>
      <c r="AQ258"/>
      <c r="AR258"/>
      <c r="AS258"/>
      <c r="AT258"/>
      <c r="AU258"/>
      <c r="AV258"/>
      <c r="AW258"/>
    </row>
    <row r="259" spans="1:49" x14ac:dyDescent="0.35">
      <c r="A259" s="106" cm="1">
        <f t="array" ref="A259">SUM(G253:G258+K253:K258+O253:O258)</f>
        <v>0.5200999999999999</v>
      </c>
      <c r="B259" s="9" t="s">
        <v>253</v>
      </c>
      <c r="C259" s="18">
        <v>1.3599999999999999E-2</v>
      </c>
      <c r="D259" s="38">
        <f t="shared" si="36"/>
        <v>0.31324818401840665</v>
      </c>
      <c r="E259" s="32">
        <f t="shared" si="47"/>
        <v>350672.29643854516</v>
      </c>
      <c r="F259" s="47">
        <v>0</v>
      </c>
      <c r="G259" s="17">
        <v>-2.35E-2</v>
      </c>
      <c r="H259" s="38">
        <f t="shared" si="37"/>
        <v>0.30650075718154962</v>
      </c>
      <c r="I259" s="32">
        <f t="shared" si="41"/>
        <v>343118.74693802296</v>
      </c>
      <c r="J259" s="47">
        <v>0</v>
      </c>
      <c r="K259" s="17">
        <v>-2.5399999999999999E-2</v>
      </c>
      <c r="L259" s="38">
        <f t="shared" si="38"/>
        <v>0.17205100714628593</v>
      </c>
      <c r="M259" s="32">
        <f t="shared" si="42"/>
        <v>192606.13423702211</v>
      </c>
      <c r="N259" s="47">
        <v>0</v>
      </c>
      <c r="O259" s="17">
        <v>-2.87E-2</v>
      </c>
      <c r="P259" s="38">
        <f t="shared" si="39"/>
        <v>0.17652325786971157</v>
      </c>
      <c r="Q259" s="31">
        <f t="shared" si="43"/>
        <v>197612.68977810853</v>
      </c>
      <c r="R259" s="47">
        <v>0</v>
      </c>
      <c r="S259" s="27">
        <v>-4.58E-2</v>
      </c>
      <c r="T259" s="38">
        <f t="shared" si="40"/>
        <v>3.1676793784046094E-2</v>
      </c>
      <c r="U259" s="31">
        <f t="shared" si="44"/>
        <v>35461.255920350217</v>
      </c>
      <c r="V259" s="47">
        <v>0</v>
      </c>
      <c r="W259" s="37">
        <f t="shared" si="45"/>
        <v>1119471.1233120491</v>
      </c>
      <c r="X259" s="40">
        <f t="shared" si="46"/>
        <v>-1.4189196922899661E-2</v>
      </c>
      <c r="Y259" s="1"/>
      <c r="Z259" s="1"/>
      <c r="AA259" s="1"/>
      <c r="AB259" s="1"/>
      <c r="AC259" s="1"/>
      <c r="AD259" s="1"/>
      <c r="AE259" s="1"/>
      <c r="AP259"/>
      <c r="AQ259"/>
      <c r="AR259"/>
      <c r="AS259"/>
      <c r="AT259"/>
      <c r="AU259"/>
      <c r="AV259"/>
      <c r="AW259"/>
    </row>
    <row r="260" spans="1:49" x14ac:dyDescent="0.35">
      <c r="A260" s="106" cm="1">
        <f t="array" ref="A260">SUM(G254:G259+K254:K259+O254:O259)</f>
        <v>0.25609999999999994</v>
      </c>
      <c r="B260" s="10" t="s">
        <v>254</v>
      </c>
      <c r="C260" s="22">
        <v>1.54E-2</v>
      </c>
      <c r="D260" s="38">
        <f t="shared" si="36"/>
        <v>0.3214173196326483</v>
      </c>
      <c r="E260" s="32">
        <f t="shared" si="47"/>
        <v>356072.64980369876</v>
      </c>
      <c r="F260" s="47">
        <v>0</v>
      </c>
      <c r="G260" s="17">
        <v>-1.9900000000000001E-2</v>
      </c>
      <c r="H260" s="38">
        <f t="shared" si="37"/>
        <v>0.30356066462219616</v>
      </c>
      <c r="I260" s="32">
        <f t="shared" si="41"/>
        <v>336290.68387395632</v>
      </c>
      <c r="J260" s="47">
        <v>0</v>
      </c>
      <c r="K260" s="17">
        <v>-5.7700000000000001E-2</v>
      </c>
      <c r="L260" s="38">
        <f t="shared" si="38"/>
        <v>0.16382869220031143</v>
      </c>
      <c r="M260" s="32">
        <f t="shared" si="42"/>
        <v>181492.76029154594</v>
      </c>
      <c r="N260" s="47">
        <v>0</v>
      </c>
      <c r="O260" s="19">
        <v>5.5999999999999999E-3</v>
      </c>
      <c r="P260" s="38">
        <f t="shared" si="39"/>
        <v>0.17937865067452849</v>
      </c>
      <c r="Q260" s="31">
        <f t="shared" si="43"/>
        <v>198719.32084086593</v>
      </c>
      <c r="R260" s="47">
        <v>0</v>
      </c>
      <c r="S260" s="27">
        <v>-6.1000000000000004E-3</v>
      </c>
      <c r="T260" s="38">
        <f t="shared" si="40"/>
        <v>3.1814672870315586E-2</v>
      </c>
      <c r="U260" s="31">
        <f t="shared" si="44"/>
        <v>35244.942259236079</v>
      </c>
      <c r="V260" s="47">
        <v>0</v>
      </c>
      <c r="W260" s="37">
        <f t="shared" si="45"/>
        <v>1107820.357069303</v>
      </c>
      <c r="X260" s="40">
        <f t="shared" si="46"/>
        <v>-1.0407384344382375E-2</v>
      </c>
      <c r="Y260" s="1"/>
      <c r="Z260" s="1"/>
      <c r="AA260" s="1"/>
      <c r="AB260" s="1"/>
      <c r="AC260" s="1"/>
      <c r="AD260" s="1"/>
      <c r="AE260" s="1"/>
      <c r="AP260"/>
      <c r="AQ260"/>
      <c r="AR260"/>
      <c r="AS260"/>
      <c r="AT260"/>
      <c r="AU260"/>
      <c r="AV260"/>
      <c r="AW260"/>
    </row>
    <row r="261" spans="1:49" x14ac:dyDescent="0.35">
      <c r="A261" s="105" cm="1">
        <f t="array" ref="A261">SUM(G255:G260+K255:K260+O255:O260)</f>
        <v>0.15899999999999992</v>
      </c>
      <c r="B261" s="11" t="s">
        <v>255</v>
      </c>
      <c r="C261" s="18">
        <v>7.7899999999999997E-2</v>
      </c>
      <c r="D261" s="38">
        <f t="shared" si="36"/>
        <v>0.35033063479570586</v>
      </c>
      <c r="E261" s="32">
        <f t="shared" si="47"/>
        <v>383810.70922340691</v>
      </c>
      <c r="F261" s="47">
        <v>0</v>
      </c>
      <c r="G261" s="17">
        <v>-7.0699999999999999E-2</v>
      </c>
      <c r="H261" s="38">
        <f t="shared" si="37"/>
        <v>0.28525403815808087</v>
      </c>
      <c r="I261" s="32">
        <f t="shared" si="41"/>
        <v>312514.93252406758</v>
      </c>
      <c r="J261" s="47">
        <v>0</v>
      </c>
      <c r="K261" s="17">
        <v>-8.3599999999999994E-2</v>
      </c>
      <c r="L261" s="38">
        <f t="shared" si="38"/>
        <v>0.15181175955624485</v>
      </c>
      <c r="M261" s="32">
        <f t="shared" si="42"/>
        <v>166319.9655311727</v>
      </c>
      <c r="N261" s="47">
        <v>0</v>
      </c>
      <c r="O261" s="17">
        <v>-2.8E-3</v>
      </c>
      <c r="P261" s="38">
        <f t="shared" si="39"/>
        <v>0.18087701891522037</v>
      </c>
      <c r="Q261" s="31">
        <f t="shared" si="43"/>
        <v>198162.90674251149</v>
      </c>
      <c r="R261" s="47">
        <v>0</v>
      </c>
      <c r="S261" s="27">
        <v>-1.38E-2</v>
      </c>
      <c r="T261" s="38">
        <f t="shared" si="40"/>
        <v>3.1726548574748131E-2</v>
      </c>
      <c r="U261" s="31">
        <f t="shared" si="44"/>
        <v>34758.562056058618</v>
      </c>
      <c r="V261" s="47">
        <v>0</v>
      </c>
      <c r="W261" s="37">
        <f t="shared" si="45"/>
        <v>1095567.0760772172</v>
      </c>
      <c r="X261" s="40">
        <f t="shared" si="46"/>
        <v>-1.1060711164851189E-2</v>
      </c>
      <c r="Y261" s="1"/>
      <c r="Z261" s="1"/>
      <c r="AA261" s="1"/>
      <c r="AB261" s="1"/>
      <c r="AC261" s="1"/>
      <c r="AD261" s="1"/>
      <c r="AE261" s="1"/>
      <c r="AP261"/>
      <c r="AQ261"/>
      <c r="AR261"/>
      <c r="AS261"/>
      <c r="AT261"/>
      <c r="AU261"/>
      <c r="AV261"/>
      <c r="AW261"/>
    </row>
    <row r="262" spans="1:49" x14ac:dyDescent="0.35">
      <c r="A262" s="105" cm="1">
        <f t="array" ref="A262">SUM(G256:G261+K256:K261+O256:O261)</f>
        <v>2.759999999999993E-2</v>
      </c>
      <c r="B262" s="10" t="s">
        <v>256</v>
      </c>
      <c r="C262" s="18">
        <v>2.7699999999999999E-2</v>
      </c>
      <c r="D262" s="38">
        <f t="shared" si="36"/>
        <v>0.36412929755277046</v>
      </c>
      <c r="E262" s="32">
        <f t="shared" si="47"/>
        <v>394442.26586889528</v>
      </c>
      <c r="F262" s="47">
        <v>0</v>
      </c>
      <c r="G262" s="17">
        <v>-3.15E-2</v>
      </c>
      <c r="H262" s="38">
        <f t="shared" si="37"/>
        <v>0.27941040639252362</v>
      </c>
      <c r="I262" s="32">
        <f t="shared" si="41"/>
        <v>302670.71214955946</v>
      </c>
      <c r="J262" s="47">
        <v>0</v>
      </c>
      <c r="K262" s="17">
        <v>-4.6699999999999998E-2</v>
      </c>
      <c r="L262" s="38">
        <f t="shared" si="38"/>
        <v>0.14636800645111916</v>
      </c>
      <c r="M262" s="32">
        <f t="shared" si="42"/>
        <v>158552.82314086694</v>
      </c>
      <c r="N262" s="47">
        <v>0</v>
      </c>
      <c r="O262" s="17">
        <v>-2.2700000000000001E-2</v>
      </c>
      <c r="P262" s="38">
        <f t="shared" si="39"/>
        <v>0.1787814442072293</v>
      </c>
      <c r="Q262" s="31">
        <f t="shared" si="43"/>
        <v>193664.60875945649</v>
      </c>
      <c r="R262" s="47">
        <v>0</v>
      </c>
      <c r="S262" s="27">
        <v>-2.4199999999999999E-2</v>
      </c>
      <c r="T262" s="38">
        <f t="shared" si="40"/>
        <v>3.1310845396357478E-2</v>
      </c>
      <c r="U262" s="31">
        <f t="shared" si="44"/>
        <v>33917.404854301996</v>
      </c>
      <c r="V262" s="47">
        <v>0</v>
      </c>
      <c r="W262" s="37">
        <f t="shared" si="45"/>
        <v>1083247.8147730802</v>
      </c>
      <c r="X262" s="40">
        <f t="shared" si="46"/>
        <v>-1.1244643594299442E-2</v>
      </c>
      <c r="Y262" s="1"/>
      <c r="Z262" s="1"/>
      <c r="AA262" s="1"/>
      <c r="AB262" s="1"/>
      <c r="AC262" s="1"/>
      <c r="AD262" s="1"/>
      <c r="AE262" s="1"/>
      <c r="AP262"/>
      <c r="AQ262"/>
      <c r="AR262"/>
      <c r="AS262"/>
      <c r="AT262"/>
      <c r="AU262"/>
      <c r="AV262"/>
      <c r="AW262"/>
    </row>
    <row r="263" spans="1:49" x14ac:dyDescent="0.35">
      <c r="A263" s="105" cm="1">
        <f t="array" ref="A263">SUM(G257:G262+K257:K262+O257:O262)</f>
        <v>-0.19790000000000005</v>
      </c>
      <c r="B263" s="11" t="s">
        <v>257</v>
      </c>
      <c r="C263" s="18">
        <v>8.2000000000000007E-3</v>
      </c>
      <c r="D263" s="38">
        <f t="shared" si="36"/>
        <v>0.35280463492064501</v>
      </c>
      <c r="E263" s="32">
        <f t="shared" si="47"/>
        <v>397676.69244902022</v>
      </c>
      <c r="F263" s="47">
        <v>0</v>
      </c>
      <c r="G263" s="18">
        <v>7.0300000000000001E-2</v>
      </c>
      <c r="H263" s="38">
        <f t="shared" si="37"/>
        <v>0.28739556898184432</v>
      </c>
      <c r="I263" s="32">
        <f t="shared" si="41"/>
        <v>323948.4632136735</v>
      </c>
      <c r="J263" s="47">
        <v>0</v>
      </c>
      <c r="K263" s="19">
        <v>6.1100000000000002E-2</v>
      </c>
      <c r="L263" s="38">
        <f t="shared" si="38"/>
        <v>0.14925690706015807</v>
      </c>
      <c r="M263" s="32">
        <f t="shared" si="42"/>
        <v>168240.40063477392</v>
      </c>
      <c r="N263" s="47">
        <v>0</v>
      </c>
      <c r="O263" s="19">
        <v>4.8800000000000003E-2</v>
      </c>
      <c r="P263" s="38">
        <f t="shared" si="39"/>
        <v>0.18019680460209259</v>
      </c>
      <c r="Q263" s="31">
        <f t="shared" si="43"/>
        <v>203115.44166691796</v>
      </c>
      <c r="R263" s="47">
        <v>0</v>
      </c>
      <c r="S263" s="26">
        <v>8.5000000000000006E-3</v>
      </c>
      <c r="T263" s="38">
        <f t="shared" si="40"/>
        <v>3.0346084435260001E-2</v>
      </c>
      <c r="U263" s="31">
        <f t="shared" si="44"/>
        <v>34205.702795563564</v>
      </c>
      <c r="V263" s="47">
        <v>0</v>
      </c>
      <c r="W263" s="37">
        <f t="shared" si="45"/>
        <v>1127186.7007599492</v>
      </c>
      <c r="X263" s="40">
        <f t="shared" si="46"/>
        <v>4.0562173666672363E-2</v>
      </c>
      <c r="Y263" s="1"/>
      <c r="Z263" s="1"/>
      <c r="AA263" s="1"/>
      <c r="AB263" s="1"/>
      <c r="AC263" s="1"/>
      <c r="AD263" s="1"/>
      <c r="AE263" s="1"/>
      <c r="AP263"/>
      <c r="AQ263"/>
      <c r="AR263"/>
      <c r="AS263"/>
      <c r="AT263"/>
      <c r="AU263"/>
      <c r="AV263"/>
      <c r="AW263"/>
    </row>
    <row r="264" spans="1:49" x14ac:dyDescent="0.35">
      <c r="A264" s="106" cm="1">
        <f t="array" ref="A264">SUM(G258:G263+K258:K263+O258:O263)</f>
        <v>-0.29479999999999995</v>
      </c>
      <c r="B264" s="10" t="s">
        <v>258</v>
      </c>
      <c r="C264" s="17">
        <v>-2.9000000000000001E-2</v>
      </c>
      <c r="D264" s="38">
        <f t="shared" si="36"/>
        <v>0.34258125269716933</v>
      </c>
      <c r="E264" s="32">
        <f t="shared" si="47"/>
        <v>386144.06836799864</v>
      </c>
      <c r="F264" s="47">
        <v>0</v>
      </c>
      <c r="G264" s="18">
        <v>1.47E-2</v>
      </c>
      <c r="H264" s="38">
        <f t="shared" si="37"/>
        <v>0.29162705325748944</v>
      </c>
      <c r="I264" s="32">
        <f t="shared" si="41"/>
        <v>328710.50562291453</v>
      </c>
      <c r="J264" s="47">
        <v>0</v>
      </c>
      <c r="K264" s="19">
        <v>1.7299999999999999E-2</v>
      </c>
      <c r="L264" s="38">
        <f t="shared" si="38"/>
        <v>0.15184257620780345</v>
      </c>
      <c r="M264" s="32">
        <f t="shared" si="42"/>
        <v>171150.9595657555</v>
      </c>
      <c r="N264" s="47">
        <v>0</v>
      </c>
      <c r="O264" s="19">
        <v>2.4500000000000001E-2</v>
      </c>
      <c r="P264" s="38">
        <f t="shared" si="39"/>
        <v>0.18461591172349376</v>
      </c>
      <c r="Q264" s="31">
        <f t="shared" si="43"/>
        <v>208091.76998775746</v>
      </c>
      <c r="R264" s="47">
        <v>0</v>
      </c>
      <c r="S264" s="27">
        <v>-3.3399999999999999E-2</v>
      </c>
      <c r="T264" s="38">
        <f t="shared" si="40"/>
        <v>2.9333206114043955E-2</v>
      </c>
      <c r="U264" s="31">
        <f t="shared" si="44"/>
        <v>33063.23232219174</v>
      </c>
      <c r="V264" s="47">
        <v>0</v>
      </c>
      <c r="W264" s="37">
        <f t="shared" si="45"/>
        <v>1127160.5358666179</v>
      </c>
      <c r="X264" s="40">
        <f t="shared" si="46"/>
        <v>-2.3212563911245709E-5</v>
      </c>
      <c r="Y264" s="1"/>
      <c r="Z264" s="1"/>
      <c r="AA264" s="1"/>
      <c r="AB264" s="1"/>
      <c r="AC264" s="1"/>
      <c r="AD264" s="1"/>
      <c r="AE264" s="1"/>
      <c r="AP264"/>
      <c r="AQ264"/>
      <c r="AR264"/>
      <c r="AS264"/>
      <c r="AT264"/>
      <c r="AU264"/>
      <c r="AV264"/>
      <c r="AW264"/>
    </row>
    <row r="265" spans="1:49" x14ac:dyDescent="0.35">
      <c r="A265" s="105" cm="1">
        <f t="array" ref="A265">SUM(G259:G264+K259:K264+O259:O264)</f>
        <v>-0.17089999999999994</v>
      </c>
      <c r="B265" s="11" t="s">
        <v>259</v>
      </c>
      <c r="C265" s="18">
        <v>1.3899999999999999E-2</v>
      </c>
      <c r="D265" s="38">
        <f t="shared" si="36"/>
        <v>0.38729024421329572</v>
      </c>
      <c r="E265" s="32">
        <f t="shared" si="47"/>
        <v>447852.90029631386</v>
      </c>
      <c r="F265" s="49">
        <v>55569.02</v>
      </c>
      <c r="G265" s="18">
        <v>4.0099999999999997E-2</v>
      </c>
      <c r="H265" s="38">
        <f t="shared" si="37"/>
        <v>0.27876109752139439</v>
      </c>
      <c r="I265" s="32">
        <f t="shared" si="41"/>
        <v>322352.46789739339</v>
      </c>
      <c r="J265" s="48">
        <v>-18786.009999999998</v>
      </c>
      <c r="K265" s="19">
        <v>3.5000000000000003E-2</v>
      </c>
      <c r="L265" s="38">
        <f t="shared" si="38"/>
        <v>0.136372432856635</v>
      </c>
      <c r="M265" s="32">
        <f t="shared" si="42"/>
        <v>157697.72280055695</v>
      </c>
      <c r="N265" s="48">
        <v>-18786.009999999998</v>
      </c>
      <c r="O265" s="19">
        <v>2.4799999999999999E-2</v>
      </c>
      <c r="P265" s="38">
        <f t="shared" si="39"/>
        <v>0.16776606238910913</v>
      </c>
      <c r="Q265" s="31">
        <f t="shared" si="43"/>
        <v>194000.54283545385</v>
      </c>
      <c r="R265" s="48">
        <v>-18786.009999999998</v>
      </c>
      <c r="S265" s="26">
        <v>1.83E-2</v>
      </c>
      <c r="T265" s="38">
        <f t="shared" si="40"/>
        <v>2.9810163019565815E-2</v>
      </c>
      <c r="U265" s="31">
        <f t="shared" si="44"/>
        <v>34471.738356687849</v>
      </c>
      <c r="V265" s="49">
        <v>789.01</v>
      </c>
      <c r="W265" s="37">
        <f t="shared" si="45"/>
        <v>1156375.3721864058</v>
      </c>
      <c r="X265" s="40">
        <f t="shared" si="46"/>
        <v>2.5918966633555973E-2</v>
      </c>
      <c r="Y265" s="1"/>
      <c r="Z265" s="1"/>
      <c r="AA265" s="1"/>
      <c r="AB265" s="1"/>
      <c r="AC265" s="1"/>
      <c r="AD265" s="1"/>
      <c r="AE265" s="1"/>
      <c r="AP265"/>
      <c r="AQ265"/>
      <c r="AR265"/>
      <c r="AS265"/>
      <c r="AT265"/>
      <c r="AU265"/>
      <c r="AV265"/>
      <c r="AW265"/>
    </row>
    <row r="266" spans="1:49" x14ac:dyDescent="0.35">
      <c r="A266" s="105" cm="1">
        <f t="array" ref="A266">SUM(G260:G265+K260:K265+O260:O265)</f>
        <v>6.6000000000000641E-3</v>
      </c>
      <c r="B266" s="10" t="s">
        <v>260</v>
      </c>
      <c r="C266" s="18">
        <v>1.77E-2</v>
      </c>
      <c r="D266" s="38">
        <f t="shared" si="36"/>
        <v>0.39118720165815424</v>
      </c>
      <c r="E266" s="32">
        <f t="shared" si="47"/>
        <v>455779.8966315586</v>
      </c>
      <c r="F266" s="47">
        <v>0</v>
      </c>
      <c r="G266" s="17">
        <v>-1.0200000000000001E-2</v>
      </c>
      <c r="H266" s="38">
        <f t="shared" si="37"/>
        <v>0.26723565412913308</v>
      </c>
      <c r="I266" s="32">
        <f t="shared" si="41"/>
        <v>311361.51259283995</v>
      </c>
      <c r="J266" s="48">
        <v>-7782.34</v>
      </c>
      <c r="K266" s="19">
        <v>4.1200000000000001E-2</v>
      </c>
      <c r="L266" s="38">
        <f t="shared" si="38"/>
        <v>0.13397070092990865</v>
      </c>
      <c r="M266" s="32">
        <f t="shared" si="42"/>
        <v>156091.8965719399</v>
      </c>
      <c r="N266" s="48">
        <v>-7782.34</v>
      </c>
      <c r="O266" s="17">
        <v>-2.7000000000000001E-3</v>
      </c>
      <c r="P266" s="38">
        <f t="shared" si="39"/>
        <v>0.15939600127656425</v>
      </c>
      <c r="Q266" s="31">
        <f t="shared" si="43"/>
        <v>185715.41368779814</v>
      </c>
      <c r="R266" s="48">
        <v>-7782.34</v>
      </c>
      <c r="S266" s="27">
        <v>-2.8500000000000001E-2</v>
      </c>
      <c r="T266" s="38">
        <f t="shared" si="40"/>
        <v>4.8210442006239758E-2</v>
      </c>
      <c r="U266" s="31">
        <f t="shared" si="44"/>
        <v>56170.933458522246</v>
      </c>
      <c r="V266" s="49">
        <v>23347.03</v>
      </c>
      <c r="W266" s="37">
        <f t="shared" si="45"/>
        <v>1165119.6529426589</v>
      </c>
      <c r="X266" s="40">
        <f t="shared" si="46"/>
        <v>7.5618012684928182E-3</v>
      </c>
      <c r="Y266" s="1"/>
      <c r="Z266" s="1"/>
      <c r="AA266" s="1"/>
      <c r="AB266" s="1"/>
      <c r="AC266" s="1"/>
      <c r="AD266" s="1"/>
      <c r="AE266" s="1"/>
      <c r="AP266"/>
      <c r="AQ266"/>
      <c r="AR266"/>
      <c r="AS266"/>
      <c r="AT266"/>
      <c r="AU266"/>
      <c r="AV266"/>
      <c r="AW266"/>
    </row>
    <row r="267" spans="1:49" x14ac:dyDescent="0.35">
      <c r="A267" s="105" cm="1">
        <f t="array" ref="A267">SUM(G261:G266+K261:K266+O261:O266)</f>
        <v>0.10690000000000002</v>
      </c>
      <c r="B267" s="11" t="s">
        <v>261</v>
      </c>
      <c r="C267" s="18">
        <v>0.10009999999999999</v>
      </c>
      <c r="D267" s="38">
        <f t="shared" si="36"/>
        <v>0.40874447098481126</v>
      </c>
      <c r="E267" s="32">
        <f t="shared" si="47"/>
        <v>501403.46428437764</v>
      </c>
      <c r="F267" s="47">
        <v>0</v>
      </c>
      <c r="G267" s="18">
        <v>1.7500000000000002E-2</v>
      </c>
      <c r="H267" s="38">
        <f t="shared" si="37"/>
        <v>0.25826402022916189</v>
      </c>
      <c r="I267" s="32">
        <f t="shared" si="41"/>
        <v>316810.33906321466</v>
      </c>
      <c r="J267" s="47">
        <v>0</v>
      </c>
      <c r="K267" s="19">
        <v>1.11E-2</v>
      </c>
      <c r="L267" s="38">
        <f t="shared" si="38"/>
        <v>0.12865866143931781</v>
      </c>
      <c r="M267" s="32">
        <f t="shared" si="42"/>
        <v>157824.51662388843</v>
      </c>
      <c r="N267" s="47">
        <v>0</v>
      </c>
      <c r="O267" s="19">
        <v>5.2499999999999998E-2</v>
      </c>
      <c r="P267" s="38">
        <f t="shared" si="39"/>
        <v>0.15934359654446217</v>
      </c>
      <c r="Q267" s="31">
        <f t="shared" si="43"/>
        <v>195465.47290640755</v>
      </c>
      <c r="R267" s="47">
        <v>0</v>
      </c>
      <c r="S267" s="27">
        <v>-1.7500000000000002E-2</v>
      </c>
      <c r="T267" s="38">
        <f t="shared" si="40"/>
        <v>4.4989250802246764E-2</v>
      </c>
      <c r="U267" s="31">
        <f t="shared" si="44"/>
        <v>55187.942122998109</v>
      </c>
      <c r="V267" s="47">
        <v>0</v>
      </c>
      <c r="W267" s="37">
        <f t="shared" si="45"/>
        <v>1226691.7350008865</v>
      </c>
      <c r="X267" s="40">
        <f t="shared" si="46"/>
        <v>5.2846144945473572E-2</v>
      </c>
      <c r="Y267" s="1"/>
      <c r="Z267" s="1"/>
      <c r="AA267" s="1"/>
      <c r="AB267" s="1"/>
      <c r="AC267" s="1"/>
      <c r="AD267" s="1"/>
      <c r="AE267" s="1"/>
      <c r="AP267"/>
      <c r="AQ267"/>
      <c r="AR267"/>
      <c r="AS267"/>
      <c r="AT267"/>
      <c r="AU267"/>
      <c r="AV267"/>
      <c r="AW267"/>
    </row>
    <row r="268" spans="1:49" x14ac:dyDescent="0.35">
      <c r="A268" s="106" cm="1">
        <f t="array" ref="A268">SUM(G262:G267+K262:K267+O262:O267)</f>
        <v>0.34510000000000002</v>
      </c>
      <c r="B268" s="10" t="s">
        <v>262</v>
      </c>
      <c r="C268" s="18">
        <v>4.9000000000000002E-2</v>
      </c>
      <c r="D268" s="38">
        <f t="shared" si="36"/>
        <v>0.41205194585258476</v>
      </c>
      <c r="E268" s="32">
        <f t="shared" si="47"/>
        <v>525972.23403431219</v>
      </c>
      <c r="F268" s="47">
        <v>0</v>
      </c>
      <c r="G268" s="18">
        <v>3.4099999999999998E-2</v>
      </c>
      <c r="H268" s="38">
        <f t="shared" si="37"/>
        <v>0.25665577180848176</v>
      </c>
      <c r="I268" s="32">
        <f t="shared" si="41"/>
        <v>327613.5716252703</v>
      </c>
      <c r="J268" s="47">
        <v>0</v>
      </c>
      <c r="K268" s="19">
        <v>2.9000000000000001E-2</v>
      </c>
      <c r="L268" s="38">
        <f t="shared" si="38"/>
        <v>0.12722691413006565</v>
      </c>
      <c r="M268" s="32">
        <f t="shared" si="42"/>
        <v>162401.42760598118</v>
      </c>
      <c r="N268" s="47">
        <v>0</v>
      </c>
      <c r="O268" s="19">
        <v>4.7100000000000003E-2</v>
      </c>
      <c r="P268" s="38">
        <f t="shared" si="39"/>
        <v>0.16034202536051523</v>
      </c>
      <c r="Q268" s="31">
        <f t="shared" si="43"/>
        <v>204671.89668029934</v>
      </c>
      <c r="R268" s="47">
        <v>0</v>
      </c>
      <c r="S268" s="26">
        <v>1.1299999999999999E-2</v>
      </c>
      <c r="T268" s="38">
        <f t="shared" si="40"/>
        <v>4.3723342848352643E-2</v>
      </c>
      <c r="U268" s="31">
        <f t="shared" si="44"/>
        <v>55811.565868987986</v>
      </c>
      <c r="V268" s="47">
        <v>0</v>
      </c>
      <c r="W268" s="37">
        <f t="shared" si="45"/>
        <v>1276470.695814851</v>
      </c>
      <c r="X268" s="40">
        <f t="shared" si="46"/>
        <v>4.0579845281119908E-2</v>
      </c>
      <c r="Y268" s="1"/>
      <c r="Z268" s="1"/>
      <c r="AA268" s="1"/>
      <c r="AB268" s="1"/>
      <c r="AC268" s="1"/>
      <c r="AD268" s="1"/>
      <c r="AE268" s="1"/>
      <c r="AP268"/>
      <c r="AQ268"/>
      <c r="AR268"/>
      <c r="AS268"/>
      <c r="AT268"/>
      <c r="AU268"/>
      <c r="AV268"/>
      <c r="AW268"/>
    </row>
    <row r="269" spans="1:49" x14ac:dyDescent="0.35">
      <c r="A269" s="106" cm="1">
        <f t="array" ref="A269">SUM(G263:G268+K263:K268+O263:O268)</f>
        <v>0.55620000000000003</v>
      </c>
      <c r="B269" s="11" t="s">
        <v>263</v>
      </c>
      <c r="C269" s="18">
        <v>4.8800000000000003E-2</v>
      </c>
      <c r="D269" s="38">
        <f t="shared" si="36"/>
        <v>0.37476109794769563</v>
      </c>
      <c r="E269" s="32">
        <f t="shared" si="47"/>
        <v>484701.5503031867</v>
      </c>
      <c r="F269" s="48">
        <v>-63823.54</v>
      </c>
      <c r="G269" s="17">
        <v>-3.5999999999999999E-3</v>
      </c>
      <c r="H269" s="38">
        <f t="shared" si="37"/>
        <v>0.26878185472967797</v>
      </c>
      <c r="I269" s="32">
        <f t="shared" si="41"/>
        <v>347632.08453141933</v>
      </c>
      <c r="J269" s="49">
        <v>21274.51</v>
      </c>
      <c r="K269" s="19">
        <v>5.3E-3</v>
      </c>
      <c r="L269" s="38">
        <f t="shared" si="38"/>
        <v>0.14276706843528139</v>
      </c>
      <c r="M269" s="32">
        <f t="shared" si="42"/>
        <v>184649.4200752929</v>
      </c>
      <c r="N269" s="49">
        <v>21274.51</v>
      </c>
      <c r="O269" s="17">
        <v>-2.2499999999999999E-2</v>
      </c>
      <c r="P269" s="38">
        <f t="shared" si="39"/>
        <v>0.17076635120222419</v>
      </c>
      <c r="Q269" s="31">
        <f t="shared" si="43"/>
        <v>220862.61252999262</v>
      </c>
      <c r="R269" s="49">
        <v>21274.51</v>
      </c>
      <c r="S269" s="27">
        <v>-5.3E-3</v>
      </c>
      <c r="T269" s="38">
        <f t="shared" si="40"/>
        <v>4.2923627685120903E-2</v>
      </c>
      <c r="U269" s="31">
        <f t="shared" si="44"/>
        <v>55515.764569882347</v>
      </c>
      <c r="V269" s="47">
        <v>0</v>
      </c>
      <c r="W269" s="37">
        <f t="shared" si="45"/>
        <v>1293361.4320097738</v>
      </c>
      <c r="X269" s="40">
        <f t="shared" si="46"/>
        <v>1.3232372862379327E-2</v>
      </c>
      <c r="Y269" s="1"/>
      <c r="Z269" s="1"/>
      <c r="AA269" s="1"/>
      <c r="AB269" s="1"/>
      <c r="AC269" s="1"/>
      <c r="AD269" s="1"/>
      <c r="AE269" s="1"/>
      <c r="AP269"/>
      <c r="AQ269"/>
      <c r="AR269"/>
      <c r="AS269"/>
      <c r="AT269"/>
      <c r="AU269"/>
      <c r="AV269"/>
      <c r="AW269"/>
    </row>
    <row r="270" spans="1:49" x14ac:dyDescent="0.35">
      <c r="A270" s="106" cm="1">
        <f t="array" ref="A270">SUM(G264:G269+K264:K269+O264:O269)</f>
        <v>0.35520000000000007</v>
      </c>
      <c r="B270" s="10" t="s">
        <v>264</v>
      </c>
      <c r="C270" s="18">
        <v>4.6600000000000003E-2</v>
      </c>
      <c r="D270" s="38">
        <f t="shared" si="36"/>
        <v>0.33008413970470069</v>
      </c>
      <c r="E270" s="32">
        <f t="shared" si="47"/>
        <v>439607.0404853152</v>
      </c>
      <c r="F270" s="48">
        <v>-64668.07</v>
      </c>
      <c r="G270" s="18">
        <v>2.1999999999999999E-2</v>
      </c>
      <c r="H270" s="38">
        <f t="shared" si="37"/>
        <v>0.2833078532345279</v>
      </c>
      <c r="I270" s="32">
        <f t="shared" si="41"/>
        <v>377310.24283111055</v>
      </c>
      <c r="J270" s="49">
        <v>21556.02</v>
      </c>
      <c r="K270" s="19">
        <v>1.1900000000000001E-2</v>
      </c>
      <c r="L270" s="38">
        <f t="shared" si="38"/>
        <v>0.15667428902547392</v>
      </c>
      <c r="M270" s="32">
        <f t="shared" si="42"/>
        <v>208659.28481218888</v>
      </c>
      <c r="N270" s="49">
        <v>21556.02</v>
      </c>
      <c r="O270" s="19">
        <v>2.9899999999999999E-2</v>
      </c>
      <c r="P270" s="38">
        <f t="shared" si="39"/>
        <v>0.18746537861292592</v>
      </c>
      <c r="Q270" s="31">
        <f t="shared" si="43"/>
        <v>249666.9496426394</v>
      </c>
      <c r="R270" s="49">
        <v>21556.02</v>
      </c>
      <c r="S270" s="26">
        <v>1.8800000000000001E-2</v>
      </c>
      <c r="T270" s="38">
        <f t="shared" si="40"/>
        <v>4.2468339422371479E-2</v>
      </c>
      <c r="U270" s="31">
        <f t="shared" si="44"/>
        <v>56559.460943796134</v>
      </c>
      <c r="V270" s="47">
        <v>0</v>
      </c>
      <c r="W270" s="37">
        <f t="shared" si="45"/>
        <v>1331802.9787150503</v>
      </c>
      <c r="X270" s="40">
        <f t="shared" si="46"/>
        <v>2.9722199652684633E-2</v>
      </c>
      <c r="Y270" s="1"/>
      <c r="Z270" s="1"/>
      <c r="AA270" s="1"/>
      <c r="AB270" s="1"/>
      <c r="AC270" s="1"/>
      <c r="AD270" s="1"/>
      <c r="AE270" s="1"/>
      <c r="AP270"/>
      <c r="AQ270"/>
      <c r="AR270"/>
      <c r="AS270"/>
      <c r="AT270"/>
      <c r="AU270"/>
      <c r="AV270"/>
      <c r="AW270"/>
    </row>
    <row r="271" spans="1:49" x14ac:dyDescent="0.35">
      <c r="A271" s="106" cm="1">
        <f t="array" ref="A271">SUM(G265:G270+K265:K270+O265:O270)</f>
        <v>0.36250000000000004</v>
      </c>
      <c r="B271" s="9" t="s">
        <v>265</v>
      </c>
      <c r="C271" s="18">
        <v>7.4200000000000002E-2</v>
      </c>
      <c r="D271" s="38">
        <f t="shared" si="36"/>
        <v>0.29742879717752785</v>
      </c>
      <c r="E271" s="32">
        <f t="shared" si="47"/>
        <v>400694.74375932559</v>
      </c>
      <c r="F271" s="48">
        <v>-66590.149999999994</v>
      </c>
      <c r="G271" s="17">
        <v>-3.95E-2</v>
      </c>
      <c r="H271" s="38">
        <f t="shared" si="37"/>
        <v>0.28483351632985215</v>
      </c>
      <c r="I271" s="32">
        <f t="shared" si="41"/>
        <v>383726.43779928167</v>
      </c>
      <c r="J271" s="49">
        <v>22196.720000000001</v>
      </c>
      <c r="K271" s="17">
        <v>-5.0000000000000001E-4</v>
      </c>
      <c r="L271" s="38">
        <f t="shared" si="38"/>
        <v>0.17127475039154524</v>
      </c>
      <c r="M271" s="32">
        <f t="shared" si="42"/>
        <v>230740.5768097828</v>
      </c>
      <c r="N271" s="49">
        <v>22196.720000000001</v>
      </c>
      <c r="O271" s="19">
        <v>2.3599999999999999E-2</v>
      </c>
      <c r="P271" s="38">
        <f t="shared" si="39"/>
        <v>0.20656218614208707</v>
      </c>
      <c r="Q271" s="31">
        <f t="shared" si="43"/>
        <v>278279.65224620572</v>
      </c>
      <c r="R271" s="49">
        <v>22196.720000000001</v>
      </c>
      <c r="S271" s="27">
        <v>-4.9599999999999998E-2</v>
      </c>
      <c r="T271" s="38">
        <f t="shared" si="40"/>
        <v>3.9900749958987763E-2</v>
      </c>
      <c r="U271" s="31">
        <f t="shared" si="44"/>
        <v>53754.111680983842</v>
      </c>
      <c r="V271" s="47">
        <v>0</v>
      </c>
      <c r="W271" s="37">
        <f t="shared" si="45"/>
        <v>1347195.5222955795</v>
      </c>
      <c r="X271" s="40">
        <f t="shared" si="46"/>
        <v>1.1557673189303452E-2</v>
      </c>
      <c r="Y271" s="1"/>
      <c r="Z271" s="1"/>
      <c r="AA271" s="1"/>
      <c r="AB271" s="1"/>
      <c r="AC271" s="1"/>
      <c r="AD271" s="1"/>
      <c r="AE271" s="1"/>
      <c r="AP271"/>
      <c r="AQ271"/>
      <c r="AR271"/>
      <c r="AS271"/>
      <c r="AT271"/>
      <c r="AU271"/>
      <c r="AV271"/>
      <c r="AW271"/>
    </row>
    <row r="272" spans="1:49" x14ac:dyDescent="0.35">
      <c r="A272" s="106" cm="1">
        <f t="array" ref="A272">SUM(G266:G271+K266:K271+O266:O271)</f>
        <v>0.24620000000000006</v>
      </c>
      <c r="B272" s="10" t="s">
        <v>266</v>
      </c>
      <c r="C272" s="18">
        <v>6.7400000000000002E-2</v>
      </c>
      <c r="D272" s="38">
        <f t="shared" si="36"/>
        <v>0.31015307781773133</v>
      </c>
      <c r="E272" s="32">
        <f t="shared" si="47"/>
        <v>427701.56948870415</v>
      </c>
      <c r="F272" s="47">
        <v>0</v>
      </c>
      <c r="G272" s="17">
        <v>-1.8800000000000001E-2</v>
      </c>
      <c r="H272" s="38">
        <f t="shared" si="37"/>
        <v>0.27303260512109045</v>
      </c>
      <c r="I272" s="32">
        <f t="shared" si="41"/>
        <v>376512.38076865516</v>
      </c>
      <c r="J272" s="47">
        <v>0</v>
      </c>
      <c r="K272" s="17">
        <v>-3.5000000000000001E-3</v>
      </c>
      <c r="L272" s="38">
        <f t="shared" si="38"/>
        <v>0.16673874498516136</v>
      </c>
      <c r="M272" s="32">
        <f t="shared" si="42"/>
        <v>229932.98479094857</v>
      </c>
      <c r="N272" s="47">
        <v>0</v>
      </c>
      <c r="O272" s="19">
        <v>4.8099999999999997E-2</v>
      </c>
      <c r="P272" s="38">
        <f t="shared" si="39"/>
        <v>0.21150440861380945</v>
      </c>
      <c r="Q272" s="31">
        <f t="shared" si="43"/>
        <v>291664.90351924824</v>
      </c>
      <c r="R272" s="47">
        <v>0</v>
      </c>
      <c r="S272" s="27">
        <v>-1.0500000000000001E-2</v>
      </c>
      <c r="T272" s="38">
        <f t="shared" si="40"/>
        <v>3.8571163462207347E-2</v>
      </c>
      <c r="U272" s="31">
        <f t="shared" si="44"/>
        <v>53189.693508333512</v>
      </c>
      <c r="V272" s="47">
        <v>0</v>
      </c>
      <c r="W272" s="37">
        <f t="shared" si="45"/>
        <v>1379001.5320758896</v>
      </c>
      <c r="X272" s="40">
        <f t="shared" si="46"/>
        <v>2.3609052475258796E-2</v>
      </c>
      <c r="Y272" s="1"/>
      <c r="Z272" s="1"/>
      <c r="AA272" s="1"/>
      <c r="AB272" s="1"/>
      <c r="AC272" s="1"/>
      <c r="AD272" s="1"/>
      <c r="AE272" s="1"/>
      <c r="AP272"/>
      <c r="AQ272"/>
      <c r="AR272"/>
      <c r="AS272"/>
      <c r="AT272"/>
      <c r="AU272"/>
      <c r="AV272"/>
      <c r="AW272"/>
    </row>
    <row r="273" spans="1:49" x14ac:dyDescent="0.35">
      <c r="A273" s="106" cm="1">
        <f t="array" ref="A273">SUM(G267:G272+K267:K272+O267:O272)</f>
        <v>0.24370000000000003</v>
      </c>
      <c r="B273" s="11" t="s">
        <v>267</v>
      </c>
      <c r="C273" s="17">
        <v>-9.5100000000000004E-2</v>
      </c>
      <c r="D273" s="38">
        <f t="shared" si="36"/>
        <v>0.29762903368459315</v>
      </c>
      <c r="E273" s="32">
        <f t="shared" si="47"/>
        <v>387027.15023032838</v>
      </c>
      <c r="F273" s="47">
        <v>0</v>
      </c>
      <c r="G273" s="17">
        <v>-2.9700000000000001E-2</v>
      </c>
      <c r="H273" s="38">
        <f t="shared" si="37"/>
        <v>0.28094360774642002</v>
      </c>
      <c r="I273" s="32">
        <f t="shared" si="41"/>
        <v>365329.96305982611</v>
      </c>
      <c r="J273" s="47">
        <v>0</v>
      </c>
      <c r="K273" s="17">
        <v>-3.0099999999999998E-2</v>
      </c>
      <c r="L273" s="38">
        <f t="shared" si="38"/>
        <v>0.17149919999299601</v>
      </c>
      <c r="M273" s="32">
        <f t="shared" si="42"/>
        <v>223012.00194874103</v>
      </c>
      <c r="N273" s="47">
        <v>0</v>
      </c>
      <c r="O273" s="17">
        <v>-7.22E-2</v>
      </c>
      <c r="P273" s="38">
        <f t="shared" si="39"/>
        <v>0.20810015481641372</v>
      </c>
      <c r="Q273" s="31">
        <f t="shared" si="43"/>
        <v>270606.69748515851</v>
      </c>
      <c r="R273" s="47">
        <v>0</v>
      </c>
      <c r="S273" s="26">
        <v>2.2599999999999999E-2</v>
      </c>
      <c r="T273" s="38">
        <f t="shared" si="40"/>
        <v>4.1828003759576952E-2</v>
      </c>
      <c r="U273" s="31">
        <f t="shared" si="44"/>
        <v>54391.780581621846</v>
      </c>
      <c r="V273" s="47">
        <v>0</v>
      </c>
      <c r="W273" s="37">
        <f t="shared" si="45"/>
        <v>1300367.593305676</v>
      </c>
      <c r="X273" s="40">
        <f t="shared" si="46"/>
        <v>-5.7022372304287083E-2</v>
      </c>
      <c r="Y273" s="1"/>
      <c r="Z273" s="1"/>
      <c r="AA273" s="1"/>
      <c r="AB273" s="1"/>
      <c r="AC273" s="1"/>
      <c r="AD273" s="1"/>
      <c r="AE273" s="1"/>
      <c r="AP273"/>
      <c r="AQ273"/>
      <c r="AR273"/>
      <c r="AS273"/>
      <c r="AT273"/>
      <c r="AU273"/>
      <c r="AV273"/>
      <c r="AW273"/>
    </row>
    <row r="274" spans="1:49" x14ac:dyDescent="0.35">
      <c r="A274" s="105" cm="1">
        <f t="array" ref="A274">SUM(G268:G273+K268:K273+O268:O273)</f>
        <v>3.0599999999999988E-2</v>
      </c>
      <c r="B274" s="10" t="s">
        <v>268</v>
      </c>
      <c r="C274" s="17">
        <v>-6.0299999999999999E-2</v>
      </c>
      <c r="D274" s="38">
        <f t="shared" si="36"/>
        <v>0.27414154661798912</v>
      </c>
      <c r="E274" s="32">
        <f t="shared" si="47"/>
        <v>363689.4130714396</v>
      </c>
      <c r="F274" s="47">
        <v>0</v>
      </c>
      <c r="G274" s="18">
        <v>0.05</v>
      </c>
      <c r="H274" s="38">
        <f t="shared" si="37"/>
        <v>0.289147067180129</v>
      </c>
      <c r="I274" s="32">
        <f t="shared" si="41"/>
        <v>383596.4612128174</v>
      </c>
      <c r="J274" s="47">
        <v>0</v>
      </c>
      <c r="K274" s="19">
        <v>6.5799999999999997E-2</v>
      </c>
      <c r="L274" s="38">
        <f t="shared" si="38"/>
        <v>0.17916292818582691</v>
      </c>
      <c r="M274" s="32">
        <f t="shared" si="42"/>
        <v>237686.19167696818</v>
      </c>
      <c r="N274" s="47">
        <v>0</v>
      </c>
      <c r="O274" s="19">
        <v>7.1499999999999994E-2</v>
      </c>
      <c r="P274" s="38">
        <f t="shared" si="39"/>
        <v>0.21856213083161172</v>
      </c>
      <c r="Q274" s="31">
        <f t="shared" si="43"/>
        <v>289955.07635534735</v>
      </c>
      <c r="R274" s="47">
        <v>0</v>
      </c>
      <c r="S274" s="27">
        <v>-4.9099999999999998E-2</v>
      </c>
      <c r="T274" s="38">
        <f t="shared" si="40"/>
        <v>3.898632718444324E-2</v>
      </c>
      <c r="U274" s="31">
        <f t="shared" si="44"/>
        <v>51721.144155064212</v>
      </c>
      <c r="V274" s="47">
        <v>0</v>
      </c>
      <c r="W274" s="37">
        <f t="shared" si="45"/>
        <v>1326648.2864716367</v>
      </c>
      <c r="X274" s="40">
        <f t="shared" si="46"/>
        <v>2.0210203100457402E-2</v>
      </c>
      <c r="Y274" s="1"/>
      <c r="Z274" s="1"/>
      <c r="AA274" s="1"/>
      <c r="AB274" s="1"/>
      <c r="AC274" s="1"/>
      <c r="AD274" s="1"/>
      <c r="AE274" s="1"/>
      <c r="AP274"/>
      <c r="AQ274"/>
      <c r="AR274"/>
      <c r="AS274"/>
      <c r="AT274"/>
      <c r="AU274"/>
      <c r="AV274"/>
      <c r="AW274"/>
    </row>
    <row r="275" spans="1:49" x14ac:dyDescent="0.35">
      <c r="A275" s="105" cm="1">
        <f t="array" ref="A275">SUM(G269:G274+K269:K274+O269:O274)</f>
        <v>0.10769999999999998</v>
      </c>
      <c r="B275" s="11" t="s">
        <v>269</v>
      </c>
      <c r="C275" s="17">
        <v>-7.4000000000000003E-3</v>
      </c>
      <c r="D275" s="38">
        <f t="shared" si="36"/>
        <v>0.33453425606454462</v>
      </c>
      <c r="E275" s="32">
        <f t="shared" si="47"/>
        <v>460890.88398871094</v>
      </c>
      <c r="F275" s="49">
        <v>100637.49</v>
      </c>
      <c r="G275" s="18">
        <v>6.1699999999999998E-2</v>
      </c>
      <c r="H275" s="38">
        <f t="shared" si="37"/>
        <v>0.26975851366016124</v>
      </c>
      <c r="I275" s="32">
        <f t="shared" si="41"/>
        <v>371648.75515864824</v>
      </c>
      <c r="J275" s="48">
        <v>-33545.83</v>
      </c>
      <c r="K275" s="19">
        <v>5.5E-2</v>
      </c>
      <c r="L275" s="38">
        <f t="shared" si="38"/>
        <v>0.1563233369344873</v>
      </c>
      <c r="M275" s="32">
        <f t="shared" si="42"/>
        <v>215368.08156920143</v>
      </c>
      <c r="N275" s="48">
        <v>-33545.83</v>
      </c>
      <c r="O275" s="19">
        <v>8.2500000000000004E-2</v>
      </c>
      <c r="P275" s="38">
        <f t="shared" si="39"/>
        <v>0.20146706739643275</v>
      </c>
      <c r="Q275" s="31">
        <f t="shared" si="43"/>
        <v>277563.0091796635</v>
      </c>
      <c r="R275" s="48">
        <v>-33545.83</v>
      </c>
      <c r="S275" s="26">
        <v>0.01</v>
      </c>
      <c r="T275" s="38">
        <f t="shared" si="40"/>
        <v>3.791682594437415E-2</v>
      </c>
      <c r="U275" s="31">
        <f t="shared" si="44"/>
        <v>52238.355596614856</v>
      </c>
      <c r="V275" s="47">
        <v>0</v>
      </c>
      <c r="W275" s="37">
        <f t="shared" si="45"/>
        <v>1377709.0854928389</v>
      </c>
      <c r="X275" s="40">
        <f t="shared" si="46"/>
        <v>3.8488572700006163E-2</v>
      </c>
      <c r="Y275" s="1"/>
      <c r="Z275" s="1"/>
      <c r="AA275" s="1"/>
      <c r="AB275" s="1"/>
      <c r="AC275" s="1"/>
      <c r="AD275" s="1"/>
      <c r="AE275" s="1"/>
      <c r="AP275"/>
      <c r="AQ275"/>
      <c r="AR275"/>
      <c r="AS275"/>
      <c r="AT275"/>
      <c r="AU275"/>
      <c r="AV275"/>
      <c r="AW275"/>
    </row>
    <row r="276" spans="1:49" s="1" customFormat="1" x14ac:dyDescent="0.35"/>
    <row r="277" spans="1:49" s="1" customFormat="1" x14ac:dyDescent="0.35"/>
    <row r="278" spans="1:49" s="1" customFormat="1" x14ac:dyDescent="0.35"/>
    <row r="279" spans="1:49" s="1" customFormat="1" x14ac:dyDescent="0.35"/>
    <row r="280" spans="1:49" s="1" customFormat="1" x14ac:dyDescent="0.35"/>
    <row r="281" spans="1:49" s="1" customFormat="1" x14ac:dyDescent="0.35"/>
    <row r="282" spans="1:49" s="1" customFormat="1" x14ac:dyDescent="0.35"/>
    <row r="283" spans="1:49" s="1" customFormat="1" x14ac:dyDescent="0.35"/>
    <row r="284" spans="1:49" s="1" customFormat="1" x14ac:dyDescent="0.35"/>
    <row r="285" spans="1:49" s="1" customFormat="1" x14ac:dyDescent="0.35"/>
    <row r="286" spans="1:49" s="1" customFormat="1" x14ac:dyDescent="0.35"/>
    <row r="287" spans="1:49" s="1" customFormat="1" x14ac:dyDescent="0.35"/>
    <row r="288" spans="1:49" s="1" customFormat="1" x14ac:dyDescent="0.35"/>
    <row r="289" s="1" customFormat="1" x14ac:dyDescent="0.35"/>
    <row r="290" s="1" customFormat="1" x14ac:dyDescent="0.35"/>
    <row r="291" s="1" customFormat="1" x14ac:dyDescent="0.35"/>
    <row r="292" s="1" customFormat="1" x14ac:dyDescent="0.35"/>
    <row r="293" s="1" customFormat="1" x14ac:dyDescent="0.35"/>
    <row r="294" s="1" customFormat="1" x14ac:dyDescent="0.35"/>
    <row r="295" s="1" customFormat="1" x14ac:dyDescent="0.35"/>
    <row r="296" s="1" customFormat="1" x14ac:dyDescent="0.35"/>
    <row r="297" s="1" customFormat="1" x14ac:dyDescent="0.35"/>
    <row r="298" s="1" customFormat="1" x14ac:dyDescent="0.35"/>
    <row r="299" s="1" customFormat="1" x14ac:dyDescent="0.35"/>
    <row r="300" s="1" customFormat="1" x14ac:dyDescent="0.35"/>
    <row r="301" s="1" customFormat="1" x14ac:dyDescent="0.35"/>
    <row r="302" s="1" customFormat="1" x14ac:dyDescent="0.35"/>
    <row r="303" s="1" customFormat="1" x14ac:dyDescent="0.35"/>
    <row r="304" s="1" customFormat="1" x14ac:dyDescent="0.35"/>
    <row r="305" s="1" customFormat="1" x14ac:dyDescent="0.35"/>
    <row r="306" s="1" customFormat="1" x14ac:dyDescent="0.35"/>
    <row r="307" s="1" customFormat="1" x14ac:dyDescent="0.35"/>
    <row r="308" s="1" customFormat="1" x14ac:dyDescent="0.35"/>
    <row r="309" s="1" customFormat="1" x14ac:dyDescent="0.35"/>
    <row r="310" s="1" customFormat="1" x14ac:dyDescent="0.35"/>
    <row r="311" s="1" customFormat="1" x14ac:dyDescent="0.35"/>
    <row r="312" s="1" customFormat="1" x14ac:dyDescent="0.35"/>
    <row r="313" s="1" customFormat="1" x14ac:dyDescent="0.35"/>
    <row r="314" s="1" customFormat="1" x14ac:dyDescent="0.35"/>
    <row r="315" s="1" customFormat="1" x14ac:dyDescent="0.35"/>
    <row r="316" s="1" customFormat="1" x14ac:dyDescent="0.35"/>
    <row r="317" s="1" customFormat="1" x14ac:dyDescent="0.35"/>
    <row r="318" s="1" customFormat="1" x14ac:dyDescent="0.35"/>
    <row r="319" s="1" customFormat="1" x14ac:dyDescent="0.35"/>
    <row r="320" s="1" customFormat="1" x14ac:dyDescent="0.35"/>
    <row r="321" s="1" customFormat="1" x14ac:dyDescent="0.35"/>
  </sheetData>
  <mergeCells count="16">
    <mergeCell ref="B2:L2"/>
    <mergeCell ref="C3:L3"/>
    <mergeCell ref="B5:L5"/>
    <mergeCell ref="B16:L16"/>
    <mergeCell ref="B18:L18"/>
    <mergeCell ref="S28:V28"/>
    <mergeCell ref="W28:W29"/>
    <mergeCell ref="X28:X29"/>
    <mergeCell ref="B17:M17"/>
    <mergeCell ref="B28:B29"/>
    <mergeCell ref="C28:F28"/>
    <mergeCell ref="G28:J28"/>
    <mergeCell ref="K28:N28"/>
    <mergeCell ref="O28:R28"/>
    <mergeCell ref="B20:L20"/>
    <mergeCell ref="B22:L22"/>
  </mergeCells>
  <conditionalFormatting sqref="X30:X275">
    <cfRule type="colorScale" priority="1">
      <colorScale>
        <cfvo type="num" val="0"/>
        <cfvo type="num" val="0"/>
        <color rgb="FFFF0000"/>
        <color theme="9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1E6C-2E68-4F47-B700-F35779A19120}">
  <dimension ref="A1:AD335"/>
  <sheetViews>
    <sheetView topLeftCell="A26" zoomScale="80" zoomScaleNormal="80" workbookViewId="0">
      <selection activeCell="B275" sqref="B31:B275"/>
    </sheetView>
  </sheetViews>
  <sheetFormatPr defaultRowHeight="14.5" x14ac:dyDescent="0.35"/>
  <cols>
    <col min="1" max="1" width="3" style="1" customWidth="1"/>
    <col min="2" max="2" width="22.26953125" bestFit="1" customWidth="1"/>
    <col min="3" max="4" width="14" customWidth="1"/>
    <col min="5" max="5" width="14.26953125" bestFit="1" customWidth="1"/>
    <col min="6" max="7" width="14" customWidth="1"/>
    <col min="8" max="8" width="13" customWidth="1"/>
    <col min="9" max="9" width="15" customWidth="1"/>
    <col min="10" max="10" width="14" customWidth="1"/>
    <col min="11" max="11" width="16" customWidth="1"/>
    <col min="12" max="12" width="14" customWidth="1"/>
    <col min="13" max="13" width="14.26953125" bestFit="1" customWidth="1"/>
    <col min="14" max="14" width="13.1796875" bestFit="1" customWidth="1"/>
    <col min="15" max="15" width="11.90625" bestFit="1" customWidth="1"/>
    <col min="17" max="17" width="14.26953125" bestFit="1" customWidth="1"/>
    <col min="18" max="18" width="13.1796875" bestFit="1" customWidth="1"/>
    <col min="19" max="19" width="15.90625" bestFit="1" customWidth="1"/>
    <col min="20" max="20" width="11.90625" bestFit="1" customWidth="1"/>
    <col min="21" max="30" width="8.7265625" style="1"/>
  </cols>
  <sheetData>
    <row r="1" spans="2:20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ht="20" x14ac:dyDescent="0.35">
      <c r="B2" s="146" t="s">
        <v>362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"/>
      <c r="N2" s="1"/>
      <c r="O2" s="1"/>
      <c r="P2" s="1"/>
      <c r="Q2" s="1"/>
      <c r="R2" s="1"/>
      <c r="S2" s="1"/>
      <c r="T2" s="1"/>
    </row>
    <row r="3" spans="2:20" x14ac:dyDescent="0.35">
      <c r="B3" s="107" t="s">
        <v>341</v>
      </c>
      <c r="C3" s="147" t="s">
        <v>363</v>
      </c>
      <c r="D3" s="114"/>
      <c r="E3" s="114"/>
      <c r="F3" s="114"/>
      <c r="G3" s="114"/>
      <c r="H3" s="114"/>
      <c r="I3" s="114"/>
      <c r="J3" s="114"/>
      <c r="K3" s="114"/>
      <c r="L3" s="114"/>
      <c r="M3" s="1"/>
      <c r="N3" s="1"/>
      <c r="O3" s="1"/>
      <c r="P3" s="1"/>
      <c r="Q3" s="1"/>
      <c r="R3" s="1"/>
      <c r="S3" s="1"/>
      <c r="T3" s="1"/>
    </row>
    <row r="4" spans="2:20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31.5" customHeight="1" x14ac:dyDescent="0.35">
      <c r="B5" s="128" t="s">
        <v>364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"/>
      <c r="N5" s="1"/>
      <c r="O5" s="1"/>
      <c r="P5" s="1"/>
      <c r="Q5" s="1"/>
      <c r="R5" s="1"/>
      <c r="S5" s="1"/>
      <c r="T5" s="1"/>
    </row>
    <row r="6" spans="2:20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x14ac:dyDescent="0.35">
      <c r="B7" s="108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35">
      <c r="B8" s="109" t="s">
        <v>3</v>
      </c>
      <c r="C8" s="109" t="s">
        <v>4</v>
      </c>
      <c r="D8" s="109" t="s">
        <v>5</v>
      </c>
      <c r="E8" s="109" t="s">
        <v>6</v>
      </c>
      <c r="F8" s="109" t="s">
        <v>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x14ac:dyDescent="0.35">
      <c r="B9" s="5" t="s">
        <v>365</v>
      </c>
      <c r="C9" s="6">
        <v>0.45</v>
      </c>
      <c r="D9" s="7">
        <v>0.35</v>
      </c>
      <c r="E9" s="7">
        <v>0.6</v>
      </c>
      <c r="F9" s="8" t="s">
        <v>366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x14ac:dyDescent="0.35">
      <c r="B10" s="5" t="s">
        <v>367</v>
      </c>
      <c r="C10" s="6">
        <v>0.2</v>
      </c>
      <c r="D10" s="7">
        <v>0.12</v>
      </c>
      <c r="E10" s="7">
        <v>0.3</v>
      </c>
      <c r="F10" s="8" t="s">
        <v>347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x14ac:dyDescent="0.35">
      <c r="B11" s="5" t="s">
        <v>368</v>
      </c>
      <c r="C11" s="6">
        <v>0.25</v>
      </c>
      <c r="D11" s="7">
        <v>0.15</v>
      </c>
      <c r="E11" s="7">
        <v>0.35</v>
      </c>
      <c r="F11" s="8" t="s">
        <v>369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x14ac:dyDescent="0.35">
      <c r="B12" s="5" t="s">
        <v>370</v>
      </c>
      <c r="C12" s="6">
        <v>0.1</v>
      </c>
      <c r="D12" s="7">
        <v>7.0000000000000007E-2</v>
      </c>
      <c r="E12" s="7">
        <v>0.18</v>
      </c>
      <c r="F12" s="8" t="s">
        <v>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2:20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35">
      <c r="B15" s="148" t="s">
        <v>16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"/>
      <c r="N15" s="1"/>
      <c r="O15" s="1"/>
      <c r="P15" s="1"/>
      <c r="Q15" s="1"/>
      <c r="R15" s="1"/>
      <c r="S15" s="1"/>
      <c r="T15" s="1"/>
    </row>
    <row r="16" spans="2:20" x14ac:dyDescent="0.35">
      <c r="B16" s="126" t="s">
        <v>371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"/>
      <c r="N16" s="1"/>
      <c r="O16" s="1"/>
      <c r="P16" s="1"/>
      <c r="Q16" s="1"/>
      <c r="R16" s="1"/>
      <c r="S16" s="1"/>
      <c r="T16" s="1"/>
    </row>
    <row r="17" spans="2:20" x14ac:dyDescent="0.35">
      <c r="B17" s="126" t="s">
        <v>372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"/>
      <c r="N17" s="1"/>
      <c r="O17" s="1"/>
      <c r="P17" s="1"/>
      <c r="Q17" s="1"/>
      <c r="R17" s="1"/>
      <c r="S17" s="1"/>
      <c r="T17" s="1"/>
    </row>
    <row r="18" spans="2:20" x14ac:dyDescent="0.35">
      <c r="B18" s="126" t="s">
        <v>373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"/>
      <c r="N18" s="1"/>
      <c r="O18" s="1"/>
      <c r="P18" s="1"/>
      <c r="Q18" s="1"/>
      <c r="R18" s="1"/>
      <c r="S18" s="1"/>
      <c r="T18" s="1"/>
    </row>
    <row r="19" spans="2:20" x14ac:dyDescent="0.35">
      <c r="B19" s="126" t="s">
        <v>374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"/>
      <c r="N19" s="1"/>
      <c r="O19" s="1"/>
      <c r="P19" s="1"/>
      <c r="Q19" s="1"/>
      <c r="R19" s="1"/>
      <c r="S19" s="1"/>
      <c r="T19" s="1"/>
    </row>
    <row r="20" spans="2:20" x14ac:dyDescent="0.35">
      <c r="B20" s="126" t="s">
        <v>375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"/>
      <c r="N20" s="1"/>
      <c r="O20" s="1"/>
      <c r="P20" s="1"/>
      <c r="Q20" s="1"/>
      <c r="R20" s="1"/>
      <c r="S20" s="1"/>
      <c r="T20" s="1"/>
    </row>
    <row r="21" spans="2:20" x14ac:dyDescent="0.35">
      <c r="B21" s="126" t="s">
        <v>376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"/>
      <c r="N21" s="1"/>
      <c r="O21" s="1"/>
      <c r="P21" s="1"/>
      <c r="Q21" s="1"/>
      <c r="R21" s="1"/>
      <c r="S21" s="1"/>
      <c r="T21" s="1"/>
    </row>
    <row r="22" spans="2:20" x14ac:dyDescent="0.35">
      <c r="B22" s="126" t="s">
        <v>377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"/>
      <c r="N22" s="1"/>
      <c r="O22" s="1"/>
      <c r="P22" s="1"/>
      <c r="Q22" s="1"/>
      <c r="R22" s="1"/>
      <c r="S22" s="1"/>
      <c r="T22" s="1"/>
    </row>
    <row r="23" spans="2:20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x14ac:dyDescent="0.35">
      <c r="B24" s="149" t="s">
        <v>325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"/>
      <c r="N24" s="1"/>
      <c r="O24" s="1"/>
      <c r="P24" s="1"/>
      <c r="Q24" s="1"/>
      <c r="R24" s="1"/>
      <c r="S24" s="1"/>
      <c r="T24" s="1"/>
    </row>
    <row r="25" spans="2:20" ht="22.5" customHeight="1" x14ac:dyDescent="0.35">
      <c r="B25" s="126" t="s">
        <v>378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"/>
      <c r="N25" s="1"/>
      <c r="O25" s="1"/>
      <c r="P25" s="1"/>
      <c r="Q25" s="1"/>
      <c r="R25" s="1"/>
      <c r="S25" s="1"/>
      <c r="T25" s="1"/>
    </row>
    <row r="26" spans="2:20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2:20" x14ac:dyDescent="0.35">
      <c r="B27" s="148" t="s">
        <v>379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"/>
      <c r="N27" s="1"/>
      <c r="O27" s="1"/>
      <c r="P27" s="1"/>
      <c r="Q27" s="1"/>
      <c r="R27" s="1"/>
      <c r="S27" s="1"/>
      <c r="T27" s="1"/>
    </row>
    <row r="28" spans="2:20" x14ac:dyDescent="0.35">
      <c r="B28" s="123" t="s">
        <v>24</v>
      </c>
      <c r="C28" s="119" t="s">
        <v>270</v>
      </c>
      <c r="D28" s="119"/>
      <c r="E28" s="119"/>
      <c r="F28" s="119"/>
      <c r="G28" s="119" t="s">
        <v>328</v>
      </c>
      <c r="H28" s="119"/>
      <c r="I28" s="119"/>
      <c r="J28" s="119"/>
      <c r="K28" s="119" t="s">
        <v>327</v>
      </c>
      <c r="L28" s="119"/>
      <c r="M28" s="119"/>
      <c r="N28" s="119"/>
      <c r="O28" s="119" t="s">
        <v>271</v>
      </c>
      <c r="P28" s="119"/>
      <c r="Q28" s="119"/>
      <c r="R28" s="119"/>
      <c r="S28" s="120" t="s">
        <v>272</v>
      </c>
      <c r="T28" s="121" t="s">
        <v>273</v>
      </c>
    </row>
    <row r="29" spans="2:20" x14ac:dyDescent="0.35">
      <c r="B29" s="123"/>
      <c r="C29" s="14" t="s">
        <v>273</v>
      </c>
      <c r="D29" s="39" t="s">
        <v>274</v>
      </c>
      <c r="E29" s="30" t="s">
        <v>275</v>
      </c>
      <c r="F29" s="46" t="s">
        <v>276</v>
      </c>
      <c r="G29" s="14" t="s">
        <v>273</v>
      </c>
      <c r="H29" s="42" t="s">
        <v>274</v>
      </c>
      <c r="I29" s="30" t="s">
        <v>275</v>
      </c>
      <c r="J29" s="46" t="s">
        <v>276</v>
      </c>
      <c r="K29" s="14" t="s">
        <v>273</v>
      </c>
      <c r="L29" s="39" t="s">
        <v>274</v>
      </c>
      <c r="M29" s="30" t="s">
        <v>275</v>
      </c>
      <c r="N29" s="46" t="s">
        <v>276</v>
      </c>
      <c r="O29" s="13" t="s">
        <v>273</v>
      </c>
      <c r="P29" s="39" t="s">
        <v>274</v>
      </c>
      <c r="Q29" s="30" t="s">
        <v>275</v>
      </c>
      <c r="R29" s="46" t="s">
        <v>276</v>
      </c>
      <c r="S29" s="120"/>
      <c r="T29" s="121"/>
    </row>
    <row r="30" spans="2:20" x14ac:dyDescent="0.35">
      <c r="B30" s="28" t="s">
        <v>280</v>
      </c>
      <c r="C30" s="35" t="s">
        <v>277</v>
      </c>
      <c r="D30" s="38">
        <f t="shared" ref="D30:D93" si="0">E30/S30</f>
        <v>0.35</v>
      </c>
      <c r="E30" s="36">
        <v>35000</v>
      </c>
      <c r="F30" s="36">
        <v>0</v>
      </c>
      <c r="G30" s="35" t="s">
        <v>277</v>
      </c>
      <c r="H30" s="38">
        <f t="shared" ref="H30:H93" si="1">I30/S30</f>
        <v>0.2</v>
      </c>
      <c r="I30" s="36">
        <v>20000</v>
      </c>
      <c r="J30" s="36">
        <v>0</v>
      </c>
      <c r="K30" s="35" t="s">
        <v>277</v>
      </c>
      <c r="L30" s="38">
        <f t="shared" ref="L30:L93" si="2">M30/S30</f>
        <v>0.25</v>
      </c>
      <c r="M30" s="36">
        <v>25000</v>
      </c>
      <c r="N30" s="36">
        <v>0</v>
      </c>
      <c r="O30" s="35" t="s">
        <v>277</v>
      </c>
      <c r="P30" s="38">
        <f t="shared" ref="P30:P93" si="3">Q30/S30</f>
        <v>0.2</v>
      </c>
      <c r="Q30" s="36">
        <v>20000</v>
      </c>
      <c r="R30" s="36">
        <v>0</v>
      </c>
      <c r="S30" s="37">
        <f t="shared" ref="S30:S93" si="4">M30+I30+E30+Q30</f>
        <v>100000</v>
      </c>
      <c r="T30" s="40">
        <v>0</v>
      </c>
    </row>
    <row r="31" spans="2:20" x14ac:dyDescent="0.35">
      <c r="B31" s="9" t="s">
        <v>25</v>
      </c>
      <c r="C31" s="15">
        <v>-2.2499999999999999E-2</v>
      </c>
      <c r="D31" s="38">
        <f t="shared" si="0"/>
        <v>0.33165948495232928</v>
      </c>
      <c r="E31" s="32">
        <f>((E30+F31)*C31)+E30+F31</f>
        <v>34212.5</v>
      </c>
      <c r="F31" s="47">
        <v>0</v>
      </c>
      <c r="G31" s="19">
        <v>3.3700000000000001E-2</v>
      </c>
      <c r="H31" s="38">
        <f t="shared" si="1"/>
        <v>0.20041587700122632</v>
      </c>
      <c r="I31" s="32">
        <f>((I30+J31)*G31)+I30+J31</f>
        <v>20674</v>
      </c>
      <c r="J31" s="47">
        <v>0</v>
      </c>
      <c r="K31" s="19">
        <v>8.8599999999999998E-2</v>
      </c>
      <c r="L31" s="38">
        <f t="shared" si="2"/>
        <v>0.26382500205999682</v>
      </c>
      <c r="M31" s="31">
        <f>((M30+N31)*K31)+M30+N31</f>
        <v>27215</v>
      </c>
      <c r="N31" s="47">
        <v>0</v>
      </c>
      <c r="O31" s="20">
        <v>5.2699999999999997E-2</v>
      </c>
      <c r="P31" s="38">
        <f t="shared" si="3"/>
        <v>0.20409963598644765</v>
      </c>
      <c r="Q31" s="32">
        <f>((Q30+R31)*O31)+Q30+R31</f>
        <v>21054</v>
      </c>
      <c r="R31" s="47">
        <v>0</v>
      </c>
      <c r="S31" s="37">
        <f t="shared" si="4"/>
        <v>103155.5</v>
      </c>
      <c r="T31" s="40">
        <f>S31/S30-1</f>
        <v>3.1555E-2</v>
      </c>
    </row>
    <row r="32" spans="2:20" x14ac:dyDescent="0.35">
      <c r="B32" s="10" t="s">
        <v>26</v>
      </c>
      <c r="C32" s="15">
        <v>-3.5099999999999999E-2</v>
      </c>
      <c r="D32" s="38">
        <f t="shared" si="0"/>
        <v>0.33577336825629267</v>
      </c>
      <c r="E32" s="32">
        <f t="shared" ref="E32:E95" si="5">((E31+F32)*C32)+E31+F32</f>
        <v>33011.641250000001</v>
      </c>
      <c r="F32" s="47">
        <v>0</v>
      </c>
      <c r="G32" s="17">
        <v>-3.2399999999999998E-2</v>
      </c>
      <c r="H32" s="38">
        <f t="shared" si="1"/>
        <v>0.20346958629916298</v>
      </c>
      <c r="I32" s="32">
        <f t="shared" ref="I32:I95" si="6">((I31+J32)*G32)+I31+J32</f>
        <v>20004.162400000001</v>
      </c>
      <c r="J32" s="47">
        <v>0</v>
      </c>
      <c r="K32" s="17">
        <v>-7.2599999999999998E-2</v>
      </c>
      <c r="L32" s="38">
        <f t="shared" si="2"/>
        <v>0.25671695963113944</v>
      </c>
      <c r="M32" s="31">
        <f t="shared" ref="M32:M95" si="7">((M31+N32)*K32)+M31+N32</f>
        <v>25239.190999999999</v>
      </c>
      <c r="N32" s="47">
        <v>0</v>
      </c>
      <c r="O32" s="15">
        <v>-4.7199999999999999E-2</v>
      </c>
      <c r="P32" s="38">
        <f t="shared" si="3"/>
        <v>0.20404008581340488</v>
      </c>
      <c r="Q32" s="32">
        <f>((Q31+R32)*O32)+Q31+R32</f>
        <v>20060.251199999999</v>
      </c>
      <c r="R32" s="47">
        <v>0</v>
      </c>
      <c r="S32" s="37">
        <f t="shared" si="4"/>
        <v>98315.245850000007</v>
      </c>
      <c r="T32" s="40">
        <f t="shared" ref="T32:T95" si="8">S32/S31-1</f>
        <v>-4.6921920304782483E-2</v>
      </c>
    </row>
    <row r="33" spans="2:20" x14ac:dyDescent="0.35">
      <c r="B33" s="11" t="s">
        <v>27</v>
      </c>
      <c r="C33" s="20">
        <v>3.4500000000000003E-2</v>
      </c>
      <c r="D33" s="38">
        <f t="shared" si="0"/>
        <v>0.33067235759862562</v>
      </c>
      <c r="E33" s="32">
        <f t="shared" si="5"/>
        <v>34150.542873124999</v>
      </c>
      <c r="F33" s="47">
        <v>0</v>
      </c>
      <c r="G33" s="19">
        <v>7.0999999999999994E-2</v>
      </c>
      <c r="H33" s="38">
        <f t="shared" si="1"/>
        <v>0.2074484156939454</v>
      </c>
      <c r="I33" s="32">
        <f t="shared" si="6"/>
        <v>21424.4579304</v>
      </c>
      <c r="J33" s="47">
        <v>0</v>
      </c>
      <c r="K33" s="19">
        <v>4.5400000000000003E-2</v>
      </c>
      <c r="L33" s="38">
        <f t="shared" si="2"/>
        <v>0.25548076383488888</v>
      </c>
      <c r="M33" s="31">
        <f t="shared" si="7"/>
        <v>26385.050271399999</v>
      </c>
      <c r="N33" s="47">
        <v>0</v>
      </c>
      <c r="O33" s="20">
        <v>6.2600000000000003E-2</v>
      </c>
      <c r="P33" s="38">
        <f t="shared" si="3"/>
        <v>0.20639846287254021</v>
      </c>
      <c r="Q33" s="32">
        <f t="shared" ref="Q33:Q96" si="9">((Q32+R33)*O33)+Q32+R33</f>
        <v>21316.02292512</v>
      </c>
      <c r="R33" s="47">
        <v>0</v>
      </c>
      <c r="S33" s="37">
        <f t="shared" si="4"/>
        <v>103276.07400004499</v>
      </c>
      <c r="T33" s="40">
        <f t="shared" si="8"/>
        <v>5.045838117125534E-2</v>
      </c>
    </row>
    <row r="34" spans="2:20" x14ac:dyDescent="0.35">
      <c r="B34" s="10" t="s">
        <v>28</v>
      </c>
      <c r="C34" s="15">
        <v>-2.5399999999999999E-2</v>
      </c>
      <c r="D34" s="38">
        <f t="shared" si="0"/>
        <v>0.31985569176780487</v>
      </c>
      <c r="E34" s="32">
        <f t="shared" si="5"/>
        <v>33283.119084147627</v>
      </c>
      <c r="F34" s="47">
        <v>0</v>
      </c>
      <c r="G34" s="17">
        <v>-3.4200000000000001E-2</v>
      </c>
      <c r="H34" s="38">
        <f t="shared" si="1"/>
        <v>0.19885069259201438</v>
      </c>
      <c r="I34" s="32">
        <f t="shared" si="6"/>
        <v>20691.741469180321</v>
      </c>
      <c r="J34" s="47">
        <v>0</v>
      </c>
      <c r="K34" s="19">
        <v>2.5600000000000001E-2</v>
      </c>
      <c r="L34" s="38">
        <f t="shared" si="2"/>
        <v>0.26005547565359516</v>
      </c>
      <c r="M34" s="31">
        <f t="shared" si="7"/>
        <v>27060.507558347839</v>
      </c>
      <c r="N34" s="47">
        <v>0</v>
      </c>
      <c r="O34" s="20">
        <v>0.08</v>
      </c>
      <c r="P34" s="38">
        <f t="shared" si="3"/>
        <v>0.22123813998658576</v>
      </c>
      <c r="Q34" s="32">
        <f t="shared" si="9"/>
        <v>23021.304759129598</v>
      </c>
      <c r="R34" s="47">
        <v>0</v>
      </c>
      <c r="S34" s="37">
        <f t="shared" si="4"/>
        <v>104056.67287080537</v>
      </c>
      <c r="T34" s="40">
        <f t="shared" si="8"/>
        <v>7.5583708842383857E-3</v>
      </c>
    </row>
    <row r="35" spans="2:20" x14ac:dyDescent="0.35">
      <c r="B35" s="11" t="s">
        <v>29</v>
      </c>
      <c r="C35" s="20">
        <v>6.2700000000000006E-2</v>
      </c>
      <c r="D35" s="38">
        <f t="shared" si="0"/>
        <v>0.32767463622110876</v>
      </c>
      <c r="E35" s="32">
        <f t="shared" si="5"/>
        <v>35369.970650723684</v>
      </c>
      <c r="F35" s="47">
        <v>0</v>
      </c>
      <c r="G35" s="19">
        <v>3.4299999999999997E-2</v>
      </c>
      <c r="H35" s="38">
        <f t="shared" si="1"/>
        <v>0.19826757496629824</v>
      </c>
      <c r="I35" s="32">
        <f t="shared" si="6"/>
        <v>21401.468201573207</v>
      </c>
      <c r="J35" s="47">
        <v>0</v>
      </c>
      <c r="K35" s="17">
        <v>-2.5600000000000001E-2</v>
      </c>
      <c r="L35" s="38">
        <f t="shared" si="2"/>
        <v>0.24427630378957704</v>
      </c>
      <c r="M35" s="31">
        <f t="shared" si="7"/>
        <v>26367.758564854135</v>
      </c>
      <c r="N35" s="47">
        <v>0</v>
      </c>
      <c r="O35" s="20">
        <v>7.7399999999999997E-2</v>
      </c>
      <c r="P35" s="38">
        <f t="shared" si="3"/>
        <v>0.22978148502301599</v>
      </c>
      <c r="Q35" s="32">
        <f t="shared" si="9"/>
        <v>24803.153747486227</v>
      </c>
      <c r="R35" s="47">
        <v>0</v>
      </c>
      <c r="S35" s="37">
        <f t="shared" si="4"/>
        <v>107942.35116463725</v>
      </c>
      <c r="T35" s="40">
        <f t="shared" si="8"/>
        <v>3.7341942487977287E-2</v>
      </c>
    </row>
    <row r="36" spans="2:20" x14ac:dyDescent="0.35">
      <c r="B36" s="10" t="s">
        <v>30</v>
      </c>
      <c r="C36" s="15">
        <v>-5.8900000000000001E-2</v>
      </c>
      <c r="D36" s="38">
        <f t="shared" si="0"/>
        <v>0.33105384457457454</v>
      </c>
      <c r="E36" s="32">
        <f t="shared" si="5"/>
        <v>33286.679379396061</v>
      </c>
      <c r="F36" s="47">
        <v>0</v>
      </c>
      <c r="G36" s="17">
        <v>-6.0900000000000003E-2</v>
      </c>
      <c r="H36" s="38">
        <f t="shared" si="1"/>
        <v>0.19988654974201431</v>
      </c>
      <c r="I36" s="32">
        <f t="shared" si="6"/>
        <v>20098.118788097399</v>
      </c>
      <c r="J36" s="47">
        <v>0</v>
      </c>
      <c r="K36" s="17">
        <v>-5.7000000000000002E-2</v>
      </c>
      <c r="L36" s="38">
        <f t="shared" si="2"/>
        <v>0.24729370943497991</v>
      </c>
      <c r="M36" s="31">
        <f t="shared" si="7"/>
        <v>24864.796326657448</v>
      </c>
      <c r="N36" s="47">
        <v>0</v>
      </c>
      <c r="O36" s="15">
        <v>-0.10100000000000001</v>
      </c>
      <c r="P36" s="38">
        <f t="shared" si="3"/>
        <v>0.22176589624843127</v>
      </c>
      <c r="Q36" s="32">
        <f t="shared" si="9"/>
        <v>22298.035218990117</v>
      </c>
      <c r="R36" s="47">
        <v>0</v>
      </c>
      <c r="S36" s="37">
        <f t="shared" si="4"/>
        <v>100547.62971314102</v>
      </c>
      <c r="T36" s="40">
        <f t="shared" si="8"/>
        <v>-6.8506210692201308E-2</v>
      </c>
    </row>
    <row r="37" spans="2:20" x14ac:dyDescent="0.35">
      <c r="B37" s="11" t="s">
        <v>31</v>
      </c>
      <c r="C37" s="20">
        <v>5.4999999999999997E-3</v>
      </c>
      <c r="D37" s="38">
        <f t="shared" si="0"/>
        <v>0.32953968180363175</v>
      </c>
      <c r="E37" s="32">
        <f>((E36+F37)*C37)+E36+F37</f>
        <v>33469.756115982738</v>
      </c>
      <c r="F37" s="47">
        <v>0</v>
      </c>
      <c r="G37" s="17">
        <v>-2.81E-2</v>
      </c>
      <c r="H37" s="38">
        <f t="shared" si="1"/>
        <v>0.19232341462065369</v>
      </c>
      <c r="I37" s="32">
        <f t="shared" si="6"/>
        <v>19533.361650151863</v>
      </c>
      <c r="J37" s="47">
        <v>0</v>
      </c>
      <c r="K37" s="19">
        <v>2.3900000000000001E-2</v>
      </c>
      <c r="L37" s="38">
        <f t="shared" si="2"/>
        <v>0.25066726319992122</v>
      </c>
      <c r="M37" s="31">
        <f>((M36+N37)*K37)+M36+N37</f>
        <v>25459.064958864561</v>
      </c>
      <c r="N37" s="47">
        <v>0</v>
      </c>
      <c r="O37" s="20">
        <v>3.61E-2</v>
      </c>
      <c r="P37" s="38">
        <f t="shared" si="3"/>
        <v>0.22746964037579345</v>
      </c>
      <c r="Q37" s="32">
        <f t="shared" si="9"/>
        <v>23102.994290395662</v>
      </c>
      <c r="R37" s="47">
        <v>0</v>
      </c>
      <c r="S37" s="37">
        <f t="shared" si="4"/>
        <v>101565.17701539482</v>
      </c>
      <c r="T37" s="40">
        <f t="shared" si="8"/>
        <v>1.012005260747384E-2</v>
      </c>
    </row>
    <row r="38" spans="2:20" x14ac:dyDescent="0.35">
      <c r="B38" s="10" t="s">
        <v>32</v>
      </c>
      <c r="C38" s="20">
        <v>2.7000000000000001E-3</v>
      </c>
      <c r="D38" s="38">
        <f t="shared" si="0"/>
        <v>0.33229601431030537</v>
      </c>
      <c r="E38" s="32">
        <f t="shared" si="5"/>
        <v>33560.124457495891</v>
      </c>
      <c r="F38" s="47">
        <v>0</v>
      </c>
      <c r="G38" s="19">
        <v>1.12E-2</v>
      </c>
      <c r="H38" s="38">
        <f t="shared" si="1"/>
        <v>0.19557602781930092</v>
      </c>
      <c r="I38" s="32">
        <f t="shared" si="6"/>
        <v>19752.135300633563</v>
      </c>
      <c r="J38" s="47">
        <v>0</v>
      </c>
      <c r="K38" s="17">
        <v>-2.7000000000000001E-3</v>
      </c>
      <c r="L38" s="38">
        <f t="shared" si="2"/>
        <v>0.25140264217094821</v>
      </c>
      <c r="M38" s="31">
        <f t="shared" si="7"/>
        <v>25390.325483475626</v>
      </c>
      <c r="N38" s="47">
        <v>0</v>
      </c>
      <c r="O38" s="15">
        <v>-3.5099999999999999E-2</v>
      </c>
      <c r="P38" s="38">
        <f t="shared" si="3"/>
        <v>0.2207253156994454</v>
      </c>
      <c r="Q38" s="32">
        <f t="shared" si="9"/>
        <v>22292.079190802775</v>
      </c>
      <c r="R38" s="47">
        <v>0</v>
      </c>
      <c r="S38" s="37">
        <f t="shared" si="4"/>
        <v>100994.66443240787</v>
      </c>
      <c r="T38" s="40">
        <f t="shared" si="8"/>
        <v>-5.6172066032088575E-3</v>
      </c>
    </row>
    <row r="39" spans="2:20" x14ac:dyDescent="0.35">
      <c r="B39" s="11" t="s">
        <v>33</v>
      </c>
      <c r="C39" s="20">
        <v>4.4400000000000002E-2</v>
      </c>
      <c r="D39" s="38">
        <f t="shared" si="0"/>
        <v>0.34147869362716021</v>
      </c>
      <c r="E39" s="32">
        <f t="shared" si="5"/>
        <v>35050.19398340871</v>
      </c>
      <c r="F39" s="47">
        <v>0</v>
      </c>
      <c r="G39" s="19">
        <v>2.2700000000000001E-2</v>
      </c>
      <c r="H39" s="38">
        <f t="shared" si="1"/>
        <v>0.19680471238810929</v>
      </c>
      <c r="I39" s="32">
        <f t="shared" si="6"/>
        <v>20200.508771957946</v>
      </c>
      <c r="J39" s="47">
        <v>0</v>
      </c>
      <c r="K39" s="19">
        <v>1.0500000000000001E-2</v>
      </c>
      <c r="L39" s="38">
        <f t="shared" si="2"/>
        <v>0.24996417595776985</v>
      </c>
      <c r="M39" s="31">
        <f t="shared" si="7"/>
        <v>25656.92390105212</v>
      </c>
      <c r="N39" s="47">
        <v>0</v>
      </c>
      <c r="O39" s="15">
        <v>-2.5000000000000001E-2</v>
      </c>
      <c r="P39" s="38">
        <f t="shared" si="3"/>
        <v>0.2117524180269606</v>
      </c>
      <c r="Q39" s="32">
        <f t="shared" si="9"/>
        <v>21734.777211032706</v>
      </c>
      <c r="R39" s="47">
        <v>0</v>
      </c>
      <c r="S39" s="37">
        <f t="shared" si="4"/>
        <v>102642.40386745149</v>
      </c>
      <c r="T39" s="40">
        <f t="shared" si="8"/>
        <v>1.6315113717184415E-2</v>
      </c>
    </row>
    <row r="40" spans="2:20" x14ac:dyDescent="0.35">
      <c r="B40" s="10" t="s">
        <v>34</v>
      </c>
      <c r="C40" s="20">
        <v>1.5900000000000001E-2</v>
      </c>
      <c r="D40" s="38">
        <f t="shared" si="0"/>
        <v>0.33777895203710795</v>
      </c>
      <c r="E40" s="32">
        <f t="shared" si="5"/>
        <v>35607.492067744912</v>
      </c>
      <c r="F40" s="47">
        <v>0</v>
      </c>
      <c r="G40" s="19">
        <v>4.2799999999999998E-2</v>
      </c>
      <c r="H40" s="38">
        <f t="shared" si="1"/>
        <v>0.19982716547769008</v>
      </c>
      <c r="I40" s="32">
        <f t="shared" si="6"/>
        <v>21065.090547397747</v>
      </c>
      <c r="J40" s="47">
        <v>0</v>
      </c>
      <c r="K40" s="19">
        <v>5.4399999999999997E-2</v>
      </c>
      <c r="L40" s="38">
        <f t="shared" si="2"/>
        <v>0.25662631102510775</v>
      </c>
      <c r="M40" s="31">
        <f t="shared" si="7"/>
        <v>27052.660561269357</v>
      </c>
      <c r="N40" s="47">
        <v>0</v>
      </c>
      <c r="O40" s="15">
        <v>-2E-3</v>
      </c>
      <c r="P40" s="38">
        <f t="shared" si="3"/>
        <v>0.20576757146009417</v>
      </c>
      <c r="Q40" s="32">
        <f t="shared" si="9"/>
        <v>21691.307656610639</v>
      </c>
      <c r="R40" s="47">
        <v>0</v>
      </c>
      <c r="S40" s="37">
        <f t="shared" si="4"/>
        <v>105416.55083302266</v>
      </c>
      <c r="T40" s="40">
        <f t="shared" si="8"/>
        <v>2.7027299254931636E-2</v>
      </c>
    </row>
    <row r="41" spans="2:20" x14ac:dyDescent="0.35">
      <c r="B41" s="11" t="s">
        <v>35</v>
      </c>
      <c r="C41" s="20">
        <v>2.9399999999999999E-2</v>
      </c>
      <c r="D41" s="38">
        <f t="shared" si="0"/>
        <v>0.33011457034212555</v>
      </c>
      <c r="E41" s="32">
        <f t="shared" si="5"/>
        <v>36654.352334536612</v>
      </c>
      <c r="F41" s="47">
        <v>0</v>
      </c>
      <c r="G41" s="19">
        <v>3.7199999999999997E-2</v>
      </c>
      <c r="H41" s="38">
        <f t="shared" si="1"/>
        <v>0.19677276195668689</v>
      </c>
      <c r="I41" s="32">
        <f t="shared" si="6"/>
        <v>21848.711915760945</v>
      </c>
      <c r="J41" s="47">
        <v>0</v>
      </c>
      <c r="K41" s="19">
        <v>7.3400000000000007E-2</v>
      </c>
      <c r="L41" s="38">
        <f t="shared" si="2"/>
        <v>0.26152349856769397</v>
      </c>
      <c r="M41" s="31">
        <f t="shared" si="7"/>
        <v>29038.325846466527</v>
      </c>
      <c r="N41" s="47">
        <v>0</v>
      </c>
      <c r="O41" s="20">
        <v>8.3099999999999993E-2</v>
      </c>
      <c r="P41" s="38">
        <f t="shared" si="3"/>
        <v>0.21158916913349363</v>
      </c>
      <c r="Q41" s="32">
        <f t="shared" si="9"/>
        <v>23493.855322874984</v>
      </c>
      <c r="R41" s="47">
        <v>0</v>
      </c>
      <c r="S41" s="37">
        <f t="shared" si="4"/>
        <v>111035.24541963906</v>
      </c>
      <c r="T41" s="40">
        <f t="shared" si="8"/>
        <v>5.3299928163237587E-2</v>
      </c>
    </row>
    <row r="42" spans="2:20" x14ac:dyDescent="0.35">
      <c r="B42" s="10" t="s">
        <v>36</v>
      </c>
      <c r="C42" s="15">
        <v>-3.2000000000000002E-3</v>
      </c>
      <c r="D42" s="38">
        <f t="shared" si="0"/>
        <v>0.4410708611910607</v>
      </c>
      <c r="E42" s="32">
        <f t="shared" si="5"/>
        <v>48887.74931906609</v>
      </c>
      <c r="F42" s="49">
        <v>12390.34</v>
      </c>
      <c r="G42" s="17">
        <v>-1.61E-2</v>
      </c>
      <c r="H42" s="38">
        <f t="shared" si="1"/>
        <v>0.19394791837951478</v>
      </c>
      <c r="I42" s="32">
        <f t="shared" si="6"/>
        <v>21496.947653917196</v>
      </c>
      <c r="J42" s="47">
        <v>0</v>
      </c>
      <c r="K42" s="19">
        <v>2.3599999999999999E-2</v>
      </c>
      <c r="L42" s="38">
        <f t="shared" si="2"/>
        <v>0.26816998967687716</v>
      </c>
      <c r="M42" s="31">
        <f t="shared" si="7"/>
        <v>29723.630336443137</v>
      </c>
      <c r="N42" s="47">
        <v>0</v>
      </c>
      <c r="O42" s="15">
        <v>-3.3599999999999998E-2</v>
      </c>
      <c r="P42" s="38">
        <f t="shared" si="3"/>
        <v>9.6811230752547398E-2</v>
      </c>
      <c r="Q42" s="32">
        <f t="shared" si="9"/>
        <v>10730.437208026386</v>
      </c>
      <c r="R42" s="48">
        <v>-12390.34</v>
      </c>
      <c r="S42" s="37">
        <f t="shared" si="4"/>
        <v>110838.7645174528</v>
      </c>
      <c r="T42" s="40">
        <f t="shared" si="8"/>
        <v>-1.7695363435609179E-3</v>
      </c>
    </row>
    <row r="43" spans="2:20" x14ac:dyDescent="0.35">
      <c r="B43" s="9" t="s">
        <v>37</v>
      </c>
      <c r="C43" s="20">
        <v>1.12E-2</v>
      </c>
      <c r="D43" s="38">
        <f t="shared" si="0"/>
        <v>0.45066628182742902</v>
      </c>
      <c r="E43" s="32">
        <f t="shared" si="5"/>
        <v>50436.066639439632</v>
      </c>
      <c r="F43" s="49">
        <v>989.69</v>
      </c>
      <c r="G43" s="19">
        <v>1.4E-2</v>
      </c>
      <c r="H43" s="38">
        <f t="shared" si="1"/>
        <v>0.20085071411023972</v>
      </c>
      <c r="I43" s="32">
        <f t="shared" si="6"/>
        <v>22478.096121072034</v>
      </c>
      <c r="J43" s="49">
        <v>670.8</v>
      </c>
      <c r="K43" s="17">
        <v>-1.6999999999999999E-3</v>
      </c>
      <c r="L43" s="38">
        <f t="shared" si="2"/>
        <v>0.2471761706625841</v>
      </c>
      <c r="M43" s="31">
        <f t="shared" si="7"/>
        <v>27662.583862871186</v>
      </c>
      <c r="N43" s="48">
        <v>-2013.94</v>
      </c>
      <c r="O43" s="20">
        <v>2.29E-2</v>
      </c>
      <c r="P43" s="38">
        <f t="shared" si="3"/>
        <v>0.10130683339974721</v>
      </c>
      <c r="Q43" s="32">
        <f t="shared" si="9"/>
        <v>11337.69799609019</v>
      </c>
      <c r="R43" s="49">
        <v>353.44</v>
      </c>
      <c r="S43" s="37">
        <f t="shared" si="4"/>
        <v>111914.44461947304</v>
      </c>
      <c r="T43" s="40">
        <f t="shared" si="8"/>
        <v>9.7049088078824397E-3</v>
      </c>
    </row>
    <row r="44" spans="2:20" x14ac:dyDescent="0.35">
      <c r="B44" s="10" t="s">
        <v>38</v>
      </c>
      <c r="C44" s="15">
        <v>-2.2599999999999999E-2</v>
      </c>
      <c r="D44" s="38">
        <f t="shared" si="0"/>
        <v>0.44906902125403203</v>
      </c>
      <c r="E44" s="32">
        <f t="shared" si="5"/>
        <v>49296.211533388298</v>
      </c>
      <c r="F44" s="47">
        <v>0</v>
      </c>
      <c r="G44" s="17">
        <v>-7.3000000000000001E-3</v>
      </c>
      <c r="H44" s="38">
        <f t="shared" si="1"/>
        <v>0.2032717836054469</v>
      </c>
      <c r="I44" s="32">
        <f t="shared" si="6"/>
        <v>22314.006019388209</v>
      </c>
      <c r="J44" s="47">
        <v>0</v>
      </c>
      <c r="K44" s="17">
        <v>-4.0599999999999997E-2</v>
      </c>
      <c r="L44" s="38">
        <f t="shared" si="2"/>
        <v>0.24176420998360837</v>
      </c>
      <c r="M44" s="31">
        <f t="shared" si="7"/>
        <v>26539.482958038618</v>
      </c>
      <c r="N44" s="47">
        <v>0</v>
      </c>
      <c r="O44" s="20">
        <v>2.53E-2</v>
      </c>
      <c r="P44" s="38">
        <f t="shared" si="3"/>
        <v>0.10589498515691277</v>
      </c>
      <c r="Q44" s="32">
        <f t="shared" si="9"/>
        <v>11624.541755391272</v>
      </c>
      <c r="R44" s="47">
        <v>0</v>
      </c>
      <c r="S44" s="37">
        <f t="shared" si="4"/>
        <v>109774.24226620639</v>
      </c>
      <c r="T44" s="40">
        <f t="shared" si="8"/>
        <v>-1.9123557826191906E-2</v>
      </c>
    </row>
    <row r="45" spans="2:20" x14ac:dyDescent="0.35">
      <c r="B45" s="11" t="s">
        <v>39</v>
      </c>
      <c r="C45" s="15">
        <v>-3.15E-2</v>
      </c>
      <c r="D45" s="38">
        <f t="shared" si="0"/>
        <v>0.44461658330547277</v>
      </c>
      <c r="E45" s="32">
        <f t="shared" si="5"/>
        <v>47743.380870086563</v>
      </c>
      <c r="F45" s="47">
        <v>0</v>
      </c>
      <c r="G45" s="17">
        <v>-3.2800000000000003E-2</v>
      </c>
      <c r="H45" s="38">
        <f t="shared" si="1"/>
        <v>0.20098623792264844</v>
      </c>
      <c r="I45" s="32">
        <f t="shared" si="6"/>
        <v>21582.106621952276</v>
      </c>
      <c r="J45" s="47">
        <v>0</v>
      </c>
      <c r="K45" s="19">
        <v>1.7899999999999999E-2</v>
      </c>
      <c r="L45" s="38">
        <f t="shared" si="2"/>
        <v>0.25157649339906435</v>
      </c>
      <c r="M45" s="31">
        <f t="shared" si="7"/>
        <v>27014.539702987509</v>
      </c>
      <c r="N45" s="47">
        <v>0</v>
      </c>
      <c r="O45" s="15">
        <v>-5.0200000000000002E-2</v>
      </c>
      <c r="P45" s="38">
        <f t="shared" si="3"/>
        <v>0.10282068537281451</v>
      </c>
      <c r="Q45" s="32">
        <f t="shared" si="9"/>
        <v>11040.989759270629</v>
      </c>
      <c r="R45" s="47">
        <v>0</v>
      </c>
      <c r="S45" s="37">
        <f t="shared" si="4"/>
        <v>107381.01695429697</v>
      </c>
      <c r="T45" s="40">
        <f t="shared" si="8"/>
        <v>-2.1801337567931123E-2</v>
      </c>
    </row>
    <row r="46" spans="2:20" x14ac:dyDescent="0.35">
      <c r="B46" s="10" t="s">
        <v>40</v>
      </c>
      <c r="C46" s="20">
        <v>4.1000000000000002E-2</v>
      </c>
      <c r="D46" s="38">
        <f t="shared" si="0"/>
        <v>0.44859644244323976</v>
      </c>
      <c r="E46" s="32">
        <f t="shared" si="5"/>
        <v>49700.859485760113</v>
      </c>
      <c r="F46" s="47">
        <v>0</v>
      </c>
      <c r="G46" s="19">
        <v>1.32E-2</v>
      </c>
      <c r="H46" s="38">
        <f t="shared" si="1"/>
        <v>0.19736990899247348</v>
      </c>
      <c r="I46" s="32">
        <f t="shared" si="6"/>
        <v>21866.990429362046</v>
      </c>
      <c r="J46" s="47">
        <v>0</v>
      </c>
      <c r="K46" s="19">
        <v>3.5000000000000003E-2</v>
      </c>
      <c r="L46" s="38">
        <f t="shared" si="2"/>
        <v>0.2523654210199438</v>
      </c>
      <c r="M46" s="31">
        <f t="shared" si="7"/>
        <v>27960.048592592073</v>
      </c>
      <c r="N46" s="47">
        <v>0</v>
      </c>
      <c r="O46" s="20">
        <v>2.0199999999999999E-2</v>
      </c>
      <c r="P46" s="38">
        <f t="shared" si="3"/>
        <v>0.10166822754434304</v>
      </c>
      <c r="Q46" s="32">
        <f t="shared" si="9"/>
        <v>11264.017752407895</v>
      </c>
      <c r="R46" s="47">
        <v>0</v>
      </c>
      <c r="S46" s="37">
        <f t="shared" si="4"/>
        <v>110791.91626012212</v>
      </c>
      <c r="T46" s="40">
        <f t="shared" si="8"/>
        <v>3.1764453369601542E-2</v>
      </c>
    </row>
    <row r="47" spans="2:20" x14ac:dyDescent="0.35">
      <c r="B47" s="11" t="s">
        <v>41</v>
      </c>
      <c r="C47" s="15">
        <v>-1.37E-2</v>
      </c>
      <c r="D47" s="38">
        <f t="shared" si="0"/>
        <v>0.44843304194066591</v>
      </c>
      <c r="E47" s="32">
        <f t="shared" si="5"/>
        <v>49019.957710805196</v>
      </c>
      <c r="F47" s="47">
        <v>0</v>
      </c>
      <c r="G47" s="17">
        <v>-3.8E-3</v>
      </c>
      <c r="H47" s="38">
        <f t="shared" si="1"/>
        <v>0.19927839893331789</v>
      </c>
      <c r="I47" s="32">
        <f t="shared" si="6"/>
        <v>21783.895865730468</v>
      </c>
      <c r="J47" s="47">
        <v>0</v>
      </c>
      <c r="K47" s="19">
        <v>2.3E-3</v>
      </c>
      <c r="L47" s="38">
        <f t="shared" si="2"/>
        <v>0.25636593975669913</v>
      </c>
      <c r="M47" s="31">
        <f t="shared" si="7"/>
        <v>28024.356704355036</v>
      </c>
      <c r="N47" s="47">
        <v>0</v>
      </c>
      <c r="O47" s="15">
        <v>-6.9099999999999995E-2</v>
      </c>
      <c r="P47" s="38">
        <f t="shared" si="3"/>
        <v>9.5922619369317091E-2</v>
      </c>
      <c r="Q47" s="32">
        <f t="shared" si="9"/>
        <v>10485.67412571651</v>
      </c>
      <c r="R47" s="47">
        <v>0</v>
      </c>
      <c r="S47" s="37">
        <f t="shared" si="4"/>
        <v>109313.88440660721</v>
      </c>
      <c r="T47" s="40">
        <f t="shared" si="8"/>
        <v>-1.334061097061201E-2</v>
      </c>
    </row>
    <row r="48" spans="2:20" x14ac:dyDescent="0.35">
      <c r="B48" s="10" t="s">
        <v>42</v>
      </c>
      <c r="C48" s="15">
        <v>-2.7900000000000001E-2</v>
      </c>
      <c r="D48" s="38">
        <f t="shared" si="0"/>
        <v>0.4417050214389141</v>
      </c>
      <c r="E48" s="32">
        <f t="shared" si="5"/>
        <v>47652.30089067373</v>
      </c>
      <c r="F48" s="47">
        <v>0</v>
      </c>
      <c r="G48" s="17">
        <v>-2.4899999999999999E-2</v>
      </c>
      <c r="H48" s="38">
        <f t="shared" si="1"/>
        <v>0.19689431183565345</v>
      </c>
      <c r="I48" s="32">
        <f t="shared" si="6"/>
        <v>21241.476858673781</v>
      </c>
      <c r="J48" s="47">
        <v>0</v>
      </c>
      <c r="K48" s="19">
        <v>2.76E-2</v>
      </c>
      <c r="L48" s="38">
        <f t="shared" si="2"/>
        <v>0.26693665186640186</v>
      </c>
      <c r="M48" s="31">
        <f t="shared" si="7"/>
        <v>28797.828949395236</v>
      </c>
      <c r="N48" s="47">
        <v>0</v>
      </c>
      <c r="O48" s="15">
        <v>-2.81E-2</v>
      </c>
      <c r="P48" s="38">
        <f t="shared" si="3"/>
        <v>9.4464014859030554E-2</v>
      </c>
      <c r="Q48" s="32">
        <f t="shared" si="9"/>
        <v>10191.026682783877</v>
      </c>
      <c r="R48" s="47">
        <v>0</v>
      </c>
      <c r="S48" s="37">
        <f t="shared" si="4"/>
        <v>107882.63338152663</v>
      </c>
      <c r="T48" s="40">
        <f t="shared" si="8"/>
        <v>-1.3093039670577067E-2</v>
      </c>
    </row>
    <row r="49" spans="2:20" x14ac:dyDescent="0.35">
      <c r="B49" s="11" t="s">
        <v>43</v>
      </c>
      <c r="C49" s="15">
        <v>-5.4399999999999997E-2</v>
      </c>
      <c r="D49" s="38">
        <f t="shared" si="0"/>
        <v>0.43814323469255828</v>
      </c>
      <c r="E49" s="32">
        <f t="shared" si="5"/>
        <v>45060.015722221076</v>
      </c>
      <c r="F49" s="47">
        <v>0</v>
      </c>
      <c r="G49" s="17">
        <v>-9.2200000000000004E-2</v>
      </c>
      <c r="H49" s="38">
        <f t="shared" si="1"/>
        <v>0.18749930332264222</v>
      </c>
      <c r="I49" s="32">
        <f t="shared" si="6"/>
        <v>19283.012692304059</v>
      </c>
      <c r="J49" s="47">
        <v>0</v>
      </c>
      <c r="K49" s="17">
        <v>-1.6299999999999999E-2</v>
      </c>
      <c r="L49" s="38">
        <f t="shared" si="2"/>
        <v>0.27545279942864265</v>
      </c>
      <c r="M49" s="31">
        <f t="shared" si="7"/>
        <v>28328.424337520093</v>
      </c>
      <c r="N49" s="47">
        <v>0</v>
      </c>
      <c r="O49" s="15">
        <v>-1.9E-3</v>
      </c>
      <c r="P49" s="38">
        <f t="shared" si="3"/>
        <v>9.8904662556156819E-2</v>
      </c>
      <c r="Q49" s="32">
        <f t="shared" si="9"/>
        <v>10171.663732086587</v>
      </c>
      <c r="R49" s="47">
        <v>0</v>
      </c>
      <c r="S49" s="37">
        <f t="shared" si="4"/>
        <v>102843.11648413182</v>
      </c>
      <c r="T49" s="40">
        <f>S49/S48-1</f>
        <v>-4.6712957771178676E-2</v>
      </c>
    </row>
    <row r="50" spans="2:20" x14ac:dyDescent="0.35">
      <c r="B50" s="10" t="s">
        <v>44</v>
      </c>
      <c r="C50" s="20">
        <v>6.7400000000000002E-2</v>
      </c>
      <c r="D50" s="38">
        <f t="shared" si="0"/>
        <v>0.43769137410910108</v>
      </c>
      <c r="E50" s="32">
        <f t="shared" si="5"/>
        <v>48097.060781898777</v>
      </c>
      <c r="F50" s="47">
        <v>0</v>
      </c>
      <c r="G50" s="19">
        <v>7.6200000000000004E-2</v>
      </c>
      <c r="H50" s="38">
        <f t="shared" si="1"/>
        <v>0.18885014611604423</v>
      </c>
      <c r="I50" s="32">
        <f t="shared" si="6"/>
        <v>20752.37825945763</v>
      </c>
      <c r="J50" s="47">
        <v>0</v>
      </c>
      <c r="K50" s="19">
        <v>6.4799999999999996E-2</v>
      </c>
      <c r="L50" s="38">
        <f t="shared" si="2"/>
        <v>0.27449845982189347</v>
      </c>
      <c r="M50" s="31">
        <f t="shared" si="7"/>
        <v>30164.106234591396</v>
      </c>
      <c r="N50" s="47">
        <v>0</v>
      </c>
      <c r="O50" s="20">
        <v>6.9099999999999995E-2</v>
      </c>
      <c r="P50" s="38">
        <f t="shared" si="3"/>
        <v>9.8960019952961137E-2</v>
      </c>
      <c r="Q50" s="32">
        <f t="shared" si="9"/>
        <v>10874.525695973769</v>
      </c>
      <c r="R50" s="47">
        <v>0</v>
      </c>
      <c r="S50" s="37">
        <f t="shared" si="4"/>
        <v>109888.07097192158</v>
      </c>
      <c r="T50" s="40">
        <f t="shared" si="8"/>
        <v>6.8501954517070196E-2</v>
      </c>
    </row>
    <row r="51" spans="2:20" x14ac:dyDescent="0.35">
      <c r="B51" s="11" t="s">
        <v>45</v>
      </c>
      <c r="C51" s="15">
        <v>-3.5400000000000001E-2</v>
      </c>
      <c r="D51" s="38">
        <f t="shared" si="0"/>
        <v>0.42728026040101558</v>
      </c>
      <c r="E51" s="32">
        <f t="shared" si="5"/>
        <v>46394.424830219563</v>
      </c>
      <c r="F51" s="47">
        <v>0</v>
      </c>
      <c r="G51" s="17">
        <v>-5.3199999999999997E-2</v>
      </c>
      <c r="H51" s="38">
        <f t="shared" si="1"/>
        <v>0.18095607127267785</v>
      </c>
      <c r="I51" s="32">
        <f t="shared" si="6"/>
        <v>19648.351736054483</v>
      </c>
      <c r="J51" s="47">
        <v>0</v>
      </c>
      <c r="K51" s="19">
        <v>3.9E-2</v>
      </c>
      <c r="L51" s="38">
        <f t="shared" si="2"/>
        <v>0.28863769246381793</v>
      </c>
      <c r="M51" s="31">
        <f t="shared" si="7"/>
        <v>31340.506377740461</v>
      </c>
      <c r="N51" s="47">
        <v>0</v>
      </c>
      <c r="O51" s="20">
        <v>2.9700000000000001E-2</v>
      </c>
      <c r="P51" s="38">
        <f t="shared" si="3"/>
        <v>0.1031259758624887</v>
      </c>
      <c r="Q51" s="32">
        <f t="shared" si="9"/>
        <v>11197.49910914419</v>
      </c>
      <c r="R51" s="47">
        <v>0</v>
      </c>
      <c r="S51" s="37">
        <f t="shared" si="4"/>
        <v>108580.78205315869</v>
      </c>
      <c r="T51" s="40">
        <f t="shared" si="8"/>
        <v>-1.1896549891179053E-2</v>
      </c>
    </row>
    <row r="52" spans="2:20" x14ac:dyDescent="0.35">
      <c r="B52" s="10" t="s">
        <v>46</v>
      </c>
      <c r="C52" s="15">
        <v>-3.5299999999999998E-2</v>
      </c>
      <c r="D52" s="38">
        <f t="shared" si="0"/>
        <v>0.41185600007311718</v>
      </c>
      <c r="E52" s="32">
        <f t="shared" si="5"/>
        <v>44756.701633712815</v>
      </c>
      <c r="F52" s="47">
        <v>0</v>
      </c>
      <c r="G52" s="17">
        <v>-2.2599999999999999E-2</v>
      </c>
      <c r="H52" s="38">
        <f t="shared" si="1"/>
        <v>0.17672003244676165</v>
      </c>
      <c r="I52" s="32">
        <f t="shared" si="6"/>
        <v>19204.298986819653</v>
      </c>
      <c r="J52" s="47">
        <v>0</v>
      </c>
      <c r="K52" s="19">
        <v>6.3399999999999998E-2</v>
      </c>
      <c r="L52" s="38">
        <f t="shared" si="2"/>
        <v>0.30668320204170252</v>
      </c>
      <c r="M52" s="31">
        <f t="shared" si="7"/>
        <v>33327.494482089205</v>
      </c>
      <c r="N52" s="47">
        <v>0</v>
      </c>
      <c r="O52" s="20">
        <v>1.6500000000000001E-2</v>
      </c>
      <c r="P52" s="38">
        <f t="shared" si="3"/>
        <v>0.10474076543841873</v>
      </c>
      <c r="Q52" s="32">
        <f t="shared" si="9"/>
        <v>11382.257844445068</v>
      </c>
      <c r="R52" s="47">
        <v>0</v>
      </c>
      <c r="S52" s="37">
        <f t="shared" si="4"/>
        <v>108670.75294706674</v>
      </c>
      <c r="T52" s="40">
        <f t="shared" si="8"/>
        <v>8.2860790101868531E-4</v>
      </c>
    </row>
    <row r="53" spans="2:20" x14ac:dyDescent="0.35">
      <c r="B53" s="11" t="s">
        <v>47</v>
      </c>
      <c r="C53" s="15">
        <v>-2.3800000000000002E-2</v>
      </c>
      <c r="D53" s="38">
        <f t="shared" si="0"/>
        <v>0.41689190090741424</v>
      </c>
      <c r="E53" s="32">
        <f t="shared" si="5"/>
        <v>43691.492134830449</v>
      </c>
      <c r="F53" s="47">
        <v>0</v>
      </c>
      <c r="G53" s="17">
        <v>-5.0099999999999999E-2</v>
      </c>
      <c r="H53" s="38">
        <f t="shared" si="1"/>
        <v>0.17406158250579479</v>
      </c>
      <c r="I53" s="32">
        <f t="shared" si="6"/>
        <v>18242.163607579987</v>
      </c>
      <c r="J53" s="47">
        <v>0</v>
      </c>
      <c r="K53" s="17">
        <v>-5.7000000000000002E-2</v>
      </c>
      <c r="L53" s="38">
        <f t="shared" si="2"/>
        <v>0.29987546826373818</v>
      </c>
      <c r="M53" s="31">
        <f t="shared" si="7"/>
        <v>31427.827296610121</v>
      </c>
      <c r="N53" s="47">
        <v>0</v>
      </c>
      <c r="O53" s="20">
        <v>5.1999999999999998E-3</v>
      </c>
      <c r="P53" s="38">
        <f t="shared" si="3"/>
        <v>0.10917104832305276</v>
      </c>
      <c r="Q53" s="32">
        <f t="shared" si="9"/>
        <v>11441.445585236183</v>
      </c>
      <c r="R53" s="47">
        <v>0</v>
      </c>
      <c r="S53" s="37">
        <f t="shared" si="4"/>
        <v>104802.92862425675</v>
      </c>
      <c r="T53" s="40">
        <f t="shared" si="8"/>
        <v>-3.5592136963420118E-2</v>
      </c>
    </row>
    <row r="54" spans="2:20" x14ac:dyDescent="0.35">
      <c r="B54" s="10" t="s">
        <v>48</v>
      </c>
      <c r="C54" s="15">
        <v>-1.14E-2</v>
      </c>
      <c r="D54" s="38">
        <f t="shared" si="0"/>
        <v>0.41580679849955415</v>
      </c>
      <c r="E54" s="32">
        <f t="shared" si="5"/>
        <v>43193.409124493381</v>
      </c>
      <c r="F54" s="47">
        <v>0</v>
      </c>
      <c r="G54" s="17">
        <v>-1.14E-2</v>
      </c>
      <c r="H54" s="38">
        <f t="shared" si="1"/>
        <v>0.17360852826827694</v>
      </c>
      <c r="I54" s="32">
        <f t="shared" si="6"/>
        <v>18034.202942453576</v>
      </c>
      <c r="J54" s="47">
        <v>0</v>
      </c>
      <c r="K54" s="17">
        <v>-2.93E-2</v>
      </c>
      <c r="L54" s="38">
        <f t="shared" si="2"/>
        <v>0.29367940420853561</v>
      </c>
      <c r="M54" s="31">
        <f t="shared" si="7"/>
        <v>30506.991956819445</v>
      </c>
      <c r="N54" s="47">
        <v>0</v>
      </c>
      <c r="O54" s="20">
        <v>6.1400000000000003E-2</v>
      </c>
      <c r="P54" s="38">
        <f t="shared" si="3"/>
        <v>0.11690526902363327</v>
      </c>
      <c r="Q54" s="32">
        <f t="shared" si="9"/>
        <v>12143.950344169683</v>
      </c>
      <c r="R54" s="47">
        <v>0</v>
      </c>
      <c r="S54" s="37">
        <f t="shared" si="4"/>
        <v>103878.55436793609</v>
      </c>
      <c r="T54" s="40">
        <f t="shared" si="8"/>
        <v>-8.8201185640027768E-3</v>
      </c>
    </row>
    <row r="55" spans="2:20" x14ac:dyDescent="0.35">
      <c r="B55" s="9" t="s">
        <v>49</v>
      </c>
      <c r="C55" s="15">
        <v>-7.2800000000000004E-2</v>
      </c>
      <c r="D55" s="38">
        <f t="shared" si="0"/>
        <v>0.44562402324403089</v>
      </c>
      <c r="E55" s="32">
        <f t="shared" si="5"/>
        <v>43342.287708230266</v>
      </c>
      <c r="F55" s="49">
        <v>3551.94</v>
      </c>
      <c r="G55" s="17">
        <v>-7.7100000000000002E-2</v>
      </c>
      <c r="H55" s="38">
        <f t="shared" si="1"/>
        <v>0.19713663838896164</v>
      </c>
      <c r="I55" s="32">
        <f t="shared" si="6"/>
        <v>19173.905474590407</v>
      </c>
      <c r="J55" s="49">
        <v>2741.51</v>
      </c>
      <c r="K55" s="17">
        <v>-0.10050000000000001</v>
      </c>
      <c r="L55" s="38">
        <f t="shared" si="2"/>
        <v>0.24017284043274423</v>
      </c>
      <c r="M55" s="31">
        <f t="shared" si="7"/>
        <v>23359.69294015909</v>
      </c>
      <c r="N55" s="48">
        <v>-4537.3500000000004</v>
      </c>
      <c r="O55" s="20">
        <v>9.6100000000000005E-2</v>
      </c>
      <c r="P55" s="38">
        <f t="shared" si="3"/>
        <v>0.11706649793426328</v>
      </c>
      <c r="Q55" s="32">
        <f t="shared" si="9"/>
        <v>11386.122762244389</v>
      </c>
      <c r="R55" s="48">
        <v>-1756.1</v>
      </c>
      <c r="S55" s="37">
        <f t="shared" si="4"/>
        <v>97262.008885224146</v>
      </c>
      <c r="T55" s="40">
        <f t="shared" si="8"/>
        <v>-6.3695009263184832E-2</v>
      </c>
    </row>
    <row r="56" spans="2:20" x14ac:dyDescent="0.35">
      <c r="B56" s="10" t="s">
        <v>50</v>
      </c>
      <c r="C56" s="15">
        <v>-8.3000000000000004E-2</v>
      </c>
      <c r="D56" s="38">
        <f t="shared" si="0"/>
        <v>0.35112887523215031</v>
      </c>
      <c r="E56" s="32">
        <f t="shared" si="5"/>
        <v>32348.099068447154</v>
      </c>
      <c r="F56" s="48">
        <v>-8066.28</v>
      </c>
      <c r="G56" s="17">
        <v>-7.7799999999999994E-2</v>
      </c>
      <c r="H56" s="38">
        <f t="shared" si="1"/>
        <v>0.19193469226781754</v>
      </c>
      <c r="I56" s="32">
        <f t="shared" si="6"/>
        <v>17682.175628667272</v>
      </c>
      <c r="J56" s="47">
        <v>0</v>
      </c>
      <c r="K56" s="17">
        <v>-3.1E-2</v>
      </c>
      <c r="L56" s="38">
        <f t="shared" si="2"/>
        <v>0.24570199773055043</v>
      </c>
      <c r="M56" s="31">
        <f t="shared" si="7"/>
        <v>22635.542459014159</v>
      </c>
      <c r="N56" s="47">
        <v>0</v>
      </c>
      <c r="O56" s="20">
        <v>4.0000000000000002E-4</v>
      </c>
      <c r="P56" s="38">
        <f t="shared" si="3"/>
        <v>0.21123443476948175</v>
      </c>
      <c r="Q56" s="32">
        <f t="shared" si="9"/>
        <v>19460.183723349288</v>
      </c>
      <c r="R56" s="49">
        <v>8066.28</v>
      </c>
      <c r="S56" s="37">
        <f t="shared" si="4"/>
        <v>92126.00087947787</v>
      </c>
      <c r="T56" s="40">
        <f t="shared" si="8"/>
        <v>-5.2805900933088012E-2</v>
      </c>
    </row>
    <row r="57" spans="2:20" x14ac:dyDescent="0.35">
      <c r="B57" s="11" t="s">
        <v>51</v>
      </c>
      <c r="C57" s="20">
        <v>3.6799999999999999E-2</v>
      </c>
      <c r="D57" s="38">
        <f t="shared" si="0"/>
        <v>0.35819671733526209</v>
      </c>
      <c r="E57" s="32">
        <f t="shared" si="5"/>
        <v>33538.509114166009</v>
      </c>
      <c r="F57" s="47">
        <v>0</v>
      </c>
      <c r="G57" s="19">
        <v>3.44E-2</v>
      </c>
      <c r="H57" s="38">
        <f t="shared" si="1"/>
        <v>0.19534489231965621</v>
      </c>
      <c r="I57" s="32">
        <f t="shared" si="6"/>
        <v>18290.442470293427</v>
      </c>
      <c r="J57" s="47">
        <v>0</v>
      </c>
      <c r="K57" s="19">
        <v>3.8999999999999998E-3</v>
      </c>
      <c r="L57" s="38">
        <f t="shared" si="2"/>
        <v>0.24269409491428784</v>
      </c>
      <c r="M57" s="31">
        <f t="shared" si="7"/>
        <v>22723.821074604315</v>
      </c>
      <c r="N57" s="47">
        <v>0</v>
      </c>
      <c r="O57" s="15">
        <v>-1.9599999999999999E-2</v>
      </c>
      <c r="P57" s="38">
        <f t="shared" si="3"/>
        <v>0.20376429543079383</v>
      </c>
      <c r="Q57" s="32">
        <f t="shared" si="9"/>
        <v>19078.764122371642</v>
      </c>
      <c r="R57" s="47">
        <v>0</v>
      </c>
      <c r="S57" s="37">
        <f t="shared" si="4"/>
        <v>93631.536781435396</v>
      </c>
      <c r="T57" s="40">
        <f t="shared" si="8"/>
        <v>1.6342138892223357E-2</v>
      </c>
    </row>
    <row r="58" spans="2:20" x14ac:dyDescent="0.35">
      <c r="B58" s="10" t="s">
        <v>52</v>
      </c>
      <c r="C58" s="20">
        <v>2.41E-2</v>
      </c>
      <c r="D58" s="38">
        <f t="shared" si="0"/>
        <v>0.36120262645403328</v>
      </c>
      <c r="E58" s="32">
        <f t="shared" si="5"/>
        <v>34346.787183817411</v>
      </c>
      <c r="F58" s="47">
        <v>0</v>
      </c>
      <c r="G58" s="19">
        <v>2.2200000000000001E-2</v>
      </c>
      <c r="H58" s="38">
        <f t="shared" si="1"/>
        <v>0.19661872195528432</v>
      </c>
      <c r="I58" s="32">
        <f t="shared" si="6"/>
        <v>18696.490293133942</v>
      </c>
      <c r="J58" s="47">
        <v>0</v>
      </c>
      <c r="K58" s="19">
        <v>6.7000000000000004E-2</v>
      </c>
      <c r="L58" s="38">
        <f t="shared" si="2"/>
        <v>0.25498260919276072</v>
      </c>
      <c r="M58" s="31">
        <f t="shared" si="7"/>
        <v>24246.317086602805</v>
      </c>
      <c r="N58" s="47">
        <v>0</v>
      </c>
      <c r="O58" s="15">
        <v>-6.7000000000000004E-2</v>
      </c>
      <c r="P58" s="38">
        <f t="shared" si="3"/>
        <v>0.18719604239792167</v>
      </c>
      <c r="Q58" s="32">
        <f t="shared" si="9"/>
        <v>17800.486926172744</v>
      </c>
      <c r="R58" s="47">
        <v>0</v>
      </c>
      <c r="S58" s="37">
        <f t="shared" si="4"/>
        <v>95090.081489726901</v>
      </c>
      <c r="T58" s="40">
        <f t="shared" si="8"/>
        <v>1.5577494062670283E-2</v>
      </c>
    </row>
    <row r="59" spans="2:20" x14ac:dyDescent="0.35">
      <c r="B59" s="11" t="s">
        <v>53</v>
      </c>
      <c r="C59" s="15">
        <v>-2.9600000000000001E-2</v>
      </c>
      <c r="D59" s="38">
        <f t="shared" si="0"/>
        <v>0.35664980356667086</v>
      </c>
      <c r="E59" s="32">
        <f t="shared" si="5"/>
        <v>33330.122283176417</v>
      </c>
      <c r="F59" s="47">
        <v>0</v>
      </c>
      <c r="G59" s="19">
        <v>4.1000000000000003E-3</v>
      </c>
      <c r="H59" s="38">
        <f t="shared" si="1"/>
        <v>0.20088251527756096</v>
      </c>
      <c r="I59" s="32">
        <f t="shared" si="6"/>
        <v>18773.14590333579</v>
      </c>
      <c r="J59" s="47">
        <v>0</v>
      </c>
      <c r="K59" s="17">
        <v>-9.4999999999999998E-3</v>
      </c>
      <c r="L59" s="38">
        <f t="shared" si="2"/>
        <v>0.25698356079320611</v>
      </c>
      <c r="M59" s="31">
        <f t="shared" si="7"/>
        <v>24015.977074280079</v>
      </c>
      <c r="N59" s="47">
        <v>0</v>
      </c>
      <c r="O59" s="15">
        <v>-2.6200000000000001E-2</v>
      </c>
      <c r="P59" s="38">
        <f t="shared" si="3"/>
        <v>0.18548412036256201</v>
      </c>
      <c r="Q59" s="32">
        <f t="shared" si="9"/>
        <v>17334.114168707019</v>
      </c>
      <c r="R59" s="47">
        <v>0</v>
      </c>
      <c r="S59" s="37">
        <f t="shared" si="4"/>
        <v>93453.359429499309</v>
      </c>
      <c r="T59" s="40">
        <f t="shared" si="8"/>
        <v>-1.7212332081179449E-2</v>
      </c>
    </row>
    <row r="60" spans="2:20" x14ac:dyDescent="0.35">
      <c r="B60" s="10" t="s">
        <v>54</v>
      </c>
      <c r="C60" s="15">
        <v>-0.11</v>
      </c>
      <c r="D60" s="38">
        <f t="shared" si="0"/>
        <v>0.34835794829795935</v>
      </c>
      <c r="E60" s="32">
        <f t="shared" si="5"/>
        <v>29663.808832027011</v>
      </c>
      <c r="F60" s="47">
        <v>0</v>
      </c>
      <c r="G60" s="17">
        <v>-9.9500000000000005E-2</v>
      </c>
      <c r="H60" s="38">
        <f t="shared" si="1"/>
        <v>0.1985270014254755</v>
      </c>
      <c r="I60" s="32">
        <f t="shared" si="6"/>
        <v>16905.21788595388</v>
      </c>
      <c r="J60" s="47">
        <v>0</v>
      </c>
      <c r="K60" s="17">
        <v>-0.1265</v>
      </c>
      <c r="L60" s="38">
        <f t="shared" si="2"/>
        <v>0.24635533973746426</v>
      </c>
      <c r="M60" s="31">
        <f t="shared" si="7"/>
        <v>20977.955974383651</v>
      </c>
      <c r="N60" s="47">
        <v>0</v>
      </c>
      <c r="O60" s="20">
        <v>1.5699999999999999E-2</v>
      </c>
      <c r="P60" s="38">
        <f t="shared" si="3"/>
        <v>0.2067597105391008</v>
      </c>
      <c r="Q60" s="32">
        <f t="shared" si="9"/>
        <v>17606.259761155721</v>
      </c>
      <c r="R60" s="47">
        <v>0</v>
      </c>
      <c r="S60" s="37">
        <f t="shared" si="4"/>
        <v>85153.242453520274</v>
      </c>
      <c r="T60" s="40">
        <f t="shared" si="8"/>
        <v>-8.8815608413099323E-2</v>
      </c>
    </row>
    <row r="61" spans="2:20" x14ac:dyDescent="0.35">
      <c r="B61" s="11" t="s">
        <v>55</v>
      </c>
      <c r="C61" s="15">
        <v>-3.04E-2</v>
      </c>
      <c r="D61" s="38">
        <f t="shared" si="0"/>
        <v>0.34944835113987188</v>
      </c>
      <c r="E61" s="32">
        <f t="shared" si="5"/>
        <v>28762.029043533388</v>
      </c>
      <c r="F61" s="47">
        <v>0</v>
      </c>
      <c r="G61" s="19">
        <v>1.15E-2</v>
      </c>
      <c r="H61" s="38">
        <f t="shared" si="1"/>
        <v>0.20775435428409911</v>
      </c>
      <c r="I61" s="32">
        <f t="shared" si="6"/>
        <v>17099.627891642351</v>
      </c>
      <c r="J61" s="47">
        <v>0</v>
      </c>
      <c r="K61" s="17">
        <v>-7.46E-2</v>
      </c>
      <c r="L61" s="38">
        <f t="shared" si="2"/>
        <v>0.23586100238966407</v>
      </c>
      <c r="M61" s="31">
        <f t="shared" si="7"/>
        <v>19413.000458694631</v>
      </c>
      <c r="N61" s="47">
        <v>0</v>
      </c>
      <c r="O61" s="15">
        <v>-3.2599999999999997E-2</v>
      </c>
      <c r="P61" s="38">
        <f t="shared" si="3"/>
        <v>0.20693629218636492</v>
      </c>
      <c r="Q61" s="32">
        <f t="shared" si="9"/>
        <v>17032.295692942043</v>
      </c>
      <c r="R61" s="47">
        <v>0</v>
      </c>
      <c r="S61" s="37">
        <f t="shared" si="4"/>
        <v>82306.953086812413</v>
      </c>
      <c r="T61" s="40">
        <f t="shared" si="8"/>
        <v>-3.3425496019854672E-2</v>
      </c>
    </row>
    <row r="62" spans="2:20" x14ac:dyDescent="0.35">
      <c r="B62" s="10" t="s">
        <v>56</v>
      </c>
      <c r="C62" s="20">
        <v>5.9499999999999997E-2</v>
      </c>
      <c r="D62" s="38">
        <f t="shared" si="0"/>
        <v>0.3616785197032743</v>
      </c>
      <c r="E62" s="32">
        <f t="shared" si="5"/>
        <v>30473.369771623624</v>
      </c>
      <c r="F62" s="47">
        <v>0</v>
      </c>
      <c r="G62" s="19">
        <v>8.4199999999999997E-2</v>
      </c>
      <c r="H62" s="38">
        <f t="shared" si="1"/>
        <v>0.22003830846006298</v>
      </c>
      <c r="I62" s="32">
        <f t="shared" si="6"/>
        <v>18539.416560118636</v>
      </c>
      <c r="J62" s="47">
        <v>0</v>
      </c>
      <c r="K62" s="17">
        <v>-1.9400000000000001E-2</v>
      </c>
      <c r="L62" s="38">
        <f t="shared" si="2"/>
        <v>0.22593670389200834</v>
      </c>
      <c r="M62" s="31">
        <f t="shared" si="7"/>
        <v>19036.388249795953</v>
      </c>
      <c r="N62" s="47">
        <v>0</v>
      </c>
      <c r="O62" s="15">
        <v>-4.8500000000000001E-2</v>
      </c>
      <c r="P62" s="38">
        <f t="shared" si="3"/>
        <v>0.1923464679446544</v>
      </c>
      <c r="Q62" s="32">
        <f t="shared" si="9"/>
        <v>16206.229351834354</v>
      </c>
      <c r="R62" s="47">
        <v>0</v>
      </c>
      <c r="S62" s="37">
        <f t="shared" si="4"/>
        <v>84255.403933372567</v>
      </c>
      <c r="T62" s="40">
        <f t="shared" si="8"/>
        <v>2.3672979906145253E-2</v>
      </c>
    </row>
    <row r="63" spans="2:20" x14ac:dyDescent="0.35">
      <c r="B63" s="11" t="s">
        <v>57</v>
      </c>
      <c r="C63" s="20">
        <v>9.11E-2</v>
      </c>
      <c r="D63" s="38">
        <f t="shared" si="0"/>
        <v>0.35519015983198954</v>
      </c>
      <c r="E63" s="32">
        <f t="shared" si="5"/>
        <v>33249.493757818535</v>
      </c>
      <c r="F63" s="47">
        <v>0</v>
      </c>
      <c r="G63" s="19">
        <v>0.1047</v>
      </c>
      <c r="H63" s="38">
        <f t="shared" si="1"/>
        <v>0.21878437619052118</v>
      </c>
      <c r="I63" s="32">
        <f t="shared" si="6"/>
        <v>20480.493473963055</v>
      </c>
      <c r="J63" s="47">
        <v>0</v>
      </c>
      <c r="K63" s="19">
        <v>2.3900000000000001E-2</v>
      </c>
      <c r="L63" s="38">
        <f t="shared" si="2"/>
        <v>0.20821786306156972</v>
      </c>
      <c r="M63" s="31">
        <f t="shared" si="7"/>
        <v>19491.357928966077</v>
      </c>
      <c r="N63" s="47">
        <v>0</v>
      </c>
      <c r="O63" s="20">
        <v>0.2581</v>
      </c>
      <c r="P63" s="38">
        <f t="shared" si="3"/>
        <v>0.2178076009159195</v>
      </c>
      <c r="Q63" s="32">
        <f t="shared" si="9"/>
        <v>20389.057147542801</v>
      </c>
      <c r="R63" s="47">
        <v>0</v>
      </c>
      <c r="S63" s="37">
        <f t="shared" si="4"/>
        <v>93610.402308290475</v>
      </c>
      <c r="T63" s="40">
        <f t="shared" si="8"/>
        <v>0.11103143464027121</v>
      </c>
    </row>
    <row r="64" spans="2:20" x14ac:dyDescent="0.35">
      <c r="B64" s="10" t="s">
        <v>58</v>
      </c>
      <c r="C64" s="15">
        <v>-0.1089</v>
      </c>
      <c r="D64" s="38">
        <f t="shared" si="0"/>
        <v>0.3669501982908665</v>
      </c>
      <c r="E64" s="32">
        <f t="shared" si="5"/>
        <v>29628.623887592097</v>
      </c>
      <c r="F64" s="47">
        <v>0</v>
      </c>
      <c r="G64" s="17">
        <v>-0.15190000000000001</v>
      </c>
      <c r="H64" s="38">
        <f t="shared" si="1"/>
        <v>0.21512115730293224</v>
      </c>
      <c r="I64" s="32">
        <f t="shared" si="6"/>
        <v>17369.506515268069</v>
      </c>
      <c r="J64" s="47">
        <v>0</v>
      </c>
      <c r="K64" s="17">
        <v>-0.20150000000000001</v>
      </c>
      <c r="L64" s="38">
        <f t="shared" si="2"/>
        <v>0.19275811157399447</v>
      </c>
      <c r="M64" s="31">
        <f t="shared" si="7"/>
        <v>15563.849306279413</v>
      </c>
      <c r="N64" s="47">
        <v>0</v>
      </c>
      <c r="O64" s="15">
        <v>-0.10829999999999999</v>
      </c>
      <c r="P64" s="38">
        <f t="shared" si="3"/>
        <v>0.22517053283220675</v>
      </c>
      <c r="Q64" s="32">
        <f t="shared" si="9"/>
        <v>18180.922258463914</v>
      </c>
      <c r="R64" s="47">
        <v>0</v>
      </c>
      <c r="S64" s="37">
        <f t="shared" si="4"/>
        <v>80742.901967603495</v>
      </c>
      <c r="T64" s="40">
        <f t="shared" si="8"/>
        <v>-0.13745801773514421</v>
      </c>
    </row>
    <row r="65" spans="2:20" x14ac:dyDescent="0.35">
      <c r="B65" s="11" t="s">
        <v>59</v>
      </c>
      <c r="C65" s="20">
        <v>8.6999999999999994E-3</v>
      </c>
      <c r="D65" s="38">
        <f t="shared" si="0"/>
        <v>0.35450107459441954</v>
      </c>
      <c r="E65" s="32">
        <f t="shared" si="5"/>
        <v>29886.392915414148</v>
      </c>
      <c r="F65" s="47">
        <v>0</v>
      </c>
      <c r="G65" s="17">
        <v>-3.9699999999999999E-2</v>
      </c>
      <c r="H65" s="38">
        <f t="shared" si="1"/>
        <v>0.19785109715972299</v>
      </c>
      <c r="I65" s="32">
        <f t="shared" si="6"/>
        <v>16679.937106611927</v>
      </c>
      <c r="J65" s="47">
        <v>0</v>
      </c>
      <c r="K65" s="17">
        <v>-1.6E-2</v>
      </c>
      <c r="L65" s="38">
        <f t="shared" si="2"/>
        <v>0.1816586865603016</v>
      </c>
      <c r="M65" s="31">
        <f t="shared" si="7"/>
        <v>15314.827717378943</v>
      </c>
      <c r="N65" s="47">
        <v>0</v>
      </c>
      <c r="O65" s="20">
        <v>0.2334</v>
      </c>
      <c r="P65" s="38">
        <f t="shared" si="3"/>
        <v>0.26598914168555593</v>
      </c>
      <c r="Q65" s="32">
        <f t="shared" si="9"/>
        <v>22424.34951358939</v>
      </c>
      <c r="R65" s="47">
        <v>0</v>
      </c>
      <c r="S65" s="37">
        <f t="shared" si="4"/>
        <v>84305.507252994401</v>
      </c>
      <c r="T65" s="40">
        <f t="shared" si="8"/>
        <v>4.4122829358057114E-2</v>
      </c>
    </row>
    <row r="66" spans="2:20" x14ac:dyDescent="0.35">
      <c r="B66" s="10" t="s">
        <v>60</v>
      </c>
      <c r="C66" s="20">
        <v>2.2800000000000001E-2</v>
      </c>
      <c r="D66" s="38">
        <f t="shared" si="0"/>
        <v>0.34134126761661382</v>
      </c>
      <c r="E66" s="32">
        <f t="shared" si="5"/>
        <v>30567.802673885592</v>
      </c>
      <c r="F66" s="47">
        <v>0</v>
      </c>
      <c r="G66" s="19">
        <v>5.5500000000000001E-2</v>
      </c>
      <c r="H66" s="38">
        <f t="shared" si="1"/>
        <v>0.1965971520247248</v>
      </c>
      <c r="I66" s="32">
        <f t="shared" si="6"/>
        <v>17605.673616028889</v>
      </c>
      <c r="J66" s="47">
        <v>0</v>
      </c>
      <c r="K66" s="19">
        <v>0.1041</v>
      </c>
      <c r="L66" s="38">
        <f t="shared" si="2"/>
        <v>0.18881874263881088</v>
      </c>
      <c r="M66" s="31">
        <f t="shared" si="7"/>
        <v>16909.101282758093</v>
      </c>
      <c r="N66" s="47">
        <v>0</v>
      </c>
      <c r="O66" s="20">
        <v>9.1200000000000003E-2</v>
      </c>
      <c r="P66" s="38">
        <f t="shared" si="3"/>
        <v>0.27324283771985042</v>
      </c>
      <c r="Q66" s="32">
        <f t="shared" si="9"/>
        <v>24469.450189228741</v>
      </c>
      <c r="R66" s="47">
        <v>0</v>
      </c>
      <c r="S66" s="37">
        <f t="shared" si="4"/>
        <v>89552.027761901321</v>
      </c>
      <c r="T66" s="40">
        <f t="shared" si="8"/>
        <v>6.2232239385767718E-2</v>
      </c>
    </row>
    <row r="67" spans="2:20" x14ac:dyDescent="0.35">
      <c r="B67" s="9" t="s">
        <v>61</v>
      </c>
      <c r="C67" s="15">
        <v>-9.9000000000000005E-2</v>
      </c>
      <c r="D67" s="38">
        <f t="shared" si="0"/>
        <v>0.34114015485006821</v>
      </c>
      <c r="E67" s="32">
        <f t="shared" si="5"/>
        <v>28240.234619170918</v>
      </c>
      <c r="F67" s="49">
        <v>775.41</v>
      </c>
      <c r="G67" s="17">
        <v>-0.1099</v>
      </c>
      <c r="H67" s="38">
        <f t="shared" si="1"/>
        <v>0.19257901372576747</v>
      </c>
      <c r="I67" s="32">
        <f t="shared" si="6"/>
        <v>15942.059159627313</v>
      </c>
      <c r="J67" s="49">
        <v>304.74</v>
      </c>
      <c r="K67" s="17">
        <v>-0.1062</v>
      </c>
      <c r="L67" s="38">
        <f t="shared" si="2"/>
        <v>0.24172435450768906</v>
      </c>
      <c r="M67" s="31">
        <f t="shared" si="7"/>
        <v>20010.404484529183</v>
      </c>
      <c r="N67" s="49">
        <v>5478.91</v>
      </c>
      <c r="O67" s="20">
        <v>3.7900000000000003E-2</v>
      </c>
      <c r="P67" s="38">
        <f t="shared" si="3"/>
        <v>0.22455647691647523</v>
      </c>
      <c r="Q67" s="32">
        <f t="shared" si="9"/>
        <v>18589.21473540051</v>
      </c>
      <c r="R67" s="48">
        <v>-6559.04</v>
      </c>
      <c r="S67" s="37">
        <f t="shared" si="4"/>
        <v>82781.91299872793</v>
      </c>
      <c r="T67" s="40">
        <f t="shared" si="8"/>
        <v>-7.5599793018351291E-2</v>
      </c>
    </row>
    <row r="68" spans="2:20" x14ac:dyDescent="0.35">
      <c r="B68" s="10" t="s">
        <v>62</v>
      </c>
      <c r="C68" s="15">
        <v>-8.7400000000000005E-2</v>
      </c>
      <c r="D68" s="38">
        <f t="shared" si="0"/>
        <v>0.32701414734976891</v>
      </c>
      <c r="E68" s="32">
        <f t="shared" si="5"/>
        <v>25772.038113455379</v>
      </c>
      <c r="F68" s="47">
        <v>0</v>
      </c>
      <c r="G68" s="17">
        <v>-9.7600000000000006E-2</v>
      </c>
      <c r="H68" s="38">
        <f t="shared" si="1"/>
        <v>0.18254135910344749</v>
      </c>
      <c r="I68" s="32">
        <f t="shared" si="6"/>
        <v>14386.114185647688</v>
      </c>
      <c r="J68" s="47">
        <v>0</v>
      </c>
      <c r="K68" s="17">
        <v>-3.9E-2</v>
      </c>
      <c r="L68" s="38">
        <f t="shared" si="2"/>
        <v>0.24400404825897243</v>
      </c>
      <c r="M68" s="31">
        <f t="shared" si="7"/>
        <v>19229.998709632546</v>
      </c>
      <c r="N68" s="47">
        <v>0</v>
      </c>
      <c r="O68" s="20">
        <v>4.48E-2</v>
      </c>
      <c r="P68" s="38">
        <f t="shared" si="3"/>
        <v>0.24644044528781109</v>
      </c>
      <c r="Q68" s="32">
        <f t="shared" si="9"/>
        <v>19422.011555546454</v>
      </c>
      <c r="R68" s="47">
        <v>0</v>
      </c>
      <c r="S68" s="37">
        <f t="shared" si="4"/>
        <v>78810.162564282073</v>
      </c>
      <c r="T68" s="40">
        <f t="shared" si="8"/>
        <v>-4.7978480933472678E-2</v>
      </c>
    </row>
    <row r="69" spans="2:20" x14ac:dyDescent="0.35">
      <c r="B69" s="11" t="s">
        <v>63</v>
      </c>
      <c r="C69" s="20">
        <v>7.5300000000000006E-2</v>
      </c>
      <c r="D69" s="38">
        <f t="shared" si="0"/>
        <v>0.33000802446689104</v>
      </c>
      <c r="E69" s="32">
        <f t="shared" si="5"/>
        <v>27712.672583398569</v>
      </c>
      <c r="F69" s="47">
        <v>0</v>
      </c>
      <c r="G69" s="19">
        <v>6.4000000000000001E-2</v>
      </c>
      <c r="H69" s="38">
        <f t="shared" si="1"/>
        <v>0.18227672653286606</v>
      </c>
      <c r="I69" s="32">
        <f t="shared" si="6"/>
        <v>15306.825493529141</v>
      </c>
      <c r="J69" s="47">
        <v>0</v>
      </c>
      <c r="K69" s="19">
        <v>0.15770000000000001</v>
      </c>
      <c r="L69" s="38">
        <f t="shared" si="2"/>
        <v>0.26510711156309752</v>
      </c>
      <c r="M69" s="31">
        <f t="shared" si="7"/>
        <v>22262.569506141597</v>
      </c>
      <c r="N69" s="47">
        <v>0</v>
      </c>
      <c r="O69" s="15">
        <v>-3.7499999999999999E-2</v>
      </c>
      <c r="P69" s="38">
        <f t="shared" si="3"/>
        <v>0.22260813743714544</v>
      </c>
      <c r="Q69" s="32">
        <f t="shared" si="9"/>
        <v>18693.686122213461</v>
      </c>
      <c r="R69" s="47">
        <v>0</v>
      </c>
      <c r="S69" s="37">
        <f t="shared" si="4"/>
        <v>83975.753705282768</v>
      </c>
      <c r="T69" s="40">
        <f t="shared" si="8"/>
        <v>6.5544733990205106E-2</v>
      </c>
    </row>
    <row r="70" spans="2:20" x14ac:dyDescent="0.35">
      <c r="B70" s="10" t="s">
        <v>64</v>
      </c>
      <c r="C70" s="20">
        <v>2.2599999999999999E-2</v>
      </c>
      <c r="D70" s="38">
        <f t="shared" si="0"/>
        <v>0.33041436078238956</v>
      </c>
      <c r="E70" s="32">
        <f t="shared" si="5"/>
        <v>28338.978983783378</v>
      </c>
      <c r="F70" s="47">
        <v>0</v>
      </c>
      <c r="G70" s="19">
        <v>7.8600000000000003E-2</v>
      </c>
      <c r="H70" s="38">
        <f t="shared" si="1"/>
        <v>0.19249535871113521</v>
      </c>
      <c r="I70" s="32">
        <f t="shared" si="6"/>
        <v>16509.94197732053</v>
      </c>
      <c r="J70" s="47">
        <v>0</v>
      </c>
      <c r="K70" s="19">
        <v>8.0199999999999994E-2</v>
      </c>
      <c r="L70" s="38">
        <f t="shared" si="2"/>
        <v>0.28038461320876651</v>
      </c>
      <c r="M70" s="31">
        <f t="shared" si="7"/>
        <v>24048.027580534152</v>
      </c>
      <c r="N70" s="47">
        <v>0</v>
      </c>
      <c r="O70" s="15">
        <v>-9.7500000000000003E-2</v>
      </c>
      <c r="P70" s="38">
        <f t="shared" si="3"/>
        <v>0.19670566729770875</v>
      </c>
      <c r="Q70" s="32">
        <f t="shared" si="9"/>
        <v>16871.05172529765</v>
      </c>
      <c r="R70" s="47">
        <v>0</v>
      </c>
      <c r="S70" s="37">
        <f t="shared" si="4"/>
        <v>85768.000266935705</v>
      </c>
      <c r="T70" s="40">
        <f t="shared" si="8"/>
        <v>2.1342429005673624E-2</v>
      </c>
    </row>
    <row r="71" spans="2:20" x14ac:dyDescent="0.35">
      <c r="B71" s="11" t="s">
        <v>65</v>
      </c>
      <c r="C71" s="15">
        <v>-3.2000000000000001E-2</v>
      </c>
      <c r="D71" s="38">
        <f t="shared" si="0"/>
        <v>0.31935383381999388</v>
      </c>
      <c r="E71" s="32">
        <f t="shared" si="5"/>
        <v>27432.13165630231</v>
      </c>
      <c r="F71" s="47">
        <v>0</v>
      </c>
      <c r="G71" s="17">
        <v>-4.9500000000000002E-2</v>
      </c>
      <c r="H71" s="38">
        <f t="shared" si="1"/>
        <v>0.182688094483345</v>
      </c>
      <c r="I71" s="32">
        <f t="shared" si="6"/>
        <v>15692.699849443165</v>
      </c>
      <c r="J71" s="47">
        <v>0</v>
      </c>
      <c r="K71" s="19">
        <v>6.5699999999999995E-2</v>
      </c>
      <c r="L71" s="38">
        <f t="shared" si="2"/>
        <v>0.29835066134469379</v>
      </c>
      <c r="M71" s="31">
        <f t="shared" si="7"/>
        <v>25627.982992575246</v>
      </c>
      <c r="N71" s="47">
        <v>0</v>
      </c>
      <c r="O71" s="20">
        <v>1.6299999999999999E-2</v>
      </c>
      <c r="P71" s="38">
        <f t="shared" si="3"/>
        <v>0.19960741035196738</v>
      </c>
      <c r="Q71" s="32">
        <f t="shared" si="9"/>
        <v>17146.049868420003</v>
      </c>
      <c r="R71" s="47">
        <v>0</v>
      </c>
      <c r="S71" s="37">
        <f t="shared" si="4"/>
        <v>85898.864366740716</v>
      </c>
      <c r="T71" s="40">
        <f t="shared" si="8"/>
        <v>1.525791663530951E-3</v>
      </c>
    </row>
    <row r="72" spans="2:20" x14ac:dyDescent="0.35">
      <c r="B72" s="10" t="s">
        <v>66</v>
      </c>
      <c r="C72" s="15">
        <v>-2.3300000000000001E-2</v>
      </c>
      <c r="D72" s="38">
        <f t="shared" si="0"/>
        <v>0.32477830734063623</v>
      </c>
      <c r="E72" s="32">
        <f t="shared" si="5"/>
        <v>26792.962988710467</v>
      </c>
      <c r="F72" s="47">
        <v>0</v>
      </c>
      <c r="G72" s="17">
        <v>-5.7999999999999996E-3</v>
      </c>
      <c r="H72" s="38">
        <f t="shared" si="1"/>
        <v>0.18912010349779479</v>
      </c>
      <c r="I72" s="32">
        <f t="shared" si="6"/>
        <v>15601.682190316395</v>
      </c>
      <c r="J72" s="47">
        <v>0</v>
      </c>
      <c r="K72" s="17">
        <v>-5.3100000000000001E-2</v>
      </c>
      <c r="L72" s="38">
        <f t="shared" si="2"/>
        <v>0.29416081055520593</v>
      </c>
      <c r="M72" s="31">
        <f t="shared" si="7"/>
        <v>24267.137095669499</v>
      </c>
      <c r="N72" s="47">
        <v>0</v>
      </c>
      <c r="O72" s="15">
        <v>-7.6499999999999999E-2</v>
      </c>
      <c r="P72" s="38">
        <f t="shared" si="3"/>
        <v>0.19194077860636297</v>
      </c>
      <c r="Q72" s="32">
        <f t="shared" si="9"/>
        <v>15834.377053485872</v>
      </c>
      <c r="R72" s="47">
        <v>0</v>
      </c>
      <c r="S72" s="37">
        <f t="shared" si="4"/>
        <v>82496.159328182242</v>
      </c>
      <c r="T72" s="40">
        <f t="shared" si="8"/>
        <v>-3.9612922285337859E-2</v>
      </c>
    </row>
    <row r="73" spans="2:20" x14ac:dyDescent="0.35">
      <c r="B73" s="11" t="s">
        <v>67</v>
      </c>
      <c r="C73" s="20">
        <v>3.4000000000000002E-2</v>
      </c>
      <c r="D73" s="38">
        <f t="shared" si="0"/>
        <v>0.32333873619034614</v>
      </c>
      <c r="E73" s="32">
        <f t="shared" si="5"/>
        <v>27703.923730326624</v>
      </c>
      <c r="F73" s="47">
        <v>0</v>
      </c>
      <c r="G73" s="19">
        <v>4.7300000000000002E-2</v>
      </c>
      <c r="H73" s="38">
        <f t="shared" si="1"/>
        <v>0.19070364065523795</v>
      </c>
      <c r="I73" s="32">
        <f t="shared" si="6"/>
        <v>16339.64175791836</v>
      </c>
      <c r="J73" s="47">
        <v>0</v>
      </c>
      <c r="K73" s="19">
        <v>6.8699999999999997E-2</v>
      </c>
      <c r="L73" s="38">
        <f t="shared" si="2"/>
        <v>0.30268493534668278</v>
      </c>
      <c r="M73" s="31">
        <f t="shared" si="7"/>
        <v>25934.289414141993</v>
      </c>
      <c r="N73" s="47">
        <v>0</v>
      </c>
      <c r="O73" s="15">
        <v>-8.3000000000000001E-3</v>
      </c>
      <c r="P73" s="38">
        <f t="shared" si="3"/>
        <v>0.18327268780773326</v>
      </c>
      <c r="Q73" s="32">
        <f t="shared" si="9"/>
        <v>15702.95172394194</v>
      </c>
      <c r="R73" s="47">
        <v>0</v>
      </c>
      <c r="S73" s="37">
        <f t="shared" si="4"/>
        <v>85680.806626328907</v>
      </c>
      <c r="T73" s="40">
        <f t="shared" si="8"/>
        <v>3.8603582567736883E-2</v>
      </c>
    </row>
    <row r="74" spans="2:20" x14ac:dyDescent="0.35">
      <c r="B74" s="10" t="s">
        <v>68</v>
      </c>
      <c r="C74" s="20">
        <v>3.2500000000000001E-2</v>
      </c>
      <c r="D74" s="38">
        <f t="shared" si="0"/>
        <v>0.33034605494597657</v>
      </c>
      <c r="E74" s="32">
        <f t="shared" si="5"/>
        <v>28604.301251562239</v>
      </c>
      <c r="F74" s="47">
        <v>0</v>
      </c>
      <c r="G74" s="19">
        <v>2.8199999999999999E-2</v>
      </c>
      <c r="H74" s="38">
        <f t="shared" si="1"/>
        <v>0.19402509803749873</v>
      </c>
      <c r="I74" s="32">
        <f t="shared" si="6"/>
        <v>16800.419655491656</v>
      </c>
      <c r="J74" s="47">
        <v>0</v>
      </c>
      <c r="K74" s="17">
        <v>-1.4200000000000001E-2</v>
      </c>
      <c r="L74" s="38">
        <f t="shared" si="2"/>
        <v>0.2952575069299252</v>
      </c>
      <c r="M74" s="31">
        <f t="shared" si="7"/>
        <v>25566.022504461176</v>
      </c>
      <c r="N74" s="47">
        <v>0</v>
      </c>
      <c r="O74" s="15">
        <v>-5.4000000000000003E-3</v>
      </c>
      <c r="P74" s="38">
        <f t="shared" si="3"/>
        <v>0.18037134008659964</v>
      </c>
      <c r="Q74" s="32">
        <f t="shared" si="9"/>
        <v>15618.155784632654</v>
      </c>
      <c r="R74" s="47">
        <v>0</v>
      </c>
      <c r="S74" s="37">
        <f t="shared" si="4"/>
        <v>86588.899196147715</v>
      </c>
      <c r="T74" s="40">
        <f t="shared" si="8"/>
        <v>1.0598552996579302E-2</v>
      </c>
    </row>
    <row r="75" spans="2:20" x14ac:dyDescent="0.35">
      <c r="B75" s="11" t="s">
        <v>69</v>
      </c>
      <c r="C75" s="15">
        <v>-1.55E-2</v>
      </c>
      <c r="D75" s="38">
        <f t="shared" si="0"/>
        <v>0.3218499302767992</v>
      </c>
      <c r="E75" s="32">
        <f t="shared" si="5"/>
        <v>28160.934582163023</v>
      </c>
      <c r="F75" s="47">
        <v>0</v>
      </c>
      <c r="G75" s="19">
        <v>1.1000000000000001E-3</v>
      </c>
      <c r="H75" s="38">
        <f t="shared" si="1"/>
        <v>0.19222237863702998</v>
      </c>
      <c r="I75" s="32">
        <f t="shared" si="6"/>
        <v>16818.900117112698</v>
      </c>
      <c r="J75" s="47">
        <v>0</v>
      </c>
      <c r="K75" s="19">
        <v>4.7500000000000001E-2</v>
      </c>
      <c r="L75" s="38">
        <f t="shared" si="2"/>
        <v>0.30607196671660941</v>
      </c>
      <c r="M75" s="31">
        <f t="shared" si="7"/>
        <v>26780.408573423083</v>
      </c>
      <c r="N75" s="47">
        <v>0</v>
      </c>
      <c r="O75" s="20">
        <v>7.6E-3</v>
      </c>
      <c r="P75" s="38">
        <f t="shared" si="3"/>
        <v>0.17985572436956143</v>
      </c>
      <c r="Q75" s="32">
        <f t="shared" si="9"/>
        <v>15736.853768595862</v>
      </c>
      <c r="R75" s="47">
        <v>0</v>
      </c>
      <c r="S75" s="37">
        <f t="shared" si="4"/>
        <v>87497.097041294663</v>
      </c>
      <c r="T75" s="40">
        <f t="shared" si="8"/>
        <v>1.0488617520008292E-2</v>
      </c>
    </row>
    <row r="76" spans="2:20" x14ac:dyDescent="0.35">
      <c r="B76" s="10" t="s">
        <v>70</v>
      </c>
      <c r="C76" s="15">
        <v>-4.9399999999999999E-2</v>
      </c>
      <c r="D76" s="38">
        <f t="shared" si="0"/>
        <v>0.32279514666189885</v>
      </c>
      <c r="E76" s="32">
        <f t="shared" si="5"/>
        <v>26769.784413804169</v>
      </c>
      <c r="F76" s="47">
        <v>0</v>
      </c>
      <c r="G76" s="17">
        <v>-9.3200000000000005E-2</v>
      </c>
      <c r="H76" s="38">
        <f t="shared" si="1"/>
        <v>0.18390402120313767</v>
      </c>
      <c r="I76" s="32">
        <f t="shared" si="6"/>
        <v>15251.378626197795</v>
      </c>
      <c r="J76" s="47">
        <v>0</v>
      </c>
      <c r="K76" s="17">
        <v>-6.3600000000000004E-2</v>
      </c>
      <c r="L76" s="38">
        <f t="shared" si="2"/>
        <v>0.3023853357920519</v>
      </c>
      <c r="M76" s="31">
        <f t="shared" si="7"/>
        <v>25077.174588153375</v>
      </c>
      <c r="N76" s="47">
        <v>0</v>
      </c>
      <c r="O76" s="20">
        <v>6.1000000000000004E-3</v>
      </c>
      <c r="P76" s="38">
        <f t="shared" si="3"/>
        <v>0.19091549634291169</v>
      </c>
      <c r="Q76" s="32">
        <f t="shared" si="9"/>
        <v>15832.848576584296</v>
      </c>
      <c r="R76" s="47">
        <v>0</v>
      </c>
      <c r="S76" s="37">
        <f t="shared" si="4"/>
        <v>82931.186204739628</v>
      </c>
      <c r="T76" s="40">
        <f t="shared" si="8"/>
        <v>-5.218356940916713E-2</v>
      </c>
    </row>
    <row r="77" spans="2:20" x14ac:dyDescent="0.35">
      <c r="B77" s="11" t="s">
        <v>71</v>
      </c>
      <c r="C77" s="20">
        <v>6.2899999999999998E-2</v>
      </c>
      <c r="D77" s="38">
        <f t="shared" si="0"/>
        <v>0.31819746653379144</v>
      </c>
      <c r="E77" s="32">
        <f t="shared" si="5"/>
        <v>28453.603853432451</v>
      </c>
      <c r="F77" s="47">
        <v>0</v>
      </c>
      <c r="G77" s="19">
        <v>3.6600000000000001E-2</v>
      </c>
      <c r="H77" s="38">
        <f t="shared" si="1"/>
        <v>0.17679897553156659</v>
      </c>
      <c r="I77" s="32">
        <f t="shared" si="6"/>
        <v>15809.579083916635</v>
      </c>
      <c r="J77" s="47">
        <v>0</v>
      </c>
      <c r="K77" s="19">
        <v>8.4099999999999994E-2</v>
      </c>
      <c r="L77" s="38">
        <f t="shared" si="2"/>
        <v>0.30402366122433355</v>
      </c>
      <c r="M77" s="31">
        <f t="shared" si="7"/>
        <v>27186.164971017075</v>
      </c>
      <c r="N77" s="47">
        <v>0</v>
      </c>
      <c r="O77" s="20">
        <v>0.1351</v>
      </c>
      <c r="P77" s="38">
        <f t="shared" si="3"/>
        <v>0.2009798967103083</v>
      </c>
      <c r="Q77" s="32">
        <f t="shared" si="9"/>
        <v>17971.866419280836</v>
      </c>
      <c r="R77" s="47">
        <v>0</v>
      </c>
      <c r="S77" s="37">
        <f t="shared" si="4"/>
        <v>89421.214327647001</v>
      </c>
      <c r="T77" s="40">
        <f t="shared" si="8"/>
        <v>7.8257992197107384E-2</v>
      </c>
    </row>
    <row r="78" spans="2:20" x14ac:dyDescent="0.35">
      <c r="B78" s="10" t="s">
        <v>72</v>
      </c>
      <c r="C78" s="20">
        <v>1.66E-2</v>
      </c>
      <c r="D78" s="38">
        <f t="shared" si="0"/>
        <v>0.31998703129147033</v>
      </c>
      <c r="E78" s="32">
        <f t="shared" si="5"/>
        <v>28925.933677399429</v>
      </c>
      <c r="F78" s="47">
        <v>0</v>
      </c>
      <c r="G78" s="19">
        <v>7.3700000000000002E-2</v>
      </c>
      <c r="H78" s="38">
        <f t="shared" si="1"/>
        <v>0.18777953168340625</v>
      </c>
      <c r="I78" s="32">
        <f t="shared" si="6"/>
        <v>16974.745062401293</v>
      </c>
      <c r="J78" s="47">
        <v>0</v>
      </c>
      <c r="K78" s="19">
        <v>2.3E-2</v>
      </c>
      <c r="L78" s="38">
        <f t="shared" si="2"/>
        <v>0.30765825523960577</v>
      </c>
      <c r="M78" s="31">
        <f t="shared" si="7"/>
        <v>27811.446765350469</v>
      </c>
      <c r="N78" s="47">
        <v>0</v>
      </c>
      <c r="O78" s="15">
        <v>-7.1599999999999997E-2</v>
      </c>
      <c r="P78" s="38">
        <f t="shared" si="3"/>
        <v>0.18457518178551768</v>
      </c>
      <c r="Q78" s="32">
        <f t="shared" si="9"/>
        <v>16685.080783660327</v>
      </c>
      <c r="R78" s="47">
        <v>0</v>
      </c>
      <c r="S78" s="37">
        <f t="shared" si="4"/>
        <v>90397.206288811518</v>
      </c>
      <c r="T78" s="40">
        <f t="shared" si="8"/>
        <v>1.0914546044838991E-2</v>
      </c>
    </row>
    <row r="79" spans="2:20" x14ac:dyDescent="0.35">
      <c r="B79" s="9" t="s">
        <v>73</v>
      </c>
      <c r="C79" s="20">
        <v>2.8899999999999999E-2</v>
      </c>
      <c r="D79" s="38">
        <f t="shared" si="0"/>
        <v>0.35205648319734767</v>
      </c>
      <c r="E79" s="32">
        <f t="shared" si="5"/>
        <v>32553.391461676274</v>
      </c>
      <c r="F79" s="49">
        <v>2713.09</v>
      </c>
      <c r="G79" s="19">
        <v>2.8500000000000001E-2</v>
      </c>
      <c r="H79" s="38">
        <f t="shared" si="1"/>
        <v>0.20109684517108203</v>
      </c>
      <c r="I79" s="32">
        <f t="shared" si="6"/>
        <v>18594.698961679729</v>
      </c>
      <c r="J79" s="49">
        <v>1104.69</v>
      </c>
      <c r="K79" s="17">
        <v>-1.4500000000000001E-2</v>
      </c>
      <c r="L79" s="38">
        <f t="shared" si="2"/>
        <v>0.24086165128186507</v>
      </c>
      <c r="M79" s="31">
        <f t="shared" si="7"/>
        <v>22271.606962252888</v>
      </c>
      <c r="N79" s="48">
        <v>-5212.1499999999996</v>
      </c>
      <c r="O79" s="20">
        <v>5.3499999999999999E-2</v>
      </c>
      <c r="P79" s="38">
        <f t="shared" si="3"/>
        <v>0.2059850203497052</v>
      </c>
      <c r="Q79" s="32">
        <f t="shared" si="9"/>
        <v>19046.690865586155</v>
      </c>
      <c r="R79" s="49">
        <v>1394.36</v>
      </c>
      <c r="S79" s="37">
        <f t="shared" si="4"/>
        <v>92466.388251195051</v>
      </c>
      <c r="T79" s="40">
        <f t="shared" si="8"/>
        <v>2.2889888386292245E-2</v>
      </c>
    </row>
    <row r="80" spans="2:20" x14ac:dyDescent="0.35">
      <c r="B80" s="10" t="s">
        <v>74</v>
      </c>
      <c r="C80" s="20">
        <v>8.6E-3</v>
      </c>
      <c r="D80" s="38">
        <f t="shared" si="0"/>
        <v>0.3521899183771367</v>
      </c>
      <c r="E80" s="32">
        <f t="shared" si="5"/>
        <v>32833.350628246691</v>
      </c>
      <c r="F80" s="47">
        <v>0</v>
      </c>
      <c r="G80" s="19">
        <v>2.4500000000000001E-2</v>
      </c>
      <c r="H80" s="38">
        <f t="shared" si="1"/>
        <v>0.20434444204343896</v>
      </c>
      <c r="I80" s="32">
        <f t="shared" si="6"/>
        <v>19050.269086240882</v>
      </c>
      <c r="J80" s="47">
        <v>0</v>
      </c>
      <c r="K80" s="17">
        <v>-1.9E-3</v>
      </c>
      <c r="L80" s="38">
        <f t="shared" si="2"/>
        <v>0.23844450843514381</v>
      </c>
      <c r="M80" s="31">
        <f t="shared" si="7"/>
        <v>22229.290909024607</v>
      </c>
      <c r="N80" s="47">
        <v>0</v>
      </c>
      <c r="O80" s="20">
        <v>3.5000000000000001E-3</v>
      </c>
      <c r="P80" s="38">
        <f t="shared" si="3"/>
        <v>0.20502113114428056</v>
      </c>
      <c r="Q80" s="32">
        <f t="shared" si="9"/>
        <v>19113.354283615707</v>
      </c>
      <c r="R80" s="47">
        <v>0</v>
      </c>
      <c r="S80" s="37">
        <f t="shared" si="4"/>
        <v>93226.264907127887</v>
      </c>
      <c r="T80" s="40">
        <f t="shared" si="8"/>
        <v>8.2178688959770874E-3</v>
      </c>
    </row>
    <row r="81" spans="2:20" x14ac:dyDescent="0.35">
      <c r="B81" s="11" t="s">
        <v>75</v>
      </c>
      <c r="C81" s="20">
        <v>3.9100000000000003E-2</v>
      </c>
      <c r="D81" s="38">
        <f t="shared" si="0"/>
        <v>0.35257232334594535</v>
      </c>
      <c r="E81" s="32">
        <f t="shared" si="5"/>
        <v>34117.134637811134</v>
      </c>
      <c r="F81" s="47">
        <v>0</v>
      </c>
      <c r="G81" s="19">
        <v>5.9499999999999997E-2</v>
      </c>
      <c r="H81" s="38">
        <f t="shared" si="1"/>
        <v>0.20858244007762247</v>
      </c>
      <c r="I81" s="32">
        <f t="shared" si="6"/>
        <v>20183.760096872214</v>
      </c>
      <c r="J81" s="47">
        <v>0</v>
      </c>
      <c r="K81" s="19">
        <v>6.0999999999999999E-2</v>
      </c>
      <c r="L81" s="38">
        <f t="shared" si="2"/>
        <v>0.24373430616830366</v>
      </c>
      <c r="M81" s="31">
        <f t="shared" si="7"/>
        <v>23585.277654475107</v>
      </c>
      <c r="N81" s="47">
        <v>0</v>
      </c>
      <c r="O81" s="15">
        <v>-1.2200000000000001E-2</v>
      </c>
      <c r="P81" s="38">
        <f t="shared" si="3"/>
        <v>0.1951109304081286</v>
      </c>
      <c r="Q81" s="32">
        <f t="shared" si="9"/>
        <v>18880.171361355595</v>
      </c>
      <c r="R81" s="47">
        <v>0</v>
      </c>
      <c r="S81" s="37">
        <f t="shared" si="4"/>
        <v>96766.343750514046</v>
      </c>
      <c r="T81" s="40">
        <f t="shared" si="8"/>
        <v>3.7972977324714163E-2</v>
      </c>
    </row>
    <row r="82" spans="2:20" x14ac:dyDescent="0.35">
      <c r="B82" s="10" t="s">
        <v>76</v>
      </c>
      <c r="C82" s="15">
        <v>-1.9E-2</v>
      </c>
      <c r="D82" s="38">
        <f t="shared" si="0"/>
        <v>0.44601534722167435</v>
      </c>
      <c r="E82" s="32">
        <f t="shared" si="5"/>
        <v>42717.502399692727</v>
      </c>
      <c r="F82" s="49">
        <v>9427.7199999999993</v>
      </c>
      <c r="G82" s="19">
        <v>2.1600000000000001E-2</v>
      </c>
      <c r="H82" s="38">
        <f t="shared" si="1"/>
        <v>0.21529151315965164</v>
      </c>
      <c r="I82" s="32">
        <f t="shared" si="6"/>
        <v>20619.729314964654</v>
      </c>
      <c r="J82" s="47">
        <v>0</v>
      </c>
      <c r="K82" s="17">
        <v>-3.49E-2</v>
      </c>
      <c r="L82" s="38">
        <f t="shared" si="2"/>
        <v>0.23766063834645598</v>
      </c>
      <c r="M82" s="31">
        <f t="shared" si="7"/>
        <v>22762.151464333925</v>
      </c>
      <c r="N82" s="47">
        <v>0</v>
      </c>
      <c r="O82" s="20">
        <v>2.3699999999999999E-2</v>
      </c>
      <c r="P82" s="38">
        <f t="shared" si="3"/>
        <v>0.1010325012722182</v>
      </c>
      <c r="Q82" s="32">
        <f t="shared" si="9"/>
        <v>9676.4744586197248</v>
      </c>
      <c r="R82" s="48">
        <v>-9427.7199999999993</v>
      </c>
      <c r="S82" s="37">
        <f t="shared" si="4"/>
        <v>95775.857637611014</v>
      </c>
      <c r="T82" s="40">
        <f t="shared" si="8"/>
        <v>-1.0235853443597454E-2</v>
      </c>
    </row>
    <row r="83" spans="2:20" x14ac:dyDescent="0.35">
      <c r="B83" s="11" t="s">
        <v>77</v>
      </c>
      <c r="C83" s="15">
        <v>-3.7100000000000001E-2</v>
      </c>
      <c r="D83" s="38">
        <f t="shared" si="0"/>
        <v>0.44129411576905325</v>
      </c>
      <c r="E83" s="32">
        <f t="shared" si="5"/>
        <v>41132.683060664123</v>
      </c>
      <c r="F83" s="47">
        <v>0</v>
      </c>
      <c r="G83" s="17">
        <v>-3.0200000000000001E-2</v>
      </c>
      <c r="H83" s="38">
        <f t="shared" si="1"/>
        <v>0.21453899257977668</v>
      </c>
      <c r="I83" s="32">
        <f t="shared" si="6"/>
        <v>19997.01348965272</v>
      </c>
      <c r="J83" s="47">
        <v>0</v>
      </c>
      <c r="K83" s="17">
        <v>-4.9700000000000001E-2</v>
      </c>
      <c r="L83" s="38">
        <f t="shared" si="2"/>
        <v>0.23206793379499738</v>
      </c>
      <c r="M83" s="31">
        <f t="shared" si="7"/>
        <v>21630.87253655653</v>
      </c>
      <c r="N83" s="47">
        <v>0</v>
      </c>
      <c r="O83" s="20">
        <v>7.9799999999999996E-2</v>
      </c>
      <c r="P83" s="38">
        <f t="shared" si="3"/>
        <v>0.11209895785617272</v>
      </c>
      <c r="Q83" s="32">
        <f t="shared" si="9"/>
        <v>10448.657120417578</v>
      </c>
      <c r="R83" s="47">
        <v>0</v>
      </c>
      <c r="S83" s="37">
        <f t="shared" si="4"/>
        <v>93209.226207290951</v>
      </c>
      <c r="T83" s="40">
        <f t="shared" si="8"/>
        <v>-2.6798313203641344E-2</v>
      </c>
    </row>
    <row r="84" spans="2:20" x14ac:dyDescent="0.35">
      <c r="B84" s="10" t="s">
        <v>78</v>
      </c>
      <c r="C84" s="15">
        <v>-5.4899999999999997E-2</v>
      </c>
      <c r="D84" s="38">
        <f t="shared" si="0"/>
        <v>0.43608182287614483</v>
      </c>
      <c r="E84" s="32">
        <f t="shared" si="5"/>
        <v>38874.498760633665</v>
      </c>
      <c r="F84" s="47">
        <v>0</v>
      </c>
      <c r="G84" s="17">
        <v>-7.85E-2</v>
      </c>
      <c r="H84" s="38">
        <f t="shared" si="1"/>
        <v>0.20671103485337572</v>
      </c>
      <c r="I84" s="32">
        <f t="shared" si="6"/>
        <v>18427.247930714981</v>
      </c>
      <c r="J84" s="47">
        <v>0</v>
      </c>
      <c r="K84" s="17">
        <v>-2.1600000000000001E-2</v>
      </c>
      <c r="L84" s="38">
        <f t="shared" si="2"/>
        <v>0.23740707881343195</v>
      </c>
      <c r="M84" s="31">
        <f t="shared" si="7"/>
        <v>21163.645689766909</v>
      </c>
      <c r="N84" s="47">
        <v>0</v>
      </c>
      <c r="O84" s="20">
        <v>2.2100000000000002E-2</v>
      </c>
      <c r="P84" s="38">
        <f t="shared" si="3"/>
        <v>0.11980006345704744</v>
      </c>
      <c r="Q84" s="32">
        <f t="shared" si="9"/>
        <v>10679.572442778806</v>
      </c>
      <c r="R84" s="47">
        <v>0</v>
      </c>
      <c r="S84" s="37">
        <f t="shared" si="4"/>
        <v>89144.964823894363</v>
      </c>
      <c r="T84" s="40">
        <f t="shared" si="8"/>
        <v>-4.3603638274584022E-2</v>
      </c>
    </row>
    <row r="85" spans="2:20" x14ac:dyDescent="0.35">
      <c r="B85" s="11" t="s">
        <v>79</v>
      </c>
      <c r="C85" s="20">
        <v>3.9600000000000003E-2</v>
      </c>
      <c r="D85" s="38">
        <f t="shared" si="0"/>
        <v>0.43834500087078182</v>
      </c>
      <c r="E85" s="32">
        <f t="shared" si="5"/>
        <v>40413.928911554758</v>
      </c>
      <c r="F85" s="47">
        <v>0</v>
      </c>
      <c r="G85" s="19">
        <v>3.4799999999999998E-2</v>
      </c>
      <c r="H85" s="38">
        <f t="shared" si="1"/>
        <v>0.20682445278914108</v>
      </c>
      <c r="I85" s="32">
        <f t="shared" si="6"/>
        <v>19068.51615870386</v>
      </c>
      <c r="J85" s="47">
        <v>0</v>
      </c>
      <c r="K85" s="19">
        <v>7.9000000000000001E-2</v>
      </c>
      <c r="L85" s="38">
        <f t="shared" si="2"/>
        <v>0.24768340625809201</v>
      </c>
      <c r="M85" s="31">
        <f t="shared" si="7"/>
        <v>22835.573699258493</v>
      </c>
      <c r="N85" s="47">
        <v>0</v>
      </c>
      <c r="O85" s="15">
        <v>-7.4999999999999997E-2</v>
      </c>
      <c r="P85" s="38">
        <f t="shared" si="3"/>
        <v>0.10714714008198507</v>
      </c>
      <c r="Q85" s="32">
        <f t="shared" si="9"/>
        <v>9878.6045095703957</v>
      </c>
      <c r="R85" s="47">
        <v>0</v>
      </c>
      <c r="S85" s="37">
        <f t="shared" si="4"/>
        <v>92196.623279087507</v>
      </c>
      <c r="T85" s="40">
        <f t="shared" si="8"/>
        <v>3.4232538665775358E-2</v>
      </c>
    </row>
    <row r="86" spans="2:20" x14ac:dyDescent="0.35">
      <c r="B86" s="10" t="s">
        <v>80</v>
      </c>
      <c r="C86" s="15">
        <v>-4.9299999999999997E-2</v>
      </c>
      <c r="D86" s="38">
        <f t="shared" si="0"/>
        <v>0.43412469452860403</v>
      </c>
      <c r="E86" s="32">
        <f t="shared" si="5"/>
        <v>38421.522216215111</v>
      </c>
      <c r="F86" s="47">
        <v>0</v>
      </c>
      <c r="G86" s="17">
        <v>-7.6300000000000007E-2</v>
      </c>
      <c r="H86" s="38">
        <f t="shared" si="1"/>
        <v>0.19901589609501219</v>
      </c>
      <c r="I86" s="32">
        <f t="shared" si="6"/>
        <v>17613.588375794756</v>
      </c>
      <c r="J86" s="47">
        <v>0</v>
      </c>
      <c r="K86" s="17">
        <v>-3.4299999999999997E-2</v>
      </c>
      <c r="L86" s="38">
        <f t="shared" si="2"/>
        <v>0.24916904169598872</v>
      </c>
      <c r="M86" s="31">
        <f t="shared" si="7"/>
        <v>22052.313521373926</v>
      </c>
      <c r="N86" s="47">
        <v>0</v>
      </c>
      <c r="O86" s="20">
        <v>5.4399999999999997E-2</v>
      </c>
      <c r="P86" s="38">
        <f t="shared" si="3"/>
        <v>0.11769036768039508</v>
      </c>
      <c r="Q86" s="32">
        <f t="shared" si="9"/>
        <v>10416.000594891026</v>
      </c>
      <c r="R86" s="47">
        <v>0</v>
      </c>
      <c r="S86" s="37">
        <f t="shared" si="4"/>
        <v>88503.424708274819</v>
      </c>
      <c r="T86" s="40">
        <f t="shared" si="8"/>
        <v>-4.0057850704933506E-2</v>
      </c>
    </row>
    <row r="87" spans="2:20" x14ac:dyDescent="0.35">
      <c r="B87" s="11" t="s">
        <v>81</v>
      </c>
      <c r="C87" s="20">
        <v>5.11E-2</v>
      </c>
      <c r="D87" s="38">
        <f t="shared" si="0"/>
        <v>0.43033110572915462</v>
      </c>
      <c r="E87" s="32">
        <f t="shared" si="5"/>
        <v>40384.862001463705</v>
      </c>
      <c r="F87" s="47">
        <v>0</v>
      </c>
      <c r="G87" s="19">
        <v>8.4000000000000005E-2</v>
      </c>
      <c r="H87" s="38">
        <f t="shared" si="1"/>
        <v>0.20345167102692391</v>
      </c>
      <c r="I87" s="32">
        <f t="shared" si="6"/>
        <v>19093.129799361515</v>
      </c>
      <c r="J87" s="47">
        <v>0</v>
      </c>
      <c r="K87" s="19">
        <v>8.0100000000000005E-2</v>
      </c>
      <c r="L87" s="38">
        <f t="shared" si="2"/>
        <v>0.25380621971016248</v>
      </c>
      <c r="M87" s="31">
        <f t="shared" si="7"/>
        <v>23818.703834435979</v>
      </c>
      <c r="N87" s="47">
        <v>0</v>
      </c>
      <c r="O87" s="20">
        <v>1.2800000000000001E-2</v>
      </c>
      <c r="P87" s="38">
        <f t="shared" si="3"/>
        <v>0.11241100353375902</v>
      </c>
      <c r="Q87" s="32">
        <f t="shared" si="9"/>
        <v>10549.32540250563</v>
      </c>
      <c r="R87" s="47">
        <v>0</v>
      </c>
      <c r="S87" s="37">
        <f t="shared" si="4"/>
        <v>93846.021037766826</v>
      </c>
      <c r="T87" s="40">
        <f t="shared" si="8"/>
        <v>6.036598410855043E-2</v>
      </c>
    </row>
    <row r="88" spans="2:20" x14ac:dyDescent="0.35">
      <c r="B88" s="10" t="s">
        <v>82</v>
      </c>
      <c r="C88" s="20">
        <v>3.9300000000000002E-2</v>
      </c>
      <c r="D88" s="38">
        <f t="shared" si="0"/>
        <v>0.4305267774677401</v>
      </c>
      <c r="E88" s="32">
        <f t="shared" si="5"/>
        <v>41971.98707812123</v>
      </c>
      <c r="F88" s="47">
        <v>0</v>
      </c>
      <c r="G88" s="19">
        <v>4.3900000000000002E-2</v>
      </c>
      <c r="H88" s="38">
        <f t="shared" si="1"/>
        <v>0.20444507853071925</v>
      </c>
      <c r="I88" s="32">
        <f t="shared" si="6"/>
        <v>19931.318197553486</v>
      </c>
      <c r="J88" s="47">
        <v>0</v>
      </c>
      <c r="K88" s="19">
        <v>3.2599999999999997E-2</v>
      </c>
      <c r="L88" s="38">
        <f t="shared" si="2"/>
        <v>0.25228468247743807</v>
      </c>
      <c r="M88" s="31">
        <f t="shared" si="7"/>
        <v>24595.193579438594</v>
      </c>
      <c r="N88" s="47">
        <v>0</v>
      </c>
      <c r="O88" s="20">
        <v>4.19E-2</v>
      </c>
      <c r="P88" s="38">
        <f t="shared" si="3"/>
        <v>0.11274346152410256</v>
      </c>
      <c r="Q88" s="32">
        <f t="shared" si="9"/>
        <v>10991.342136870617</v>
      </c>
      <c r="R88" s="47">
        <v>0</v>
      </c>
      <c r="S88" s="37">
        <f t="shared" si="4"/>
        <v>97489.840991983932</v>
      </c>
      <c r="T88" s="40">
        <f t="shared" si="8"/>
        <v>3.8827644623853574E-2</v>
      </c>
    </row>
    <row r="89" spans="2:20" x14ac:dyDescent="0.35">
      <c r="B89" s="11" t="s">
        <v>83</v>
      </c>
      <c r="C89" s="20">
        <v>1.12E-2</v>
      </c>
      <c r="D89" s="38">
        <f t="shared" si="0"/>
        <v>0.42911454569665824</v>
      </c>
      <c r="E89" s="32">
        <f t="shared" si="5"/>
        <v>42442.073333396191</v>
      </c>
      <c r="F89" s="47">
        <v>0</v>
      </c>
      <c r="G89" s="19">
        <v>4.8800000000000003E-2</v>
      </c>
      <c r="H89" s="38">
        <f t="shared" si="1"/>
        <v>0.21135150557854879</v>
      </c>
      <c r="I89" s="32">
        <f t="shared" si="6"/>
        <v>20903.966525594096</v>
      </c>
      <c r="J89" s="47">
        <v>0</v>
      </c>
      <c r="K89" s="17">
        <v>-1.6E-2</v>
      </c>
      <c r="L89" s="38">
        <f t="shared" si="2"/>
        <v>0.24469324937252163</v>
      </c>
      <c r="M89" s="31">
        <f t="shared" si="7"/>
        <v>24201.670482167578</v>
      </c>
      <c r="N89" s="47">
        <v>0</v>
      </c>
      <c r="O89" s="20">
        <v>3.3399999999999999E-2</v>
      </c>
      <c r="P89" s="38">
        <f t="shared" si="3"/>
        <v>0.11484069935227141</v>
      </c>
      <c r="Q89" s="32">
        <f t="shared" si="9"/>
        <v>11358.452964242095</v>
      </c>
      <c r="R89" s="47">
        <v>0</v>
      </c>
      <c r="S89" s="37">
        <f t="shared" si="4"/>
        <v>98906.163305399954</v>
      </c>
      <c r="T89" s="40">
        <f t="shared" si="8"/>
        <v>1.4527896435203802E-2</v>
      </c>
    </row>
    <row r="90" spans="2:20" x14ac:dyDescent="0.35">
      <c r="B90" s="10" t="s">
        <v>84</v>
      </c>
      <c r="C90" s="20">
        <v>2.4E-2</v>
      </c>
      <c r="D90" s="38">
        <f t="shared" si="0"/>
        <v>0.43025075086671383</v>
      </c>
      <c r="E90" s="32">
        <f t="shared" si="5"/>
        <v>43460.683093397696</v>
      </c>
      <c r="F90" s="47">
        <v>0</v>
      </c>
      <c r="G90" s="19">
        <v>3.3799999999999997E-2</v>
      </c>
      <c r="H90" s="38">
        <f t="shared" si="1"/>
        <v>0.21393917560559605</v>
      </c>
      <c r="I90" s="32">
        <f t="shared" si="6"/>
        <v>21610.520594159178</v>
      </c>
      <c r="J90" s="47">
        <v>0</v>
      </c>
      <c r="K90" s="19">
        <v>2.2599999999999999E-2</v>
      </c>
      <c r="L90" s="38">
        <f t="shared" si="2"/>
        <v>0.24500571834489379</v>
      </c>
      <c r="M90" s="31">
        <f t="shared" si="7"/>
        <v>24748.628235064563</v>
      </c>
      <c r="N90" s="47">
        <v>0</v>
      </c>
      <c r="O90" s="15">
        <v>-1.46E-2</v>
      </c>
      <c r="P90" s="38">
        <f t="shared" si="3"/>
        <v>0.11080435518279637</v>
      </c>
      <c r="Q90" s="32">
        <f t="shared" si="9"/>
        <v>11192.61955096416</v>
      </c>
      <c r="R90" s="47">
        <v>0</v>
      </c>
      <c r="S90" s="37">
        <f t="shared" si="4"/>
        <v>101012.45147358559</v>
      </c>
      <c r="T90" s="40">
        <f t="shared" si="8"/>
        <v>2.1295823210550457E-2</v>
      </c>
    </row>
    <row r="91" spans="2:20" x14ac:dyDescent="0.35">
      <c r="B91" s="9" t="s">
        <v>85</v>
      </c>
      <c r="C91" s="20">
        <v>3.5400000000000001E-2</v>
      </c>
      <c r="D91" s="38">
        <f t="shared" si="0"/>
        <v>0.46315804239124136</v>
      </c>
      <c r="E91" s="32">
        <f t="shared" si="5"/>
        <v>47064.731442903976</v>
      </c>
      <c r="F91" s="49">
        <v>1994.92</v>
      </c>
      <c r="G91" s="19">
        <v>8.6999999999999994E-3</v>
      </c>
      <c r="H91" s="38">
        <f t="shared" si="1"/>
        <v>0.20053979138550729</v>
      </c>
      <c r="I91" s="32">
        <f t="shared" si="6"/>
        <v>20378.252262328362</v>
      </c>
      <c r="J91" s="48">
        <v>-1408.03</v>
      </c>
      <c r="K91" s="17">
        <v>-2.6499999999999999E-2</v>
      </c>
      <c r="L91" s="38">
        <f t="shared" si="2"/>
        <v>0.24192704496012848</v>
      </c>
      <c r="M91" s="31">
        <f t="shared" si="7"/>
        <v>24583.900866835353</v>
      </c>
      <c r="N91" s="49">
        <v>504.48</v>
      </c>
      <c r="O91" s="15">
        <v>-5.0599999999999999E-2</v>
      </c>
      <c r="P91" s="38">
        <f t="shared" si="3"/>
        <v>9.4375121263122877E-2</v>
      </c>
      <c r="Q91" s="32">
        <f t="shared" si="9"/>
        <v>9590.1168296853721</v>
      </c>
      <c r="R91" s="48">
        <v>-1091.3800000000001</v>
      </c>
      <c r="S91" s="37">
        <f t="shared" si="4"/>
        <v>101617.00140175306</v>
      </c>
      <c r="T91" s="40">
        <f t="shared" si="8"/>
        <v>5.9849050225808664E-3</v>
      </c>
    </row>
    <row r="92" spans="2:20" x14ac:dyDescent="0.35">
      <c r="B92" s="10" t="s">
        <v>86</v>
      </c>
      <c r="C92" s="20">
        <v>2.0500000000000001E-2</v>
      </c>
      <c r="D92" s="38">
        <f t="shared" si="0"/>
        <v>0.46342328205199351</v>
      </c>
      <c r="E92" s="32">
        <f t="shared" si="5"/>
        <v>48029.558437483509</v>
      </c>
      <c r="F92" s="47">
        <v>0</v>
      </c>
      <c r="G92" s="19">
        <v>4.3700000000000003E-2</v>
      </c>
      <c r="H92" s="38">
        <f t="shared" si="1"/>
        <v>0.20521630903137578</v>
      </c>
      <c r="I92" s="32">
        <f t="shared" si="6"/>
        <v>21268.781886192111</v>
      </c>
      <c r="J92" s="47">
        <v>0</v>
      </c>
      <c r="K92" s="17">
        <v>-1.1599999999999999E-2</v>
      </c>
      <c r="L92" s="38">
        <f t="shared" si="2"/>
        <v>0.23445137678108594</v>
      </c>
      <c r="M92" s="31">
        <f t="shared" si="7"/>
        <v>24298.727616780063</v>
      </c>
      <c r="N92" s="47">
        <v>0</v>
      </c>
      <c r="O92" s="20">
        <v>4.7300000000000002E-2</v>
      </c>
      <c r="P92" s="38">
        <f t="shared" si="3"/>
        <v>9.6909032135544762E-2</v>
      </c>
      <c r="Q92" s="32">
        <f t="shared" si="9"/>
        <v>10043.729355729491</v>
      </c>
      <c r="R92" s="47">
        <v>0</v>
      </c>
      <c r="S92" s="37">
        <f t="shared" si="4"/>
        <v>103640.79729618518</v>
      </c>
      <c r="T92" s="40">
        <f t="shared" si="8"/>
        <v>1.9915918266775412E-2</v>
      </c>
    </row>
    <row r="93" spans="2:20" x14ac:dyDescent="0.35">
      <c r="B93" s="11" t="s">
        <v>87</v>
      </c>
      <c r="C93" s="15">
        <v>-2.1499999999999998E-2</v>
      </c>
      <c r="D93" s="38">
        <f t="shared" si="0"/>
        <v>0.45370063789766263</v>
      </c>
      <c r="E93" s="32">
        <f t="shared" si="5"/>
        <v>46996.922931077614</v>
      </c>
      <c r="F93" s="47">
        <v>0</v>
      </c>
      <c r="G93" s="19">
        <v>2.2000000000000001E-3</v>
      </c>
      <c r="H93" s="38">
        <f t="shared" si="1"/>
        <v>0.20577707130005549</v>
      </c>
      <c r="I93" s="32">
        <f t="shared" si="6"/>
        <v>21315.573206341734</v>
      </c>
      <c r="J93" s="47">
        <v>0</v>
      </c>
      <c r="K93" s="19">
        <v>4.1200000000000001E-2</v>
      </c>
      <c r="L93" s="38">
        <f t="shared" si="2"/>
        <v>0.24424048747458404</v>
      </c>
      <c r="M93" s="31">
        <f t="shared" si="7"/>
        <v>25299.8351945914</v>
      </c>
      <c r="N93" s="47">
        <v>0</v>
      </c>
      <c r="O93" s="15">
        <v>-7.0000000000000001E-3</v>
      </c>
      <c r="P93" s="38">
        <f t="shared" si="3"/>
        <v>9.6281803327697868E-2</v>
      </c>
      <c r="Q93" s="32">
        <f t="shared" si="9"/>
        <v>9973.4232502393843</v>
      </c>
      <c r="R93" s="47">
        <v>0</v>
      </c>
      <c r="S93" s="37">
        <f t="shared" si="4"/>
        <v>103585.75458225013</v>
      </c>
      <c r="T93" s="40">
        <f t="shared" si="8"/>
        <v>-5.3109118581695647E-4</v>
      </c>
    </row>
    <row r="94" spans="2:20" x14ac:dyDescent="0.35">
      <c r="B94" s="10" t="s">
        <v>88</v>
      </c>
      <c r="C94" s="15">
        <v>-1.1999999999999999E-3</v>
      </c>
      <c r="D94" s="38">
        <f t="shared" ref="D94:D157" si="10">E94/S94</f>
        <v>0.45129336379730106</v>
      </c>
      <c r="E94" s="32">
        <f t="shared" si="5"/>
        <v>46940.526623560319</v>
      </c>
      <c r="F94" s="47">
        <v>0</v>
      </c>
      <c r="G94" s="17">
        <v>-3.2000000000000002E-3</v>
      </c>
      <c r="H94" s="38">
        <f t="shared" ref="H94:H157" si="11">I94/S94</f>
        <v>0.20427538371922324</v>
      </c>
      <c r="I94" s="32">
        <f t="shared" si="6"/>
        <v>21247.36337208144</v>
      </c>
      <c r="J94" s="47">
        <v>0</v>
      </c>
      <c r="K94" s="17">
        <v>-2.3E-3</v>
      </c>
      <c r="L94" s="38">
        <f t="shared" ref="L94:L157" si="12">M94/S94</f>
        <v>0.24267702043614131</v>
      </c>
      <c r="M94" s="31">
        <f t="shared" si="7"/>
        <v>25241.64557364384</v>
      </c>
      <c r="N94" s="47">
        <v>0</v>
      </c>
      <c r="O94" s="20">
        <v>6.1199999999999997E-2</v>
      </c>
      <c r="P94" s="38">
        <f t="shared" ref="P94:P157" si="13">Q94/S94</f>
        <v>0.10175423204733444</v>
      </c>
      <c r="Q94" s="32">
        <f t="shared" si="9"/>
        <v>10583.796753154034</v>
      </c>
      <c r="R94" s="47">
        <v>0</v>
      </c>
      <c r="S94" s="37">
        <f t="shared" ref="S94:S157" si="14">M94+I94+E94+Q94</f>
        <v>104013.33232243963</v>
      </c>
      <c r="T94" s="40">
        <f t="shared" si="8"/>
        <v>4.127765848826126E-3</v>
      </c>
    </row>
    <row r="95" spans="2:20" x14ac:dyDescent="0.35">
      <c r="B95" s="11" t="s">
        <v>89</v>
      </c>
      <c r="C95" s="15">
        <v>-9.1000000000000004E-3</v>
      </c>
      <c r="D95" s="38">
        <f t="shared" si="10"/>
        <v>0.45371110342835463</v>
      </c>
      <c r="E95" s="32">
        <f t="shared" si="5"/>
        <v>46513.367831285919</v>
      </c>
      <c r="F95" s="47">
        <v>0</v>
      </c>
      <c r="G95" s="17">
        <v>-1.3599999999999999E-2</v>
      </c>
      <c r="H95" s="38">
        <f t="shared" si="11"/>
        <v>0.20443710881841598</v>
      </c>
      <c r="I95" s="32">
        <f t="shared" si="6"/>
        <v>20958.399230221134</v>
      </c>
      <c r="J95" s="47">
        <v>0</v>
      </c>
      <c r="K95" s="17">
        <v>-2.5100000000000001E-2</v>
      </c>
      <c r="L95" s="38">
        <f t="shared" si="12"/>
        <v>0.24003764450979834</v>
      </c>
      <c r="M95" s="31">
        <f t="shared" si="7"/>
        <v>24608.08026974538</v>
      </c>
      <c r="N95" s="47">
        <v>0</v>
      </c>
      <c r="O95" s="15">
        <v>-1.38E-2</v>
      </c>
      <c r="P95" s="38">
        <f t="shared" si="13"/>
        <v>0.10181414324343083</v>
      </c>
      <c r="Q95" s="32">
        <f t="shared" si="9"/>
        <v>10437.740357960509</v>
      </c>
      <c r="R95" s="47">
        <v>0</v>
      </c>
      <c r="S95" s="37">
        <f t="shared" si="14"/>
        <v>102517.58768921296</v>
      </c>
      <c r="T95" s="40">
        <f t="shared" si="8"/>
        <v>-1.4380316444337016E-2</v>
      </c>
    </row>
    <row r="96" spans="2:20" x14ac:dyDescent="0.35">
      <c r="B96" s="10" t="s">
        <v>90</v>
      </c>
      <c r="C96" s="15">
        <v>-3.1199999999999999E-2</v>
      </c>
      <c r="D96" s="38">
        <f t="shared" si="10"/>
        <v>0.45456464436720495</v>
      </c>
      <c r="E96" s="32">
        <f t="shared" ref="E96:E159" si="15">((E95+F96)*C96)+E95+F96</f>
        <v>45062.150754949798</v>
      </c>
      <c r="F96" s="47">
        <v>0</v>
      </c>
      <c r="G96" s="17">
        <v>-3.6900000000000002E-2</v>
      </c>
      <c r="H96" s="38">
        <f t="shared" si="11"/>
        <v>0.20361662245974552</v>
      </c>
      <c r="I96" s="32">
        <f t="shared" ref="I96:I159" si="16">((I95+J96)*G96)+I95+J96</f>
        <v>20185.034298625975</v>
      </c>
      <c r="J96" s="47">
        <v>0</v>
      </c>
      <c r="K96" s="17">
        <v>-3.2099999999999997E-2</v>
      </c>
      <c r="L96" s="38">
        <f t="shared" si="12"/>
        <v>0.24026580299559916</v>
      </c>
      <c r="M96" s="31">
        <f t="shared" ref="M96:M159" si="17">((M95+N96)*K96)+M95+N96</f>
        <v>23818.160893086555</v>
      </c>
      <c r="N96" s="47">
        <v>0</v>
      </c>
      <c r="O96" s="15">
        <v>-3.5499999999999997E-2</v>
      </c>
      <c r="P96" s="38">
        <f t="shared" si="13"/>
        <v>0.10155293017745039</v>
      </c>
      <c r="Q96" s="32">
        <f t="shared" si="9"/>
        <v>10067.200575252911</v>
      </c>
      <c r="R96" s="47">
        <v>0</v>
      </c>
      <c r="S96" s="37">
        <f t="shared" si="14"/>
        <v>99132.546521915239</v>
      </c>
      <c r="T96" s="40">
        <f t="shared" ref="T96:T159" si="18">S96/S95-1</f>
        <v>-3.3019126216270678E-2</v>
      </c>
    </row>
    <row r="97" spans="2:20" x14ac:dyDescent="0.35">
      <c r="B97" s="11" t="s">
        <v>91</v>
      </c>
      <c r="C97" s="15">
        <v>-2.1499999999999998E-2</v>
      </c>
      <c r="D97" s="38">
        <f t="shared" si="10"/>
        <v>0.4498390498154049</v>
      </c>
      <c r="E97" s="32">
        <f t="shared" si="15"/>
        <v>44093.314513718375</v>
      </c>
      <c r="F97" s="47">
        <v>0</v>
      </c>
      <c r="G97" s="17">
        <v>-3.6999999999999998E-2</v>
      </c>
      <c r="H97" s="38">
        <f t="shared" si="11"/>
        <v>0.19830797774654813</v>
      </c>
      <c r="I97" s="32">
        <f t="shared" si="16"/>
        <v>19438.188029576813</v>
      </c>
      <c r="J97" s="47">
        <v>0</v>
      </c>
      <c r="K97" s="17">
        <v>-1.03E-2</v>
      </c>
      <c r="L97" s="38">
        <f t="shared" si="12"/>
        <v>0.24048954566327854</v>
      </c>
      <c r="M97" s="31">
        <f t="shared" si="17"/>
        <v>23572.833835887763</v>
      </c>
      <c r="N97" s="47">
        <v>0</v>
      </c>
      <c r="O97" s="20">
        <v>8.43E-2</v>
      </c>
      <c r="P97" s="38">
        <f t="shared" si="13"/>
        <v>0.11136342677476843</v>
      </c>
      <c r="Q97" s="32">
        <f t="shared" ref="Q97:Q160" si="19">((Q96+R97)*O97)+Q96+R97</f>
        <v>10915.865583746732</v>
      </c>
      <c r="R97" s="47">
        <v>0</v>
      </c>
      <c r="S97" s="37">
        <f t="shared" si="14"/>
        <v>98020.201962929685</v>
      </c>
      <c r="T97" s="40">
        <f t="shared" si="18"/>
        <v>-1.1220780641801098E-2</v>
      </c>
    </row>
    <row r="98" spans="2:20" x14ac:dyDescent="0.35">
      <c r="B98" s="10" t="s">
        <v>92</v>
      </c>
      <c r="C98" s="15">
        <v>-3.9300000000000002E-2</v>
      </c>
      <c r="D98" s="38">
        <f t="shared" si="10"/>
        <v>0.44756301160801731</v>
      </c>
      <c r="E98" s="32">
        <f t="shared" si="15"/>
        <v>42360.447253329243</v>
      </c>
      <c r="F98" s="47">
        <v>0</v>
      </c>
      <c r="G98" s="17">
        <v>-7.2099999999999997E-2</v>
      </c>
      <c r="H98" s="38">
        <f t="shared" si="11"/>
        <v>0.19056827561018086</v>
      </c>
      <c r="I98" s="32">
        <f t="shared" si="16"/>
        <v>18036.694672644324</v>
      </c>
      <c r="J98" s="47">
        <v>0</v>
      </c>
      <c r="K98" s="17">
        <v>-7.5800000000000006E-2</v>
      </c>
      <c r="L98" s="38">
        <f t="shared" si="12"/>
        <v>0.23018202675791127</v>
      </c>
      <c r="M98" s="31">
        <f t="shared" si="17"/>
        <v>21786.01303112747</v>
      </c>
      <c r="N98" s="47">
        <v>0</v>
      </c>
      <c r="O98" s="20">
        <v>0.14180000000000001</v>
      </c>
      <c r="P98" s="38">
        <f t="shared" si="13"/>
        <v>0.13168668602389044</v>
      </c>
      <c r="Q98" s="32">
        <f t="shared" si="19"/>
        <v>12463.735323522018</v>
      </c>
      <c r="R98" s="47">
        <v>0</v>
      </c>
      <c r="S98" s="37">
        <f t="shared" si="14"/>
        <v>94646.890280623062</v>
      </c>
      <c r="T98" s="40">
        <f t="shared" si="18"/>
        <v>-3.4414453497885855E-2</v>
      </c>
    </row>
    <row r="99" spans="2:20" x14ac:dyDescent="0.35">
      <c r="B99" s="11" t="s">
        <v>93</v>
      </c>
      <c r="C99" s="20">
        <v>6.1400000000000003E-2</v>
      </c>
      <c r="D99" s="38">
        <f t="shared" si="10"/>
        <v>0.46661312948229494</v>
      </c>
      <c r="E99" s="32">
        <f t="shared" si="15"/>
        <v>44961.378714683655</v>
      </c>
      <c r="F99" s="47">
        <v>0</v>
      </c>
      <c r="G99" s="19">
        <v>1.2E-2</v>
      </c>
      <c r="H99" s="38">
        <f t="shared" si="11"/>
        <v>0.18943263513621464</v>
      </c>
      <c r="I99" s="32">
        <f t="shared" si="16"/>
        <v>18253.135008716057</v>
      </c>
      <c r="J99" s="47">
        <v>0</v>
      </c>
      <c r="K99" s="17">
        <v>-6.13E-2</v>
      </c>
      <c r="L99" s="38">
        <f t="shared" si="12"/>
        <v>0.21223739745954506</v>
      </c>
      <c r="M99" s="31">
        <f t="shared" si="17"/>
        <v>20450.530432319356</v>
      </c>
      <c r="N99" s="47">
        <v>0</v>
      </c>
      <c r="O99" s="20">
        <v>1.83E-2</v>
      </c>
      <c r="P99" s="38">
        <f t="shared" si="13"/>
        <v>0.13171683792194544</v>
      </c>
      <c r="Q99" s="32">
        <f t="shared" si="19"/>
        <v>12691.821679942472</v>
      </c>
      <c r="R99" s="47">
        <v>0</v>
      </c>
      <c r="S99" s="37">
        <f t="shared" si="14"/>
        <v>96356.865835661534</v>
      </c>
      <c r="T99" s="40">
        <f t="shared" si="18"/>
        <v>1.8066896334031579E-2</v>
      </c>
    </row>
    <row r="100" spans="2:20" x14ac:dyDescent="0.35">
      <c r="B100" s="10" t="s">
        <v>94</v>
      </c>
      <c r="C100" s="20">
        <v>1.49E-2</v>
      </c>
      <c r="D100" s="38">
        <f t="shared" si="10"/>
        <v>0.46117346231670003</v>
      </c>
      <c r="E100" s="32">
        <f t="shared" si="15"/>
        <v>45631.30325753244</v>
      </c>
      <c r="F100" s="47">
        <v>0</v>
      </c>
      <c r="G100" s="19">
        <v>5.45E-2</v>
      </c>
      <c r="H100" s="38">
        <f t="shared" si="11"/>
        <v>0.19452950686345183</v>
      </c>
      <c r="I100" s="32">
        <f t="shared" si="16"/>
        <v>19247.930866691084</v>
      </c>
      <c r="J100" s="47">
        <v>0</v>
      </c>
      <c r="K100" s="19">
        <v>6.5500000000000003E-2</v>
      </c>
      <c r="L100" s="38">
        <f t="shared" si="12"/>
        <v>0.22022137336521</v>
      </c>
      <c r="M100" s="31">
        <f t="shared" si="17"/>
        <v>21790.040175636273</v>
      </c>
      <c r="N100" s="47">
        <v>0</v>
      </c>
      <c r="O100" s="15">
        <v>-3.27E-2</v>
      </c>
      <c r="P100" s="38">
        <f t="shared" si="13"/>
        <v>0.12407565745463811</v>
      </c>
      <c r="Q100" s="32">
        <f t="shared" si="19"/>
        <v>12276.799111008353</v>
      </c>
      <c r="R100" s="47">
        <v>0</v>
      </c>
      <c r="S100" s="37">
        <f t="shared" si="14"/>
        <v>98946.07341086815</v>
      </c>
      <c r="T100" s="40">
        <f t="shared" si="18"/>
        <v>2.6871023177762465E-2</v>
      </c>
    </row>
    <row r="101" spans="2:20" x14ac:dyDescent="0.35">
      <c r="B101" s="11" t="s">
        <v>95</v>
      </c>
      <c r="C101" s="20">
        <v>9.6699999999999994E-2</v>
      </c>
      <c r="D101" s="38">
        <f t="shared" si="10"/>
        <v>0.4612403010703337</v>
      </c>
      <c r="E101" s="32">
        <f t="shared" si="15"/>
        <v>50043.85028253583</v>
      </c>
      <c r="F101" s="47">
        <v>0</v>
      </c>
      <c r="G101" s="19">
        <v>9.8100000000000007E-2</v>
      </c>
      <c r="H101" s="38">
        <f t="shared" si="11"/>
        <v>0.19480606438102094</v>
      </c>
      <c r="I101" s="32">
        <f t="shared" si="16"/>
        <v>21136.15288471348</v>
      </c>
      <c r="J101" s="47">
        <v>0</v>
      </c>
      <c r="K101" s="19">
        <v>8.0600000000000005E-2</v>
      </c>
      <c r="L101" s="38">
        <f t="shared" si="12"/>
        <v>0.21701988299700017</v>
      </c>
      <c r="M101" s="31">
        <f t="shared" si="17"/>
        <v>23546.317413792556</v>
      </c>
      <c r="N101" s="47">
        <v>0</v>
      </c>
      <c r="O101" s="20">
        <v>0.12180000000000001</v>
      </c>
      <c r="P101" s="38">
        <f t="shared" si="13"/>
        <v>0.12693375155164521</v>
      </c>
      <c r="Q101" s="32">
        <f t="shared" si="19"/>
        <v>13772.11324272917</v>
      </c>
      <c r="R101" s="47">
        <v>0</v>
      </c>
      <c r="S101" s="37">
        <f t="shared" si="14"/>
        <v>108498.43382377103</v>
      </c>
      <c r="T101" s="40">
        <f t="shared" si="18"/>
        <v>9.654107620054031E-2</v>
      </c>
    </row>
    <row r="102" spans="2:20" x14ac:dyDescent="0.35">
      <c r="B102" s="10" t="s">
        <v>96</v>
      </c>
      <c r="C102" s="20">
        <v>2.0199999999999999E-2</v>
      </c>
      <c r="D102" s="38">
        <f t="shared" si="10"/>
        <v>0.47486234738633309</v>
      </c>
      <c r="E102" s="32">
        <f t="shared" si="15"/>
        <v>51054.736058243056</v>
      </c>
      <c r="F102" s="47">
        <v>0</v>
      </c>
      <c r="G102" s="19">
        <v>1.1900000000000001E-2</v>
      </c>
      <c r="H102" s="38">
        <f t="shared" si="11"/>
        <v>0.19892768897542754</v>
      </c>
      <c r="I102" s="32">
        <f t="shared" si="16"/>
        <v>21387.673104041569</v>
      </c>
      <c r="J102" s="47">
        <v>0</v>
      </c>
      <c r="K102" s="17">
        <v>-4.07E-2</v>
      </c>
      <c r="L102" s="38">
        <f t="shared" si="12"/>
        <v>0.21009181759577708</v>
      </c>
      <c r="M102" s="31">
        <f t="shared" si="17"/>
        <v>22587.982295051199</v>
      </c>
      <c r="N102" s="47">
        <v>0</v>
      </c>
      <c r="O102" s="15">
        <v>-9.35E-2</v>
      </c>
      <c r="P102" s="38">
        <f t="shared" si="13"/>
        <v>0.11611814604246229</v>
      </c>
      <c r="Q102" s="32">
        <f t="shared" si="19"/>
        <v>12484.420654533993</v>
      </c>
      <c r="R102" s="47">
        <v>0</v>
      </c>
      <c r="S102" s="37">
        <f t="shared" si="14"/>
        <v>107514.81211186982</v>
      </c>
      <c r="T102" s="40">
        <f t="shared" si="18"/>
        <v>-9.0657687603017401E-3</v>
      </c>
    </row>
    <row r="103" spans="2:20" x14ac:dyDescent="0.35">
      <c r="B103" s="9" t="s">
        <v>97</v>
      </c>
      <c r="C103" s="15">
        <v>-1.9099999999999999E-2</v>
      </c>
      <c r="D103" s="38">
        <f t="shared" si="10"/>
        <v>0.43791260152270017</v>
      </c>
      <c r="E103" s="32">
        <f t="shared" si="15"/>
        <v>47457.566427530612</v>
      </c>
      <c r="F103" s="48">
        <v>-2673.08</v>
      </c>
      <c r="G103" s="19">
        <v>7.1000000000000004E-3</v>
      </c>
      <c r="H103" s="38">
        <f t="shared" si="11"/>
        <v>0.19982640911989183</v>
      </c>
      <c r="I103" s="32">
        <f t="shared" si="16"/>
        <v>21655.634142080264</v>
      </c>
      <c r="J103" s="49">
        <v>115.29</v>
      </c>
      <c r="K103" s="19">
        <v>4.3200000000000002E-2</v>
      </c>
      <c r="L103" s="38">
        <f t="shared" si="12"/>
        <v>0.25873659232118407</v>
      </c>
      <c r="M103" s="31">
        <f t="shared" si="17"/>
        <v>28039.862234197411</v>
      </c>
      <c r="N103" s="49">
        <v>4290.72</v>
      </c>
      <c r="O103" s="20">
        <v>4.3499999999999997E-2</v>
      </c>
      <c r="P103" s="38">
        <f t="shared" si="13"/>
        <v>0.10352439703622393</v>
      </c>
      <c r="Q103" s="32">
        <f t="shared" si="19"/>
        <v>11219.170063006221</v>
      </c>
      <c r="R103" s="48">
        <v>-1732.94</v>
      </c>
      <c r="S103" s="37">
        <f t="shared" si="14"/>
        <v>108372.23286681451</v>
      </c>
      <c r="T103" s="40">
        <f t="shared" si="18"/>
        <v>7.9749081833722091E-3</v>
      </c>
    </row>
    <row r="104" spans="2:20" x14ac:dyDescent="0.35">
      <c r="B104" s="10" t="s">
        <v>98</v>
      </c>
      <c r="C104" s="20">
        <v>4.5999999999999999E-3</v>
      </c>
      <c r="D104" s="38">
        <f t="shared" si="10"/>
        <v>0.44064409709184649</v>
      </c>
      <c r="E104" s="32">
        <f t="shared" si="15"/>
        <v>47675.871233097256</v>
      </c>
      <c r="F104" s="47">
        <v>0</v>
      </c>
      <c r="G104" s="17">
        <v>-9.7999999999999997E-3</v>
      </c>
      <c r="H104" s="38">
        <f t="shared" si="11"/>
        <v>0.19819064279342566</v>
      </c>
      <c r="I104" s="32">
        <f t="shared" si="16"/>
        <v>21443.408927487879</v>
      </c>
      <c r="J104" s="47">
        <v>0</v>
      </c>
      <c r="K104" s="19">
        <v>1.6299999999999999E-2</v>
      </c>
      <c r="L104" s="38">
        <f t="shared" si="12"/>
        <v>0.26338262371200788</v>
      </c>
      <c r="M104" s="31">
        <f t="shared" si="17"/>
        <v>28496.911988614829</v>
      </c>
      <c r="N104" s="47">
        <v>0</v>
      </c>
      <c r="O104" s="15">
        <v>-5.7000000000000002E-2</v>
      </c>
      <c r="P104" s="38">
        <f t="shared" si="13"/>
        <v>9.7782636402720155E-2</v>
      </c>
      <c r="Q104" s="32">
        <f t="shared" si="19"/>
        <v>10579.677369414865</v>
      </c>
      <c r="R104" s="47">
        <v>0</v>
      </c>
      <c r="S104" s="37">
        <f t="shared" si="14"/>
        <v>108195.86951861481</v>
      </c>
      <c r="T104" s="40">
        <f t="shared" si="18"/>
        <v>-1.6273850186000471E-3</v>
      </c>
    </row>
    <row r="105" spans="2:20" x14ac:dyDescent="0.35">
      <c r="B105" s="11" t="s">
        <v>99</v>
      </c>
      <c r="C105" s="20">
        <v>0.1109</v>
      </c>
      <c r="D105" s="38">
        <f t="shared" si="10"/>
        <v>0.45074637821896479</v>
      </c>
      <c r="E105" s="32">
        <f t="shared" si="15"/>
        <v>52963.125352847739</v>
      </c>
      <c r="F105" s="47">
        <v>0</v>
      </c>
      <c r="G105" s="19">
        <v>0.10050000000000001</v>
      </c>
      <c r="H105" s="38">
        <f t="shared" si="11"/>
        <v>0.20083644045545646</v>
      </c>
      <c r="I105" s="32">
        <f t="shared" si="16"/>
        <v>23598.47152470041</v>
      </c>
      <c r="J105" s="47">
        <v>0</v>
      </c>
      <c r="K105" s="19">
        <v>4.3499999999999997E-2</v>
      </c>
      <c r="L105" s="38">
        <f t="shared" si="12"/>
        <v>0.2530747959889092</v>
      </c>
      <c r="M105" s="31">
        <f t="shared" si="17"/>
        <v>29736.527660119573</v>
      </c>
      <c r="N105" s="47">
        <v>0</v>
      </c>
      <c r="O105" s="20">
        <v>5.8900000000000001E-2</v>
      </c>
      <c r="P105" s="38">
        <f t="shared" si="13"/>
        <v>9.5342385336669541E-2</v>
      </c>
      <c r="Q105" s="32">
        <f t="shared" si="19"/>
        <v>11202.820366473401</v>
      </c>
      <c r="R105" s="47">
        <v>0</v>
      </c>
      <c r="S105" s="37">
        <f t="shared" si="14"/>
        <v>117500.94490414113</v>
      </c>
      <c r="T105" s="40">
        <f t="shared" si="18"/>
        <v>8.6002131383817737E-2</v>
      </c>
    </row>
    <row r="106" spans="2:20" x14ac:dyDescent="0.35">
      <c r="B106" s="10" t="s">
        <v>100</v>
      </c>
      <c r="C106" s="20">
        <v>2.5899999999999999E-2</v>
      </c>
      <c r="D106" s="38">
        <f t="shared" si="10"/>
        <v>0.45238859676913501</v>
      </c>
      <c r="E106" s="32">
        <f t="shared" si="15"/>
        <v>54334.870299486494</v>
      </c>
      <c r="F106" s="47">
        <v>0</v>
      </c>
      <c r="G106" s="19">
        <v>1.7000000000000001E-2</v>
      </c>
      <c r="H106" s="38">
        <f t="shared" si="11"/>
        <v>0.19981948809732342</v>
      </c>
      <c r="I106" s="32">
        <f t="shared" si="16"/>
        <v>23999.645540620317</v>
      </c>
      <c r="J106" s="47">
        <v>0</v>
      </c>
      <c r="K106" s="19">
        <v>1.61E-2</v>
      </c>
      <c r="L106" s="38">
        <f t="shared" si="12"/>
        <v>0.25157050432886574</v>
      </c>
      <c r="M106" s="31">
        <f t="shared" si="17"/>
        <v>30215.285755447498</v>
      </c>
      <c r="N106" s="47">
        <v>0</v>
      </c>
      <c r="O106" s="20">
        <v>3.1600000000000003E-2</v>
      </c>
      <c r="P106" s="38">
        <f t="shared" si="13"/>
        <v>9.6221410804675819E-2</v>
      </c>
      <c r="Q106" s="32">
        <f t="shared" si="19"/>
        <v>11556.82949005396</v>
      </c>
      <c r="R106" s="47">
        <v>0</v>
      </c>
      <c r="S106" s="37">
        <f t="shared" si="14"/>
        <v>120106.63108560827</v>
      </c>
      <c r="T106" s="40">
        <f t="shared" si="18"/>
        <v>2.2175874275674134E-2</v>
      </c>
    </row>
    <row r="107" spans="2:20" x14ac:dyDescent="0.35">
      <c r="B107" s="11" t="s">
        <v>101</v>
      </c>
      <c r="C107" s="20">
        <v>2.8E-3</v>
      </c>
      <c r="D107" s="38">
        <f t="shared" si="10"/>
        <v>0.45814653680173345</v>
      </c>
      <c r="E107" s="32">
        <f t="shared" si="15"/>
        <v>54487.007936325055</v>
      </c>
      <c r="F107" s="47">
        <v>0</v>
      </c>
      <c r="G107" s="17">
        <v>-5.0000000000000001E-4</v>
      </c>
      <c r="H107" s="38">
        <f t="shared" si="11"/>
        <v>0.20169683063718505</v>
      </c>
      <c r="I107" s="32">
        <f t="shared" si="16"/>
        <v>23987.645717850006</v>
      </c>
      <c r="J107" s="47">
        <v>0</v>
      </c>
      <c r="K107" s="17">
        <v>-4.4600000000000001E-2</v>
      </c>
      <c r="L107" s="38">
        <f t="shared" si="12"/>
        <v>0.24272996363591454</v>
      </c>
      <c r="M107" s="31">
        <f t="shared" si="17"/>
        <v>28867.684010754539</v>
      </c>
      <c r="N107" s="47">
        <v>0</v>
      </c>
      <c r="O107" s="20">
        <v>2.5999999999999999E-3</v>
      </c>
      <c r="P107" s="38">
        <f t="shared" si="13"/>
        <v>9.7426668925166937E-2</v>
      </c>
      <c r="Q107" s="32">
        <f t="shared" si="19"/>
        <v>11586.877246728101</v>
      </c>
      <c r="R107" s="47">
        <v>0</v>
      </c>
      <c r="S107" s="37">
        <f t="shared" si="14"/>
        <v>118929.21491165771</v>
      </c>
      <c r="T107" s="40">
        <f t="shared" si="18"/>
        <v>-9.803090498070377E-3</v>
      </c>
    </row>
    <row r="108" spans="2:20" x14ac:dyDescent="0.35">
      <c r="B108" s="10" t="s">
        <v>102</v>
      </c>
      <c r="C108" s="20">
        <v>7.0999999999999994E-2</v>
      </c>
      <c r="D108" s="38">
        <f t="shared" si="10"/>
        <v>0.45847484332145261</v>
      </c>
      <c r="E108" s="32">
        <f t="shared" si="15"/>
        <v>58355.585499804132</v>
      </c>
      <c r="F108" s="47">
        <v>0</v>
      </c>
      <c r="G108" s="19">
        <v>7.6899999999999996E-2</v>
      </c>
      <c r="H108" s="38">
        <f t="shared" si="11"/>
        <v>0.20295328390810596</v>
      </c>
      <c r="I108" s="32">
        <f t="shared" si="16"/>
        <v>25832.295673552671</v>
      </c>
      <c r="J108" s="47">
        <v>0</v>
      </c>
      <c r="K108" s="19">
        <v>6.9400000000000003E-2</v>
      </c>
      <c r="L108" s="38">
        <f t="shared" si="12"/>
        <v>0.24254102159699759</v>
      </c>
      <c r="M108" s="31">
        <f t="shared" si="17"/>
        <v>30871.101281100906</v>
      </c>
      <c r="N108" s="47">
        <v>0</v>
      </c>
      <c r="O108" s="20">
        <v>5.4899999999999997E-2</v>
      </c>
      <c r="P108" s="38">
        <f t="shared" si="13"/>
        <v>9.6030851173443774E-2</v>
      </c>
      <c r="Q108" s="32">
        <f t="shared" si="19"/>
        <v>12222.996807573474</v>
      </c>
      <c r="R108" s="47">
        <v>0</v>
      </c>
      <c r="S108" s="37">
        <f t="shared" si="14"/>
        <v>127281.97926203119</v>
      </c>
      <c r="T108" s="40">
        <f t="shared" si="18"/>
        <v>7.0233073989246719E-2</v>
      </c>
    </row>
    <row r="109" spans="2:20" x14ac:dyDescent="0.35">
      <c r="B109" s="11" t="s">
        <v>103</v>
      </c>
      <c r="C109" s="15">
        <v>-6.1999999999999998E-3</v>
      </c>
      <c r="D109" s="38">
        <f t="shared" si="10"/>
        <v>0.46260637901649071</v>
      </c>
      <c r="E109" s="32">
        <f t="shared" si="15"/>
        <v>57993.780869705348</v>
      </c>
      <c r="F109" s="47">
        <v>0</v>
      </c>
      <c r="G109" s="17">
        <v>-3.3500000000000002E-2</v>
      </c>
      <c r="H109" s="38">
        <f t="shared" si="11"/>
        <v>0.19915676130181209</v>
      </c>
      <c r="I109" s="32">
        <f t="shared" si="16"/>
        <v>24966.913768488655</v>
      </c>
      <c r="J109" s="47">
        <v>0</v>
      </c>
      <c r="K109" s="17">
        <v>-1.9E-2</v>
      </c>
      <c r="L109" s="38">
        <f t="shared" si="12"/>
        <v>0.24157463042734173</v>
      </c>
      <c r="M109" s="31">
        <f t="shared" si="17"/>
        <v>30284.550356759988</v>
      </c>
      <c r="N109" s="47">
        <v>0</v>
      </c>
      <c r="O109" s="15">
        <v>-8.6E-3</v>
      </c>
      <c r="P109" s="38">
        <f t="shared" si="13"/>
        <v>9.6662229254355386E-2</v>
      </c>
      <c r="Q109" s="32">
        <f t="shared" si="19"/>
        <v>12117.879035028342</v>
      </c>
      <c r="R109" s="47">
        <v>0</v>
      </c>
      <c r="S109" s="37">
        <f t="shared" si="14"/>
        <v>125363.12402998234</v>
      </c>
      <c r="T109" s="40">
        <f t="shared" si="18"/>
        <v>-1.5075623769949198E-2</v>
      </c>
    </row>
    <row r="110" spans="2:20" x14ac:dyDescent="0.35">
      <c r="B110" s="10" t="s">
        <v>104</v>
      </c>
      <c r="C110" s="20">
        <v>2.47E-2</v>
      </c>
      <c r="D110" s="38">
        <f t="shared" si="10"/>
        <v>0.46166524646095131</v>
      </c>
      <c r="E110" s="32">
        <f t="shared" si="15"/>
        <v>59426.227257187071</v>
      </c>
      <c r="F110" s="47">
        <v>0</v>
      </c>
      <c r="G110" s="19">
        <v>4.0399999999999998E-2</v>
      </c>
      <c r="H110" s="38">
        <f t="shared" si="11"/>
        <v>0.20179677812778482</v>
      </c>
      <c r="I110" s="32">
        <f t="shared" si="16"/>
        <v>25975.577084735596</v>
      </c>
      <c r="J110" s="47">
        <v>0</v>
      </c>
      <c r="K110" s="19">
        <v>8.9999999999999993E-3</v>
      </c>
      <c r="L110" s="38">
        <f t="shared" si="12"/>
        <v>0.2373893981692447</v>
      </c>
      <c r="M110" s="31">
        <f t="shared" si="17"/>
        <v>30557.111309970827</v>
      </c>
      <c r="N110" s="47">
        <v>0</v>
      </c>
      <c r="O110" s="20">
        <v>5.3199999999999997E-2</v>
      </c>
      <c r="P110" s="38">
        <f t="shared" si="13"/>
        <v>9.914857724201924E-2</v>
      </c>
      <c r="Q110" s="32">
        <f t="shared" si="19"/>
        <v>12762.55019969185</v>
      </c>
      <c r="R110" s="47">
        <v>0</v>
      </c>
      <c r="S110" s="37">
        <f t="shared" si="14"/>
        <v>128721.46585158534</v>
      </c>
      <c r="T110" s="40">
        <f t="shared" si="18"/>
        <v>2.6788912988478186E-2</v>
      </c>
    </row>
    <row r="111" spans="2:20" x14ac:dyDescent="0.35">
      <c r="B111" s="11" t="s">
        <v>105</v>
      </c>
      <c r="C111" s="20">
        <v>1.4200000000000001E-2</v>
      </c>
      <c r="D111" s="38">
        <f t="shared" si="10"/>
        <v>0.45728257019144647</v>
      </c>
      <c r="E111" s="32">
        <f t="shared" si="15"/>
        <v>60270.079684239128</v>
      </c>
      <c r="F111" s="47">
        <v>0</v>
      </c>
      <c r="G111" s="19">
        <v>1.8599999999999998E-2</v>
      </c>
      <c r="H111" s="38">
        <f t="shared" si="11"/>
        <v>0.20074824585964601</v>
      </c>
      <c r="I111" s="32">
        <f t="shared" si="16"/>
        <v>26458.722818511676</v>
      </c>
      <c r="J111" s="47">
        <v>0</v>
      </c>
      <c r="K111" s="19">
        <v>4.1799999999999997E-2</v>
      </c>
      <c r="L111" s="38">
        <f t="shared" si="12"/>
        <v>0.2415346996640817</v>
      </c>
      <c r="M111" s="31">
        <f t="shared" si="17"/>
        <v>31834.398562727609</v>
      </c>
      <c r="N111" s="47">
        <v>0</v>
      </c>
      <c r="O111" s="20">
        <v>3.7199999999999997E-2</v>
      </c>
      <c r="P111" s="38">
        <f t="shared" si="13"/>
        <v>0.10043448428482575</v>
      </c>
      <c r="Q111" s="32">
        <f t="shared" si="19"/>
        <v>13237.317067120386</v>
      </c>
      <c r="R111" s="47">
        <v>0</v>
      </c>
      <c r="S111" s="37">
        <f t="shared" si="14"/>
        <v>131800.51813259881</v>
      </c>
      <c r="T111" s="40">
        <f t="shared" si="18"/>
        <v>2.3920270489800055E-2</v>
      </c>
    </row>
    <row r="112" spans="2:20" x14ac:dyDescent="0.35">
      <c r="B112" s="10" t="s">
        <v>106</v>
      </c>
      <c r="C112" s="15">
        <v>-1.89E-2</v>
      </c>
      <c r="D112" s="38">
        <f t="shared" si="10"/>
        <v>0.45617217538250421</v>
      </c>
      <c r="E112" s="32">
        <f t="shared" si="15"/>
        <v>59130.975178207009</v>
      </c>
      <c r="F112" s="47">
        <v>0</v>
      </c>
      <c r="G112" s="17">
        <v>-2.0799999999999999E-2</v>
      </c>
      <c r="H112" s="38">
        <f t="shared" si="11"/>
        <v>0.19987295424958543</v>
      </c>
      <c r="I112" s="32">
        <f t="shared" si="16"/>
        <v>25908.381383886634</v>
      </c>
      <c r="J112" s="47">
        <v>0</v>
      </c>
      <c r="K112" s="17">
        <v>-3.3999999999999998E-3</v>
      </c>
      <c r="L112" s="38">
        <f t="shared" si="12"/>
        <v>0.24475483641974941</v>
      </c>
      <c r="M112" s="31">
        <f t="shared" si="17"/>
        <v>31726.161607614336</v>
      </c>
      <c r="N112" s="47">
        <v>0</v>
      </c>
      <c r="O112" s="15">
        <v>-2.86E-2</v>
      </c>
      <c r="P112" s="38">
        <f t="shared" si="13"/>
        <v>9.9200033948160987E-2</v>
      </c>
      <c r="Q112" s="32">
        <f t="shared" si="19"/>
        <v>12858.729799000743</v>
      </c>
      <c r="R112" s="47">
        <v>0</v>
      </c>
      <c r="S112" s="37">
        <f t="shared" si="14"/>
        <v>129624.24796870872</v>
      </c>
      <c r="T112" s="40">
        <f t="shared" si="18"/>
        <v>-1.6511848319902933E-2</v>
      </c>
    </row>
    <row r="113" spans="2:20" x14ac:dyDescent="0.35">
      <c r="B113" s="11" t="s">
        <v>107</v>
      </c>
      <c r="C113" s="20">
        <v>3.56E-2</v>
      </c>
      <c r="D113" s="38">
        <f t="shared" si="10"/>
        <v>0.45478613298403192</v>
      </c>
      <c r="E113" s="32">
        <f t="shared" si="15"/>
        <v>61236.037894551177</v>
      </c>
      <c r="F113" s="47">
        <v>0</v>
      </c>
      <c r="G113" s="19">
        <v>3.8399999999999997E-2</v>
      </c>
      <c r="H113" s="38">
        <f t="shared" si="11"/>
        <v>0.19980442022800743</v>
      </c>
      <c r="I113" s="32">
        <f t="shared" si="16"/>
        <v>26903.263229027882</v>
      </c>
      <c r="J113" s="47">
        <v>0</v>
      </c>
      <c r="K113" s="19">
        <v>4.8599999999999997E-2</v>
      </c>
      <c r="L113" s="38">
        <f t="shared" si="12"/>
        <v>0.24707426744218836</v>
      </c>
      <c r="M113" s="31">
        <f t="shared" si="17"/>
        <v>33268.053061744395</v>
      </c>
      <c r="N113" s="47">
        <v>0</v>
      </c>
      <c r="O113" s="20">
        <v>2.9700000000000001E-2</v>
      </c>
      <c r="P113" s="38">
        <f t="shared" si="13"/>
        <v>9.8335179345772267E-2</v>
      </c>
      <c r="Q113" s="32">
        <f t="shared" si="19"/>
        <v>13240.634074031064</v>
      </c>
      <c r="R113" s="47">
        <v>0</v>
      </c>
      <c r="S113" s="37">
        <f t="shared" si="14"/>
        <v>134647.98825935452</v>
      </c>
      <c r="T113" s="40">
        <f t="shared" si="18"/>
        <v>3.8756176945061505E-2</v>
      </c>
    </row>
    <row r="114" spans="2:20" x14ac:dyDescent="0.35">
      <c r="B114" s="10" t="s">
        <v>108</v>
      </c>
      <c r="C114" s="15">
        <v>-1.66E-2</v>
      </c>
      <c r="D114" s="38">
        <f t="shared" si="10"/>
        <v>0.4483239209904048</v>
      </c>
      <c r="E114" s="32">
        <f t="shared" si="15"/>
        <v>60219.519665501626</v>
      </c>
      <c r="F114" s="47">
        <v>0</v>
      </c>
      <c r="G114" s="19">
        <v>3.2000000000000002E-3</v>
      </c>
      <c r="H114" s="38">
        <f t="shared" si="11"/>
        <v>0.20093107567367452</v>
      </c>
      <c r="I114" s="32">
        <f t="shared" si="16"/>
        <v>26989.353671360772</v>
      </c>
      <c r="J114" s="47">
        <v>0</v>
      </c>
      <c r="K114" s="19">
        <v>3.6499999999999998E-2</v>
      </c>
      <c r="L114" s="38">
        <f t="shared" si="12"/>
        <v>0.25671504213168628</v>
      </c>
      <c r="M114" s="31">
        <f t="shared" si="17"/>
        <v>34482.336998498067</v>
      </c>
      <c r="N114" s="47">
        <v>0</v>
      </c>
      <c r="O114" s="15">
        <v>-4.6100000000000002E-2</v>
      </c>
      <c r="P114" s="38">
        <f t="shared" si="13"/>
        <v>9.40299612042345E-2</v>
      </c>
      <c r="Q114" s="32">
        <f t="shared" si="19"/>
        <v>12630.240843218233</v>
      </c>
      <c r="R114" s="47">
        <v>0</v>
      </c>
      <c r="S114" s="37">
        <f t="shared" si="14"/>
        <v>134321.45117857869</v>
      </c>
      <c r="T114" s="40">
        <f t="shared" si="18"/>
        <v>-2.4251166690055781E-3</v>
      </c>
    </row>
    <row r="115" spans="2:20" x14ac:dyDescent="0.35">
      <c r="B115" s="9" t="s">
        <v>109</v>
      </c>
      <c r="C115" s="20">
        <v>0.02</v>
      </c>
      <c r="D115" s="38">
        <f t="shared" si="10"/>
        <v>0.4572600996916335</v>
      </c>
      <c r="E115" s="32">
        <f t="shared" si="15"/>
        <v>61653.542658811653</v>
      </c>
      <c r="F115" s="49">
        <v>225.13</v>
      </c>
      <c r="G115" s="19">
        <v>3.1699999999999999E-2</v>
      </c>
      <c r="H115" s="38">
        <f t="shared" si="11"/>
        <v>0.20555787862570979</v>
      </c>
      <c r="I115" s="32">
        <f t="shared" si="16"/>
        <v>27715.891780742906</v>
      </c>
      <c r="J115" s="48">
        <v>-125.06</v>
      </c>
      <c r="K115" s="17">
        <v>-3.1899999999999998E-2</v>
      </c>
      <c r="L115" s="38">
        <f t="shared" si="12"/>
        <v>0.24110754397965078</v>
      </c>
      <c r="M115" s="31">
        <f t="shared" si="17"/>
        <v>32509.143610245981</v>
      </c>
      <c r="N115" s="48">
        <v>-901.98</v>
      </c>
      <c r="O115" s="15">
        <v>-3.56E-2</v>
      </c>
      <c r="P115" s="38">
        <f t="shared" si="13"/>
        <v>9.6074477703006103E-2</v>
      </c>
      <c r="Q115" s="32">
        <f t="shared" si="19"/>
        <v>12953.966273199663</v>
      </c>
      <c r="R115" s="49">
        <v>801.91</v>
      </c>
      <c r="S115" s="37">
        <f t="shared" si="14"/>
        <v>134832.54432300018</v>
      </c>
      <c r="T115" s="40">
        <f t="shared" si="18"/>
        <v>3.8050001689007296E-3</v>
      </c>
    </row>
    <row r="116" spans="2:20" x14ac:dyDescent="0.35">
      <c r="B116" s="10" t="s">
        <v>110</v>
      </c>
      <c r="C116" s="20">
        <v>3.5999999999999999E-3</v>
      </c>
      <c r="D116" s="38">
        <f t="shared" si="10"/>
        <v>0.46381873753900615</v>
      </c>
      <c r="E116" s="32">
        <f t="shared" si="15"/>
        <v>61875.495412383374</v>
      </c>
      <c r="F116" s="47">
        <v>0</v>
      </c>
      <c r="G116" s="19">
        <v>2.5999999999999999E-3</v>
      </c>
      <c r="H116" s="38">
        <f t="shared" si="11"/>
        <v>0.20829850717873663</v>
      </c>
      <c r="I116" s="32">
        <f t="shared" si="16"/>
        <v>27787.953099372837</v>
      </c>
      <c r="J116" s="47">
        <v>0</v>
      </c>
      <c r="K116" s="17">
        <v>-3.0099999999999998E-2</v>
      </c>
      <c r="L116" s="38">
        <f t="shared" si="12"/>
        <v>0.23635352762643985</v>
      </c>
      <c r="M116" s="31">
        <f t="shared" si="17"/>
        <v>31530.618387577579</v>
      </c>
      <c r="N116" s="47">
        <v>0</v>
      </c>
      <c r="O116" s="15">
        <v>-5.74E-2</v>
      </c>
      <c r="P116" s="38">
        <f t="shared" si="13"/>
        <v>9.1529227655817433E-2</v>
      </c>
      <c r="Q116" s="32">
        <f t="shared" si="19"/>
        <v>12210.408609118003</v>
      </c>
      <c r="R116" s="47">
        <v>0</v>
      </c>
      <c r="S116" s="37">
        <f t="shared" si="14"/>
        <v>133404.47550845178</v>
      </c>
      <c r="T116" s="40">
        <f t="shared" si="18"/>
        <v>-1.0591425250623288E-2</v>
      </c>
    </row>
    <row r="117" spans="2:20" x14ac:dyDescent="0.35">
      <c r="B117" s="11" t="s">
        <v>111</v>
      </c>
      <c r="C117" s="20">
        <v>6.0600000000000001E-2</v>
      </c>
      <c r="D117" s="38">
        <f t="shared" si="10"/>
        <v>0.46911950551052534</v>
      </c>
      <c r="E117" s="32">
        <f t="shared" si="15"/>
        <v>65625.150434373805</v>
      </c>
      <c r="F117" s="47">
        <v>0</v>
      </c>
      <c r="G117" s="19">
        <v>6.8400000000000002E-2</v>
      </c>
      <c r="H117" s="38">
        <f t="shared" si="11"/>
        <v>0.2122284564504994</v>
      </c>
      <c r="I117" s="32">
        <f t="shared" si="16"/>
        <v>29688.649091369938</v>
      </c>
      <c r="J117" s="47">
        <v>0</v>
      </c>
      <c r="K117" s="19">
        <v>1.34E-2</v>
      </c>
      <c r="L117" s="38">
        <f t="shared" si="12"/>
        <v>0.22841602379315831</v>
      </c>
      <c r="M117" s="31">
        <f t="shared" si="17"/>
        <v>31953.128673971118</v>
      </c>
      <c r="N117" s="47">
        <v>0</v>
      </c>
      <c r="O117" s="20">
        <v>3.3799999999999997E-2</v>
      </c>
      <c r="P117" s="38">
        <f t="shared" si="13"/>
        <v>9.0236014245816898E-2</v>
      </c>
      <c r="Q117" s="32">
        <f t="shared" si="19"/>
        <v>12623.120420106192</v>
      </c>
      <c r="R117" s="47">
        <v>0</v>
      </c>
      <c r="S117" s="37">
        <f t="shared" si="14"/>
        <v>139890.04861982106</v>
      </c>
      <c r="T117" s="40">
        <f t="shared" si="18"/>
        <v>4.8615858550850266E-2</v>
      </c>
    </row>
    <row r="118" spans="2:20" x14ac:dyDescent="0.35">
      <c r="B118" s="10" t="s">
        <v>112</v>
      </c>
      <c r="C118" s="20">
        <v>1.06E-2</v>
      </c>
      <c r="D118" s="38">
        <f t="shared" si="10"/>
        <v>0.47583958333009957</v>
      </c>
      <c r="E118" s="32">
        <f t="shared" si="15"/>
        <v>66320.777028978162</v>
      </c>
      <c r="F118" s="47">
        <v>0</v>
      </c>
      <c r="G118" s="17">
        <v>-1.0800000000000001E-2</v>
      </c>
      <c r="H118" s="38">
        <f t="shared" si="11"/>
        <v>0.21071017360821465</v>
      </c>
      <c r="I118" s="32">
        <f t="shared" si="16"/>
        <v>29368.011681183143</v>
      </c>
      <c r="J118" s="47">
        <v>0</v>
      </c>
      <c r="K118" s="19">
        <v>4.7000000000000002E-3</v>
      </c>
      <c r="L118" s="38">
        <f t="shared" si="12"/>
        <v>0.23033543282796667</v>
      </c>
      <c r="M118" s="31">
        <f t="shared" si="17"/>
        <v>32103.30837873878</v>
      </c>
      <c r="N118" s="47">
        <v>0</v>
      </c>
      <c r="O118" s="15">
        <v>-8.2299999999999998E-2</v>
      </c>
      <c r="P118" s="38">
        <f t="shared" si="13"/>
        <v>8.3114810233719069E-2</v>
      </c>
      <c r="Q118" s="32">
        <f t="shared" si="19"/>
        <v>11584.237609531452</v>
      </c>
      <c r="R118" s="47">
        <v>0</v>
      </c>
      <c r="S118" s="37">
        <f t="shared" si="14"/>
        <v>139376.33469843154</v>
      </c>
      <c r="T118" s="40">
        <f t="shared" si="18"/>
        <v>-3.6722692318567063E-3</v>
      </c>
    </row>
    <row r="119" spans="2:20" x14ac:dyDescent="0.35">
      <c r="B119" s="11" t="s">
        <v>113</v>
      </c>
      <c r="C119" s="20">
        <v>7.3999999999999996E-2</v>
      </c>
      <c r="D119" s="38">
        <f t="shared" si="10"/>
        <v>0.48468557280506736</v>
      </c>
      <c r="E119" s="32">
        <f t="shared" si="15"/>
        <v>71228.514529122549</v>
      </c>
      <c r="F119" s="47">
        <v>0</v>
      </c>
      <c r="G119" s="19">
        <v>9.35E-2</v>
      </c>
      <c r="H119" s="38">
        <f t="shared" si="11"/>
        <v>0.21852419902278369</v>
      </c>
      <c r="I119" s="32">
        <f t="shared" si="16"/>
        <v>32113.920773373768</v>
      </c>
      <c r="J119" s="47">
        <v>0</v>
      </c>
      <c r="K119" s="19">
        <v>1.2999999999999999E-3</v>
      </c>
      <c r="L119" s="38">
        <f t="shared" si="12"/>
        <v>0.21873597290380395</v>
      </c>
      <c r="M119" s="31">
        <f t="shared" si="17"/>
        <v>32145.04267963114</v>
      </c>
      <c r="N119" s="47">
        <v>0</v>
      </c>
      <c r="O119" s="15">
        <v>-9.7999999999999997E-3</v>
      </c>
      <c r="P119" s="38">
        <f t="shared" si="13"/>
        <v>7.8054255268345057E-2</v>
      </c>
      <c r="Q119" s="32">
        <f t="shared" si="19"/>
        <v>11470.712080958045</v>
      </c>
      <c r="R119" s="47">
        <v>0</v>
      </c>
      <c r="S119" s="37">
        <f t="shared" si="14"/>
        <v>146958.19006308549</v>
      </c>
      <c r="T119" s="40">
        <f t="shared" si="18"/>
        <v>5.4398441321181323E-2</v>
      </c>
    </row>
    <row r="120" spans="2:20" x14ac:dyDescent="0.35">
      <c r="B120" s="10" t="s">
        <v>114</v>
      </c>
      <c r="C120" s="20">
        <v>2.0199999999999999E-2</v>
      </c>
      <c r="D120" s="38">
        <f t="shared" si="10"/>
        <v>0.49317938200892042</v>
      </c>
      <c r="E120" s="32">
        <f t="shared" si="15"/>
        <v>72667.33052261082</v>
      </c>
      <c r="F120" s="47">
        <v>0</v>
      </c>
      <c r="G120" s="19">
        <v>2.7300000000000001E-2</v>
      </c>
      <c r="H120" s="38">
        <f t="shared" si="11"/>
        <v>0.2239011506021647</v>
      </c>
      <c r="I120" s="32">
        <f t="shared" si="16"/>
        <v>32990.630810486873</v>
      </c>
      <c r="J120" s="47">
        <v>0</v>
      </c>
      <c r="K120" s="17">
        <v>-3.2000000000000001E-2</v>
      </c>
      <c r="L120" s="38">
        <f t="shared" si="12"/>
        <v>0.21118111068559717</v>
      </c>
      <c r="M120" s="31">
        <f t="shared" si="17"/>
        <v>31116.401313882943</v>
      </c>
      <c r="N120" s="47">
        <v>0</v>
      </c>
      <c r="O120" s="15">
        <v>-7.85E-2</v>
      </c>
      <c r="P120" s="38">
        <f t="shared" si="13"/>
        <v>7.1738356703317796E-2</v>
      </c>
      <c r="Q120" s="32">
        <f t="shared" si="19"/>
        <v>10570.261182602839</v>
      </c>
      <c r="R120" s="47">
        <v>0</v>
      </c>
      <c r="S120" s="37">
        <f t="shared" si="14"/>
        <v>147344.62382958346</v>
      </c>
      <c r="T120" s="40">
        <f t="shared" si="18"/>
        <v>2.629549032497458E-3</v>
      </c>
    </row>
    <row r="121" spans="2:20" x14ac:dyDescent="0.35">
      <c r="B121" s="11" t="s">
        <v>115</v>
      </c>
      <c r="C121" s="20">
        <v>9.4600000000000004E-2</v>
      </c>
      <c r="D121" s="38">
        <f t="shared" si="10"/>
        <v>0.49403588107625568</v>
      </c>
      <c r="E121" s="32">
        <f t="shared" si="15"/>
        <v>79541.659990049811</v>
      </c>
      <c r="F121" s="47">
        <v>0</v>
      </c>
      <c r="G121" s="19">
        <v>0.11459999999999999</v>
      </c>
      <c r="H121" s="38">
        <f t="shared" si="11"/>
        <v>0.22838811518664315</v>
      </c>
      <c r="I121" s="32">
        <f t="shared" si="16"/>
        <v>36771.357101368667</v>
      </c>
      <c r="J121" s="47">
        <v>0</v>
      </c>
      <c r="K121" s="19">
        <v>5.6800000000000003E-2</v>
      </c>
      <c r="L121" s="38">
        <f t="shared" si="12"/>
        <v>0.20424244962244281</v>
      </c>
      <c r="M121" s="31">
        <f t="shared" si="17"/>
        <v>32883.812908511492</v>
      </c>
      <c r="N121" s="47">
        <v>0</v>
      </c>
      <c r="O121" s="20">
        <v>0.11700000000000001</v>
      </c>
      <c r="P121" s="38">
        <f t="shared" si="13"/>
        <v>7.3333554114658417E-2</v>
      </c>
      <c r="Q121" s="32">
        <f t="shared" si="19"/>
        <v>11806.981740967371</v>
      </c>
      <c r="R121" s="47">
        <v>0</v>
      </c>
      <c r="S121" s="37">
        <f t="shared" si="14"/>
        <v>161003.81174089733</v>
      </c>
      <c r="T121" s="40">
        <f t="shared" si="18"/>
        <v>9.2702316218282066E-2</v>
      </c>
    </row>
    <row r="122" spans="2:20" x14ac:dyDescent="0.35">
      <c r="B122" s="10" t="s">
        <v>116</v>
      </c>
      <c r="C122" s="20">
        <v>8.6E-3</v>
      </c>
      <c r="D122" s="38">
        <f t="shared" si="10"/>
        <v>0.49025902537414462</v>
      </c>
      <c r="E122" s="32">
        <f t="shared" si="15"/>
        <v>80225.718265964242</v>
      </c>
      <c r="F122" s="47">
        <v>0</v>
      </c>
      <c r="G122" s="19">
        <v>8.3000000000000001E-3</v>
      </c>
      <c r="H122" s="38">
        <f t="shared" si="11"/>
        <v>0.2265746976350245</v>
      </c>
      <c r="I122" s="32">
        <f t="shared" si="16"/>
        <v>37076.55936531003</v>
      </c>
      <c r="J122" s="47">
        <v>0</v>
      </c>
      <c r="K122" s="19">
        <v>1.47E-2</v>
      </c>
      <c r="L122" s="38">
        <f t="shared" si="12"/>
        <v>0.20390684852539659</v>
      </c>
      <c r="M122" s="31">
        <f t="shared" si="17"/>
        <v>33367.204958266608</v>
      </c>
      <c r="N122" s="47">
        <v>0</v>
      </c>
      <c r="O122" s="20">
        <v>9.8500000000000004E-2</v>
      </c>
      <c r="P122" s="38">
        <f t="shared" si="13"/>
        <v>7.9259428465434281E-2</v>
      </c>
      <c r="Q122" s="32">
        <f t="shared" si="19"/>
        <v>12969.969442452657</v>
      </c>
      <c r="R122" s="47">
        <v>0</v>
      </c>
      <c r="S122" s="37">
        <f t="shared" si="14"/>
        <v>163639.45203199354</v>
      </c>
      <c r="T122" s="40">
        <f t="shared" si="18"/>
        <v>1.6370049023048727E-2</v>
      </c>
    </row>
    <row r="123" spans="2:20" x14ac:dyDescent="0.35">
      <c r="B123" s="11" t="s">
        <v>117</v>
      </c>
      <c r="C123" s="15">
        <v>-2.0899999999999998E-2</v>
      </c>
      <c r="D123" s="38">
        <f t="shared" si="10"/>
        <v>0.4856643840342949</v>
      </c>
      <c r="E123" s="32">
        <f t="shared" si="15"/>
        <v>78549.000754205583</v>
      </c>
      <c r="F123" s="47">
        <v>0</v>
      </c>
      <c r="G123" s="19">
        <v>9.9000000000000008E-3</v>
      </c>
      <c r="H123" s="38">
        <f t="shared" si="11"/>
        <v>0.23151193724786673</v>
      </c>
      <c r="I123" s="32">
        <f t="shared" si="16"/>
        <v>37443.6173030266</v>
      </c>
      <c r="J123" s="47">
        <v>0</v>
      </c>
      <c r="K123" s="19">
        <v>1.9300000000000001E-2</v>
      </c>
      <c r="L123" s="38">
        <f t="shared" si="12"/>
        <v>0.21028943030631977</v>
      </c>
      <c r="M123" s="31">
        <f t="shared" si="17"/>
        <v>34011.192013961154</v>
      </c>
      <c r="N123" s="47">
        <v>0</v>
      </c>
      <c r="O123" s="15">
        <v>-9.5500000000000002E-2</v>
      </c>
      <c r="P123" s="38">
        <f t="shared" si="13"/>
        <v>7.2534248411518634E-2</v>
      </c>
      <c r="Q123" s="32">
        <f t="shared" si="19"/>
        <v>11731.337360698428</v>
      </c>
      <c r="R123" s="47">
        <v>0</v>
      </c>
      <c r="S123" s="37">
        <f t="shared" si="14"/>
        <v>161735.14743189176</v>
      </c>
      <c r="T123" s="40">
        <f t="shared" si="18"/>
        <v>-1.1637197365641727E-2</v>
      </c>
    </row>
    <row r="124" spans="2:20" x14ac:dyDescent="0.35">
      <c r="B124" s="10" t="s">
        <v>118</v>
      </c>
      <c r="C124" s="20">
        <v>1.0999999999999999E-2</v>
      </c>
      <c r="D124" s="38">
        <f t="shared" si="10"/>
        <v>0.48979742281231436</v>
      </c>
      <c r="E124" s="32">
        <f t="shared" si="15"/>
        <v>79413.039762501838</v>
      </c>
      <c r="F124" s="47">
        <v>0</v>
      </c>
      <c r="G124" s="17">
        <v>-8.8000000000000005E-3</v>
      </c>
      <c r="H124" s="38">
        <f t="shared" si="11"/>
        <v>0.22890947358654962</v>
      </c>
      <c r="I124" s="32">
        <f t="shared" si="16"/>
        <v>37114.113470759963</v>
      </c>
      <c r="J124" s="47">
        <v>0</v>
      </c>
      <c r="K124" s="19">
        <v>8.2000000000000007E-3</v>
      </c>
      <c r="L124" s="38">
        <f t="shared" si="12"/>
        <v>0.21149164819584496</v>
      </c>
      <c r="M124" s="31">
        <f t="shared" si="17"/>
        <v>34290.083788475633</v>
      </c>
      <c r="N124" s="47">
        <v>0</v>
      </c>
      <c r="O124" s="15">
        <v>-3.5299999999999998E-2</v>
      </c>
      <c r="P124" s="38">
        <f t="shared" si="13"/>
        <v>6.9801455405290924E-2</v>
      </c>
      <c r="Q124" s="32">
        <f t="shared" si="19"/>
        <v>11317.221151865773</v>
      </c>
      <c r="R124" s="47">
        <v>0</v>
      </c>
      <c r="S124" s="37">
        <f t="shared" si="14"/>
        <v>162134.45817360323</v>
      </c>
      <c r="T124" s="40">
        <f t="shared" si="18"/>
        <v>2.468917536181392E-3</v>
      </c>
    </row>
    <row r="125" spans="2:20" x14ac:dyDescent="0.35">
      <c r="B125" s="11" t="s">
        <v>119</v>
      </c>
      <c r="C125" s="20">
        <v>9.4700000000000006E-2</v>
      </c>
      <c r="D125" s="38">
        <f t="shared" si="10"/>
        <v>0.48531480151343931</v>
      </c>
      <c r="E125" s="32">
        <f t="shared" si="15"/>
        <v>85146.816652010762</v>
      </c>
      <c r="F125" s="48">
        <v>-1632.08</v>
      </c>
      <c r="G125" s="19">
        <v>0.107</v>
      </c>
      <c r="H125" s="38">
        <f t="shared" si="11"/>
        <v>0.22387790966273913</v>
      </c>
      <c r="I125" s="32">
        <f t="shared" si="16"/>
        <v>39278.61105213128</v>
      </c>
      <c r="J125" s="48">
        <v>-1632.08</v>
      </c>
      <c r="K125" s="19">
        <v>6.2199999999999998E-2</v>
      </c>
      <c r="L125" s="38">
        <f t="shared" si="12"/>
        <v>0.19772020556678707</v>
      </c>
      <c r="M125" s="31">
        <f t="shared" si="17"/>
        <v>34689.331624118815</v>
      </c>
      <c r="N125" s="48">
        <v>-1632.08</v>
      </c>
      <c r="O125" s="20">
        <v>7.3000000000000001E-3</v>
      </c>
      <c r="P125" s="38">
        <f t="shared" si="13"/>
        <v>9.3087083257034478E-2</v>
      </c>
      <c r="Q125" s="32">
        <f t="shared" si="19"/>
        <v>16331.809345274392</v>
      </c>
      <c r="R125" s="49">
        <v>4896.2299999999996</v>
      </c>
      <c r="S125" s="37">
        <f t="shared" si="14"/>
        <v>175446.56867353525</v>
      </c>
      <c r="T125" s="40">
        <f t="shared" si="18"/>
        <v>8.2105375068871833E-2</v>
      </c>
    </row>
    <row r="126" spans="2:20" x14ac:dyDescent="0.35">
      <c r="B126" s="10" t="s">
        <v>120</v>
      </c>
      <c r="C126" s="20">
        <v>3.9800000000000002E-2</v>
      </c>
      <c r="D126" s="38">
        <f t="shared" si="10"/>
        <v>0.49229691788994701</v>
      </c>
      <c r="E126" s="32">
        <f t="shared" si="15"/>
        <v>88535.659954760791</v>
      </c>
      <c r="F126" s="47">
        <v>0</v>
      </c>
      <c r="G126" s="19">
        <v>3.2399999999999998E-2</v>
      </c>
      <c r="H126" s="38">
        <f t="shared" si="11"/>
        <v>0.22548258542315794</v>
      </c>
      <c r="I126" s="32">
        <f t="shared" si="16"/>
        <v>40551.23805022033</v>
      </c>
      <c r="J126" s="47">
        <v>0</v>
      </c>
      <c r="K126" s="19">
        <v>2.5000000000000001E-3</v>
      </c>
      <c r="L126" s="38">
        <f t="shared" si="12"/>
        <v>0.19337004635837593</v>
      </c>
      <c r="M126" s="31">
        <f t="shared" si="17"/>
        <v>34776.054953179111</v>
      </c>
      <c r="N126" s="47">
        <v>0</v>
      </c>
      <c r="O126" s="15">
        <v>-2.1600000000000001E-2</v>
      </c>
      <c r="P126" s="38">
        <f t="shared" si="13"/>
        <v>8.8850450328519071E-2</v>
      </c>
      <c r="Q126" s="32">
        <f t="shared" si="19"/>
        <v>15979.042263416466</v>
      </c>
      <c r="R126" s="47">
        <v>0</v>
      </c>
      <c r="S126" s="37">
        <f t="shared" si="14"/>
        <v>179841.99522157671</v>
      </c>
      <c r="T126" s="40">
        <f t="shared" si="18"/>
        <v>2.5052792888872633E-2</v>
      </c>
    </row>
    <row r="127" spans="2:20" x14ac:dyDescent="0.35">
      <c r="B127" s="9" t="s">
        <v>121</v>
      </c>
      <c r="C127" s="15">
        <v>-1.6799999999999999E-2</v>
      </c>
      <c r="D127" s="38">
        <f t="shared" si="10"/>
        <v>0.45203441765370428</v>
      </c>
      <c r="E127" s="32">
        <f t="shared" si="15"/>
        <v>79569.294435520816</v>
      </c>
      <c r="F127" s="48">
        <v>-7606.76</v>
      </c>
      <c r="G127" s="17">
        <v>-8.8000000000000005E-3</v>
      </c>
      <c r="H127" s="38">
        <f t="shared" si="11"/>
        <v>0.20253887114208013</v>
      </c>
      <c r="I127" s="32">
        <f t="shared" si="16"/>
        <v>35651.876147378396</v>
      </c>
      <c r="J127" s="48">
        <v>-4582.84</v>
      </c>
      <c r="K127" s="17">
        <v>-6.8500000000000005E-2</v>
      </c>
      <c r="L127" s="38">
        <f t="shared" si="12"/>
        <v>0.23792497664540721</v>
      </c>
      <c r="M127" s="31">
        <f t="shared" si="17"/>
        <v>41880.710363886341</v>
      </c>
      <c r="N127" s="49">
        <v>10184.450000000001</v>
      </c>
      <c r="O127" s="20">
        <v>5.2200000000000003E-2</v>
      </c>
      <c r="P127" s="38">
        <f t="shared" si="13"/>
        <v>0.1075017345588084</v>
      </c>
      <c r="Q127" s="32">
        <f t="shared" si="19"/>
        <v>18922.977621566806</v>
      </c>
      <c r="R127" s="49">
        <v>2005.16</v>
      </c>
      <c r="S127" s="37">
        <f t="shared" si="14"/>
        <v>176024.85856835236</v>
      </c>
      <c r="T127" s="40">
        <f t="shared" si="18"/>
        <v>-2.1224946089601571E-2</v>
      </c>
    </row>
    <row r="128" spans="2:20" x14ac:dyDescent="0.35">
      <c r="B128" s="10" t="s">
        <v>122</v>
      </c>
      <c r="C128" s="20">
        <v>5.7999999999999996E-3</v>
      </c>
      <c r="D128" s="38">
        <f t="shared" si="10"/>
        <v>0.45156339774456955</v>
      </c>
      <c r="E128" s="32">
        <f t="shared" si="15"/>
        <v>80030.796343246839</v>
      </c>
      <c r="F128" s="47">
        <v>0</v>
      </c>
      <c r="G128" s="19">
        <v>1.03E-2</v>
      </c>
      <c r="H128" s="38">
        <f t="shared" si="11"/>
        <v>0.20323305052856369</v>
      </c>
      <c r="I128" s="32">
        <f t="shared" si="16"/>
        <v>36019.090471696392</v>
      </c>
      <c r="J128" s="47">
        <v>0</v>
      </c>
      <c r="K128" s="17">
        <v>-3.2000000000000002E-3</v>
      </c>
      <c r="L128" s="38">
        <f t="shared" si="12"/>
        <v>0.23555030046472156</v>
      </c>
      <c r="M128" s="31">
        <f t="shared" si="17"/>
        <v>41746.692090721903</v>
      </c>
      <c r="N128" s="47">
        <v>0</v>
      </c>
      <c r="O128" s="20">
        <v>2.7E-2</v>
      </c>
      <c r="P128" s="38">
        <f t="shared" si="13"/>
        <v>0.10965325126214522</v>
      </c>
      <c r="Q128" s="32">
        <f t="shared" si="19"/>
        <v>19433.898017349111</v>
      </c>
      <c r="R128" s="47">
        <v>0</v>
      </c>
      <c r="S128" s="37">
        <f t="shared" si="14"/>
        <v>177230.47692301424</v>
      </c>
      <c r="T128" s="40">
        <f t="shared" si="18"/>
        <v>6.849136902977504E-3</v>
      </c>
    </row>
    <row r="129" spans="2:20" x14ac:dyDescent="0.35">
      <c r="B129" s="11" t="s">
        <v>123</v>
      </c>
      <c r="C129" s="15">
        <v>-1.8599999999999998E-2</v>
      </c>
      <c r="D129" s="38">
        <f t="shared" si="10"/>
        <v>0.45168396839992386</v>
      </c>
      <c r="E129" s="32">
        <f t="shared" si="15"/>
        <v>78542.223531262454</v>
      </c>
      <c r="F129" s="47">
        <v>0</v>
      </c>
      <c r="G129" s="17">
        <v>-3.5099999999999999E-2</v>
      </c>
      <c r="H129" s="38">
        <f t="shared" si="11"/>
        <v>0.19986950320176061</v>
      </c>
      <c r="I129" s="32">
        <f t="shared" si="16"/>
        <v>34754.820396139847</v>
      </c>
      <c r="J129" s="47">
        <v>0</v>
      </c>
      <c r="K129" s="19">
        <v>1.24E-2</v>
      </c>
      <c r="L129" s="38">
        <f t="shared" si="12"/>
        <v>0.24305563244898706</v>
      </c>
      <c r="M129" s="31">
        <f t="shared" si="17"/>
        <v>42264.351072646852</v>
      </c>
      <c r="N129" s="47">
        <v>0</v>
      </c>
      <c r="O129" s="15">
        <v>-5.7000000000000002E-2</v>
      </c>
      <c r="P129" s="38">
        <f t="shared" si="13"/>
        <v>0.10539089594932856</v>
      </c>
      <c r="Q129" s="32">
        <f t="shared" si="19"/>
        <v>18326.165830360213</v>
      </c>
      <c r="R129" s="47">
        <v>0</v>
      </c>
      <c r="S129" s="37">
        <f t="shared" si="14"/>
        <v>173887.56083040935</v>
      </c>
      <c r="T129" s="40">
        <f t="shared" si="18"/>
        <v>-1.8861970867781408E-2</v>
      </c>
    </row>
    <row r="130" spans="2:20" x14ac:dyDescent="0.35">
      <c r="B130" s="10" t="s">
        <v>124</v>
      </c>
      <c r="C130" s="15">
        <v>-8.8999999999999999E-3</v>
      </c>
      <c r="D130" s="38">
        <f t="shared" si="10"/>
        <v>0.45540593143170294</v>
      </c>
      <c r="E130" s="32">
        <f t="shared" si="15"/>
        <v>77843.197741834214</v>
      </c>
      <c r="F130" s="47">
        <v>0</v>
      </c>
      <c r="G130" s="17">
        <v>-5.1900000000000002E-2</v>
      </c>
      <c r="H130" s="38">
        <f t="shared" si="11"/>
        <v>0.1927734455196429</v>
      </c>
      <c r="I130" s="32">
        <f t="shared" si="16"/>
        <v>32951.045217580191</v>
      </c>
      <c r="J130" s="47">
        <v>0</v>
      </c>
      <c r="K130" s="17">
        <v>-7.3000000000000001E-3</v>
      </c>
      <c r="L130" s="38">
        <f t="shared" si="12"/>
        <v>0.24545407224850821</v>
      </c>
      <c r="M130" s="31">
        <f t="shared" si="17"/>
        <v>41955.821309816529</v>
      </c>
      <c r="N130" s="47">
        <v>0</v>
      </c>
      <c r="O130" s="15">
        <v>-7.9000000000000008E-3</v>
      </c>
      <c r="P130" s="38">
        <f t="shared" si="13"/>
        <v>0.10636655080014598</v>
      </c>
      <c r="Q130" s="32">
        <f t="shared" si="19"/>
        <v>18181.389120300366</v>
      </c>
      <c r="R130" s="47">
        <v>0</v>
      </c>
      <c r="S130" s="37">
        <f t="shared" si="14"/>
        <v>170931.45338953129</v>
      </c>
      <c r="T130" s="40">
        <f t="shared" si="18"/>
        <v>-1.700010872980795E-2</v>
      </c>
    </row>
    <row r="131" spans="2:20" x14ac:dyDescent="0.35">
      <c r="B131" s="11" t="s">
        <v>125</v>
      </c>
      <c r="C131" s="20">
        <v>1.9400000000000001E-2</v>
      </c>
      <c r="D131" s="38">
        <f t="shared" si="10"/>
        <v>0.45810792322898858</v>
      </c>
      <c r="E131" s="32">
        <f t="shared" si="15"/>
        <v>79353.355778025798</v>
      </c>
      <c r="F131" s="47">
        <v>0</v>
      </c>
      <c r="G131" s="19">
        <v>6.3E-3</v>
      </c>
      <c r="H131" s="38">
        <f t="shared" si="11"/>
        <v>0.19142522825583549</v>
      </c>
      <c r="I131" s="32">
        <f t="shared" si="16"/>
        <v>33158.636802450943</v>
      </c>
      <c r="J131" s="47">
        <v>0</v>
      </c>
      <c r="K131" s="19">
        <v>2.7900000000000001E-2</v>
      </c>
      <c r="L131" s="38">
        <f t="shared" si="12"/>
        <v>0.24896918575375129</v>
      </c>
      <c r="M131" s="31">
        <f t="shared" si="17"/>
        <v>43126.388724360411</v>
      </c>
      <c r="N131" s="47">
        <v>0</v>
      </c>
      <c r="O131" s="15">
        <v>-3.3000000000000002E-2</v>
      </c>
      <c r="P131" s="38">
        <f t="shared" si="13"/>
        <v>0.10149766276142456</v>
      </c>
      <c r="Q131" s="32">
        <f t="shared" si="19"/>
        <v>17581.403279330454</v>
      </c>
      <c r="R131" s="47">
        <v>0</v>
      </c>
      <c r="S131" s="37">
        <f t="shared" si="14"/>
        <v>173219.78458416762</v>
      </c>
      <c r="T131" s="40">
        <f t="shared" si="18"/>
        <v>1.3387420215877466E-2</v>
      </c>
    </row>
    <row r="132" spans="2:20" x14ac:dyDescent="0.35">
      <c r="B132" s="10" t="s">
        <v>126</v>
      </c>
      <c r="C132" s="20">
        <v>9.1000000000000004E-3</v>
      </c>
      <c r="D132" s="38">
        <f t="shared" si="10"/>
        <v>0.45369514842175973</v>
      </c>
      <c r="E132" s="32">
        <f t="shared" si="15"/>
        <v>80075.471315605828</v>
      </c>
      <c r="F132" s="47">
        <v>0</v>
      </c>
      <c r="G132" s="19">
        <v>4.24E-2</v>
      </c>
      <c r="H132" s="38">
        <f t="shared" si="11"/>
        <v>0.19583743041505358</v>
      </c>
      <c r="I132" s="32">
        <f t="shared" si="16"/>
        <v>34564.563002874864</v>
      </c>
      <c r="J132" s="47">
        <v>0</v>
      </c>
      <c r="K132" s="19">
        <v>6.0000000000000001E-3</v>
      </c>
      <c r="L132" s="38">
        <f t="shared" si="12"/>
        <v>0.24581348582529342</v>
      </c>
      <c r="M132" s="31">
        <f t="shared" si="17"/>
        <v>43385.147056706577</v>
      </c>
      <c r="N132" s="47">
        <v>0</v>
      </c>
      <c r="O132" s="20">
        <v>5.0599999999999999E-2</v>
      </c>
      <c r="P132" s="38">
        <f t="shared" si="13"/>
        <v>0.10465393533789331</v>
      </c>
      <c r="Q132" s="32">
        <f t="shared" si="19"/>
        <v>18471.022285264575</v>
      </c>
      <c r="R132" s="47">
        <v>0</v>
      </c>
      <c r="S132" s="37">
        <f t="shared" si="14"/>
        <v>176496.20366045184</v>
      </c>
      <c r="T132" s="40">
        <f t="shared" si="18"/>
        <v>1.8914808629681756E-2</v>
      </c>
    </row>
    <row r="133" spans="2:20" x14ac:dyDescent="0.35">
      <c r="B133" s="11" t="s">
        <v>127</v>
      </c>
      <c r="C133" s="20">
        <v>4.4999999999999997E-3</v>
      </c>
      <c r="D133" s="38">
        <f t="shared" si="10"/>
        <v>0.45578662020118116</v>
      </c>
      <c r="E133" s="32">
        <f t="shared" si="15"/>
        <v>80435.810936526061</v>
      </c>
      <c r="F133" s="47">
        <v>0</v>
      </c>
      <c r="G133" s="17">
        <v>-4.5499999999999999E-2</v>
      </c>
      <c r="H133" s="38">
        <f t="shared" si="11"/>
        <v>0.18694727138713124</v>
      </c>
      <c r="I133" s="32">
        <f t="shared" si="16"/>
        <v>32991.875386244057</v>
      </c>
      <c r="J133" s="47">
        <v>0</v>
      </c>
      <c r="K133" s="19">
        <v>3.3799999999999997E-2</v>
      </c>
      <c r="L133" s="38">
        <f t="shared" si="12"/>
        <v>0.25414977478903611</v>
      </c>
      <c r="M133" s="31">
        <f t="shared" si="17"/>
        <v>44851.56502722326</v>
      </c>
      <c r="N133" s="47">
        <v>0</v>
      </c>
      <c r="O133" s="15">
        <v>-1.4800000000000001E-2</v>
      </c>
      <c r="P133" s="38">
        <f t="shared" si="13"/>
        <v>0.10311633362265132</v>
      </c>
      <c r="Q133" s="32">
        <f t="shared" si="19"/>
        <v>18197.651155442658</v>
      </c>
      <c r="R133" s="47">
        <v>0</v>
      </c>
      <c r="S133" s="37">
        <f t="shared" si="14"/>
        <v>176476.90250543607</v>
      </c>
      <c r="T133" s="40">
        <f t="shared" si="18"/>
        <v>-1.093573380926971E-4</v>
      </c>
    </row>
    <row r="134" spans="2:20" x14ac:dyDescent="0.35">
      <c r="B134" s="10" t="s">
        <v>128</v>
      </c>
      <c r="C134" s="20">
        <v>3.44E-2</v>
      </c>
      <c r="D134" s="38">
        <f t="shared" si="10"/>
        <v>0.45749002413412515</v>
      </c>
      <c r="E134" s="32">
        <f t="shared" si="15"/>
        <v>83202.802832742556</v>
      </c>
      <c r="F134" s="47">
        <v>0</v>
      </c>
      <c r="G134" s="19">
        <v>4.4999999999999998E-2</v>
      </c>
      <c r="H134" s="38">
        <f t="shared" si="11"/>
        <v>0.18956884568408555</v>
      </c>
      <c r="I134" s="32">
        <f t="shared" si="16"/>
        <v>34476.509778625041</v>
      </c>
      <c r="J134" s="47">
        <v>0</v>
      </c>
      <c r="K134" s="19">
        <v>2.5000000000000001E-2</v>
      </c>
      <c r="L134" s="38">
        <f t="shared" si="12"/>
        <v>0.25278141408536642</v>
      </c>
      <c r="M134" s="31">
        <f t="shared" si="17"/>
        <v>45972.854152903841</v>
      </c>
      <c r="N134" s="47">
        <v>0</v>
      </c>
      <c r="O134" s="20">
        <v>1E-3</v>
      </c>
      <c r="P134" s="38">
        <f t="shared" si="13"/>
        <v>0.10015971609642282</v>
      </c>
      <c r="Q134" s="32">
        <f t="shared" si="19"/>
        <v>18215.8488065981</v>
      </c>
      <c r="R134" s="47">
        <v>0</v>
      </c>
      <c r="S134" s="37">
        <f t="shared" si="14"/>
        <v>181868.01557086955</v>
      </c>
      <c r="T134" s="40">
        <f t="shared" si="18"/>
        <v>3.0548547650689928E-2</v>
      </c>
    </row>
    <row r="135" spans="2:20" x14ac:dyDescent="0.35">
      <c r="B135" s="11" t="s">
        <v>129</v>
      </c>
      <c r="C135" s="20">
        <v>7.51E-2</v>
      </c>
      <c r="D135" s="38">
        <f t="shared" si="10"/>
        <v>0.47141314917904181</v>
      </c>
      <c r="E135" s="32">
        <f t="shared" si="15"/>
        <v>89451.333325481522</v>
      </c>
      <c r="F135" s="47">
        <v>0</v>
      </c>
      <c r="G135" s="19">
        <v>2.4400000000000002E-2</v>
      </c>
      <c r="H135" s="38">
        <f t="shared" si="11"/>
        <v>0.18612629707844169</v>
      </c>
      <c r="I135" s="32">
        <f t="shared" si="16"/>
        <v>35317.736617223491</v>
      </c>
      <c r="J135" s="47">
        <v>0</v>
      </c>
      <c r="K135" s="19">
        <v>7.1999999999999998E-3</v>
      </c>
      <c r="L135" s="38">
        <f t="shared" si="12"/>
        <v>0.24402372819648596</v>
      </c>
      <c r="M135" s="31">
        <f t="shared" si="17"/>
        <v>46303.858702804748</v>
      </c>
      <c r="N135" s="47">
        <v>0</v>
      </c>
      <c r="O135" s="20">
        <v>2.5399999999999999E-2</v>
      </c>
      <c r="P135" s="38">
        <f t="shared" si="13"/>
        <v>9.8436825546030504E-2</v>
      </c>
      <c r="Q135" s="32">
        <f t="shared" si="19"/>
        <v>18678.531366285693</v>
      </c>
      <c r="R135" s="47">
        <v>0</v>
      </c>
      <c r="S135" s="37">
        <f t="shared" si="14"/>
        <v>189751.46001179545</v>
      </c>
      <c r="T135" s="40">
        <f t="shared" si="18"/>
        <v>4.3347063617428239E-2</v>
      </c>
    </row>
    <row r="136" spans="2:20" x14ac:dyDescent="0.35">
      <c r="B136" s="10" t="s">
        <v>130</v>
      </c>
      <c r="C136" s="20">
        <v>6.0000000000000001E-3</v>
      </c>
      <c r="D136" s="38">
        <f t="shared" si="10"/>
        <v>0.47115500646981284</v>
      </c>
      <c r="E136" s="32">
        <f t="shared" si="15"/>
        <v>89988.041325434417</v>
      </c>
      <c r="F136" s="47">
        <v>0</v>
      </c>
      <c r="G136" s="19">
        <v>4.8000000000000001E-2</v>
      </c>
      <c r="H136" s="38">
        <f t="shared" si="11"/>
        <v>0.19379080077642166</v>
      </c>
      <c r="I136" s="32">
        <f t="shared" si="16"/>
        <v>37012.987974850221</v>
      </c>
      <c r="J136" s="47">
        <v>0</v>
      </c>
      <c r="K136" s="17">
        <v>-2.8E-3</v>
      </c>
      <c r="L136" s="38">
        <f t="shared" si="12"/>
        <v>0.24175667011631663</v>
      </c>
      <c r="M136" s="31">
        <f t="shared" si="17"/>
        <v>46174.207898436893</v>
      </c>
      <c r="N136" s="47">
        <v>0</v>
      </c>
      <c r="O136" s="15">
        <v>-4.5999999999999999E-2</v>
      </c>
      <c r="P136" s="38">
        <f t="shared" si="13"/>
        <v>9.3297522637448935E-2</v>
      </c>
      <c r="Q136" s="32">
        <f t="shared" si="19"/>
        <v>17819.318923436553</v>
      </c>
      <c r="R136" s="47">
        <v>0</v>
      </c>
      <c r="S136" s="37">
        <f t="shared" si="14"/>
        <v>190994.55612215807</v>
      </c>
      <c r="T136" s="40">
        <f t="shared" si="18"/>
        <v>6.5511807407718781E-3</v>
      </c>
    </row>
    <row r="137" spans="2:20" x14ac:dyDescent="0.35">
      <c r="B137" s="11" t="s">
        <v>131</v>
      </c>
      <c r="C137" s="20">
        <v>7.6799999999999993E-2</v>
      </c>
      <c r="D137" s="38">
        <f t="shared" si="10"/>
        <v>0.47906344075520335</v>
      </c>
      <c r="E137" s="32">
        <f t="shared" si="15"/>
        <v>96899.122899227776</v>
      </c>
      <c r="F137" s="47">
        <v>0</v>
      </c>
      <c r="G137" s="19">
        <v>5.2200000000000003E-2</v>
      </c>
      <c r="H137" s="38">
        <f t="shared" si="11"/>
        <v>0.19254206575715693</v>
      </c>
      <c r="I137" s="32">
        <f t="shared" si="16"/>
        <v>38945.065947137402</v>
      </c>
      <c r="J137" s="47">
        <v>0</v>
      </c>
      <c r="K137" s="19">
        <v>3.4799999999999998E-2</v>
      </c>
      <c r="L137" s="38">
        <f t="shared" si="12"/>
        <v>0.23622674046950207</v>
      </c>
      <c r="M137" s="31">
        <f t="shared" si="17"/>
        <v>47781.070333302494</v>
      </c>
      <c r="N137" s="47">
        <v>0</v>
      </c>
      <c r="O137" s="20">
        <v>4.6199999999999998E-2</v>
      </c>
      <c r="P137" s="38">
        <f t="shared" si="13"/>
        <v>9.2167753018137566E-2</v>
      </c>
      <c r="Q137" s="32">
        <f t="shared" si="19"/>
        <v>18642.57145769932</v>
      </c>
      <c r="R137" s="47">
        <v>0</v>
      </c>
      <c r="S137" s="37">
        <f t="shared" si="14"/>
        <v>202267.83063736701</v>
      </c>
      <c r="T137" s="40">
        <f t="shared" si="18"/>
        <v>5.9024061963308894E-2</v>
      </c>
    </row>
    <row r="138" spans="2:20" x14ac:dyDescent="0.35">
      <c r="B138" s="10" t="s">
        <v>132</v>
      </c>
      <c r="C138" s="20">
        <v>4.6699999999999998E-2</v>
      </c>
      <c r="D138" s="38">
        <f t="shared" si="10"/>
        <v>0.48109911167568536</v>
      </c>
      <c r="E138" s="32">
        <f t="shared" si="15"/>
        <v>101424.31193862171</v>
      </c>
      <c r="F138" s="47">
        <v>0</v>
      </c>
      <c r="G138" s="19">
        <v>7.7499999999999999E-2</v>
      </c>
      <c r="H138" s="38">
        <f t="shared" si="11"/>
        <v>0.19905001162308444</v>
      </c>
      <c r="I138" s="32">
        <f t="shared" si="16"/>
        <v>41963.308558040553</v>
      </c>
      <c r="J138" s="47">
        <v>0</v>
      </c>
      <c r="K138" s="17">
        <v>-4.7999999999999996E-3</v>
      </c>
      <c r="L138" s="38">
        <f t="shared" si="12"/>
        <v>0.22555825510304453</v>
      </c>
      <c r="M138" s="31">
        <f t="shared" si="17"/>
        <v>47551.721195702645</v>
      </c>
      <c r="N138" s="47">
        <v>0</v>
      </c>
      <c r="O138" s="20">
        <v>6.6299999999999998E-2</v>
      </c>
      <c r="P138" s="38">
        <f t="shared" si="13"/>
        <v>9.4292621598185647E-2</v>
      </c>
      <c r="Q138" s="32">
        <f t="shared" si="19"/>
        <v>19878.573945344786</v>
      </c>
      <c r="R138" s="47">
        <v>0</v>
      </c>
      <c r="S138" s="37">
        <f t="shared" si="14"/>
        <v>210817.9156377097</v>
      </c>
      <c r="T138" s="40">
        <f t="shared" si="18"/>
        <v>4.2271106450296525E-2</v>
      </c>
    </row>
    <row r="139" spans="2:20" x14ac:dyDescent="0.35">
      <c r="B139" s="9" t="s">
        <v>133</v>
      </c>
      <c r="C139" s="15">
        <v>-4.8000000000000001E-2</v>
      </c>
      <c r="D139" s="38">
        <f t="shared" si="10"/>
        <v>0.4421714279876709</v>
      </c>
      <c r="E139" s="32">
        <f t="shared" si="15"/>
        <v>90314.394965567873</v>
      </c>
      <c r="F139" s="48">
        <v>-6556.25</v>
      </c>
      <c r="G139" s="17">
        <v>-4.9700000000000001E-2</v>
      </c>
      <c r="H139" s="38">
        <f t="shared" si="11"/>
        <v>0.19616968389980069</v>
      </c>
      <c r="I139" s="32">
        <f t="shared" si="16"/>
        <v>40068.048703705936</v>
      </c>
      <c r="J139" s="49">
        <v>200.27</v>
      </c>
      <c r="K139" s="17">
        <v>-2.4299999999999999E-2</v>
      </c>
      <c r="L139" s="38">
        <f t="shared" si="12"/>
        <v>0.25176627068729041</v>
      </c>
      <c r="M139" s="31">
        <f t="shared" si="17"/>
        <v>51423.762302647076</v>
      </c>
      <c r="N139" s="49">
        <v>5152.76</v>
      </c>
      <c r="O139" s="20">
        <v>6.4699999999999994E-2</v>
      </c>
      <c r="P139" s="38">
        <f t="shared" si="13"/>
        <v>0.10989261742523813</v>
      </c>
      <c r="Q139" s="32">
        <f t="shared" si="19"/>
        <v>22445.786013608595</v>
      </c>
      <c r="R139" s="49">
        <v>1203.22</v>
      </c>
      <c r="S139" s="37">
        <f t="shared" si="14"/>
        <v>204251.99198552946</v>
      </c>
      <c r="T139" s="40">
        <f t="shared" si="18"/>
        <v>-3.1144998432978355E-2</v>
      </c>
    </row>
    <row r="140" spans="2:20" x14ac:dyDescent="0.35">
      <c r="B140" s="10" t="s">
        <v>134</v>
      </c>
      <c r="C140" s="20">
        <v>0.17510000000000001</v>
      </c>
      <c r="D140" s="38">
        <f t="shared" si="10"/>
        <v>0.44805382805119576</v>
      </c>
      <c r="E140" s="32">
        <f t="shared" si="15"/>
        <v>106128.44552403881</v>
      </c>
      <c r="F140" s="47">
        <v>0</v>
      </c>
      <c r="G140" s="19">
        <v>0.1802</v>
      </c>
      <c r="H140" s="38">
        <f t="shared" si="11"/>
        <v>0.19964212890239291</v>
      </c>
      <c r="I140" s="32">
        <f t="shared" si="16"/>
        <v>47288.311080113745</v>
      </c>
      <c r="J140" s="47">
        <v>0</v>
      </c>
      <c r="K140" s="19">
        <v>0.16309999999999999</v>
      </c>
      <c r="L140" s="38">
        <f t="shared" si="12"/>
        <v>0.25251041311858102</v>
      </c>
      <c r="M140" s="31">
        <f t="shared" si="17"/>
        <v>59810.977934208815</v>
      </c>
      <c r="N140" s="47">
        <v>0</v>
      </c>
      <c r="O140" s="20">
        <v>5.3100000000000001E-2</v>
      </c>
      <c r="P140" s="38">
        <f t="shared" si="13"/>
        <v>9.9793629927830363E-2</v>
      </c>
      <c r="Q140" s="32">
        <f t="shared" si="19"/>
        <v>23637.65725093121</v>
      </c>
      <c r="R140" s="47">
        <v>0</v>
      </c>
      <c r="S140" s="37">
        <f t="shared" si="14"/>
        <v>236865.39178929257</v>
      </c>
      <c r="T140" s="40">
        <f t="shared" si="18"/>
        <v>0.15967237081376262</v>
      </c>
    </row>
    <row r="141" spans="2:20" x14ac:dyDescent="0.35">
      <c r="B141" s="11" t="s">
        <v>135</v>
      </c>
      <c r="C141" s="20">
        <v>9.1300000000000006E-2</v>
      </c>
      <c r="D141" s="38">
        <f t="shared" si="10"/>
        <v>0.44520598492239427</v>
      </c>
      <c r="E141" s="32">
        <f t="shared" si="15"/>
        <v>115817.97260038355</v>
      </c>
      <c r="F141" s="47">
        <v>0</v>
      </c>
      <c r="G141" s="19">
        <v>0.1268</v>
      </c>
      <c r="H141" s="38">
        <f t="shared" si="11"/>
        <v>0.20482627986163612</v>
      </c>
      <c r="I141" s="32">
        <f t="shared" si="16"/>
        <v>53284.468925072164</v>
      </c>
      <c r="J141" s="47">
        <v>0</v>
      </c>
      <c r="K141" s="19">
        <v>9.4E-2</v>
      </c>
      <c r="L141" s="38">
        <f t="shared" si="12"/>
        <v>0.25152621815337689</v>
      </c>
      <c r="M141" s="31">
        <f t="shared" si="17"/>
        <v>65433.209860024443</v>
      </c>
      <c r="N141" s="47">
        <v>0</v>
      </c>
      <c r="O141" s="20">
        <v>8.3400000000000002E-2</v>
      </c>
      <c r="P141" s="38">
        <f t="shared" si="13"/>
        <v>9.8441517062592673E-2</v>
      </c>
      <c r="Q141" s="32">
        <f t="shared" si="19"/>
        <v>25609.037865658873</v>
      </c>
      <c r="R141" s="47">
        <v>0</v>
      </c>
      <c r="S141" s="37">
        <f t="shared" si="14"/>
        <v>260144.68925113903</v>
      </c>
      <c r="T141" s="40">
        <f t="shared" si="18"/>
        <v>9.8280704015025311E-2</v>
      </c>
    </row>
    <row r="142" spans="2:20" x14ac:dyDescent="0.35">
      <c r="B142" s="10" t="s">
        <v>136</v>
      </c>
      <c r="C142" s="15">
        <v>-7.7299999999999994E-2</v>
      </c>
      <c r="D142" s="38">
        <f t="shared" si="10"/>
        <v>0.441977231969363</v>
      </c>
      <c r="E142" s="32">
        <f t="shared" si="15"/>
        <v>106865.2433183739</v>
      </c>
      <c r="F142" s="47">
        <v>0</v>
      </c>
      <c r="G142" s="17">
        <v>-0.10829999999999999</v>
      </c>
      <c r="H142" s="38">
        <f t="shared" si="11"/>
        <v>0.19650917256948569</v>
      </c>
      <c r="I142" s="32">
        <f t="shared" si="16"/>
        <v>47513.760940486849</v>
      </c>
      <c r="J142" s="47">
        <v>0</v>
      </c>
      <c r="K142" s="17">
        <v>-2.24E-2</v>
      </c>
      <c r="L142" s="38">
        <f t="shared" si="12"/>
        <v>0.26455918072056867</v>
      </c>
      <c r="M142" s="31">
        <f t="shared" si="17"/>
        <v>63967.505959159898</v>
      </c>
      <c r="N142" s="47">
        <v>0</v>
      </c>
      <c r="O142" s="15">
        <v>-8.4599999999999995E-2</v>
      </c>
      <c r="P142" s="38">
        <f t="shared" si="13"/>
        <v>9.6954414740582667E-2</v>
      </c>
      <c r="Q142" s="32">
        <f t="shared" si="19"/>
        <v>23442.513262224133</v>
      </c>
      <c r="R142" s="47">
        <v>0</v>
      </c>
      <c r="S142" s="37">
        <f t="shared" si="14"/>
        <v>241789.02348024477</v>
      </c>
      <c r="T142" s="40">
        <f t="shared" si="18"/>
        <v>-7.055944837364736E-2</v>
      </c>
    </row>
    <row r="143" spans="2:20" x14ac:dyDescent="0.35">
      <c r="B143" s="11" t="s">
        <v>137</v>
      </c>
      <c r="C143" s="20">
        <v>8.2199999999999995E-2</v>
      </c>
      <c r="D143" s="38">
        <f t="shared" si="10"/>
        <v>0.44721317836013696</v>
      </c>
      <c r="E143" s="32">
        <f t="shared" si="15"/>
        <v>115649.56631914424</v>
      </c>
      <c r="F143" s="47">
        <v>0</v>
      </c>
      <c r="G143" s="19">
        <v>9.4899999999999998E-2</v>
      </c>
      <c r="H143" s="38">
        <f t="shared" si="11"/>
        <v>0.20117057082778428</v>
      </c>
      <c r="I143" s="32">
        <f t="shared" si="16"/>
        <v>52022.816853739052</v>
      </c>
      <c r="J143" s="47">
        <v>0</v>
      </c>
      <c r="K143" s="19">
        <v>2.7E-2</v>
      </c>
      <c r="L143" s="38">
        <f t="shared" si="12"/>
        <v>0.25403903016194213</v>
      </c>
      <c r="M143" s="31">
        <f t="shared" si="17"/>
        <v>65694.628620057221</v>
      </c>
      <c r="N143" s="47">
        <v>0</v>
      </c>
      <c r="O143" s="20">
        <v>7.6399999999999996E-2</v>
      </c>
      <c r="P143" s="38">
        <f t="shared" si="13"/>
        <v>9.757722065013652E-2</v>
      </c>
      <c r="Q143" s="32">
        <f t="shared" si="19"/>
        <v>25233.521275458057</v>
      </c>
      <c r="R143" s="47">
        <v>0</v>
      </c>
      <c r="S143" s="37">
        <f t="shared" si="14"/>
        <v>258600.5330683986</v>
      </c>
      <c r="T143" s="40">
        <f t="shared" si="18"/>
        <v>6.9529664110361988E-2</v>
      </c>
    </row>
    <row r="144" spans="2:20" x14ac:dyDescent="0.35">
      <c r="B144" s="10" t="s">
        <v>138</v>
      </c>
      <c r="C144" s="15">
        <v>-3.49E-2</v>
      </c>
      <c r="D144" s="38">
        <f t="shared" si="10"/>
        <v>0.44608032510653045</v>
      </c>
      <c r="E144" s="32">
        <f t="shared" si="15"/>
        <v>111613.3964546061</v>
      </c>
      <c r="F144" s="47">
        <v>0</v>
      </c>
      <c r="G144" s="17">
        <v>-6.4999999999999997E-3</v>
      </c>
      <c r="H144" s="38">
        <f t="shared" si="11"/>
        <v>0.20656582883034347</v>
      </c>
      <c r="I144" s="32">
        <f t="shared" si="16"/>
        <v>51684.66854418975</v>
      </c>
      <c r="J144" s="47">
        <v>0</v>
      </c>
      <c r="K144" s="17">
        <v>-5.0200000000000002E-2</v>
      </c>
      <c r="L144" s="38">
        <f t="shared" si="12"/>
        <v>0.24937836403016592</v>
      </c>
      <c r="M144" s="31">
        <f t="shared" si="17"/>
        <v>62396.758263330346</v>
      </c>
      <c r="N144" s="47">
        <v>0</v>
      </c>
      <c r="O144" s="15">
        <v>-2.8500000000000001E-2</v>
      </c>
      <c r="P144" s="38">
        <f t="shared" si="13"/>
        <v>9.7975482032960207E-2</v>
      </c>
      <c r="Q144" s="32">
        <f t="shared" si="19"/>
        <v>24514.365919107502</v>
      </c>
      <c r="R144" s="47">
        <v>0</v>
      </c>
      <c r="S144" s="37">
        <f t="shared" si="14"/>
        <v>250209.1891812337</v>
      </c>
      <c r="T144" s="40">
        <f t="shared" si="18"/>
        <v>-3.2449058737807901E-2</v>
      </c>
    </row>
    <row r="145" spans="2:20" x14ac:dyDescent="0.35">
      <c r="B145" s="11" t="s">
        <v>139</v>
      </c>
      <c r="C145" s="20">
        <v>0.10249999999999999</v>
      </c>
      <c r="D145" s="38">
        <f t="shared" si="10"/>
        <v>0.46255361497359515</v>
      </c>
      <c r="E145" s="32">
        <f t="shared" si="15"/>
        <v>123053.76959120322</v>
      </c>
      <c r="F145" s="47">
        <v>0</v>
      </c>
      <c r="G145" s="19">
        <v>6.4699999999999994E-2</v>
      </c>
      <c r="H145" s="38">
        <f t="shared" si="11"/>
        <v>0.20685029598933355</v>
      </c>
      <c r="I145" s="32">
        <f t="shared" si="16"/>
        <v>55028.666598998825</v>
      </c>
      <c r="J145" s="47">
        <v>0</v>
      </c>
      <c r="K145" s="19">
        <v>1.29E-2</v>
      </c>
      <c r="L145" s="38">
        <f t="shared" si="12"/>
        <v>0.2375722743733201</v>
      </c>
      <c r="M145" s="31">
        <f t="shared" si="17"/>
        <v>63201.676444927311</v>
      </c>
      <c r="N145" s="47">
        <v>0</v>
      </c>
      <c r="O145" s="20">
        <v>9.4999999999999998E-3</v>
      </c>
      <c r="P145" s="38">
        <f t="shared" si="13"/>
        <v>9.3023814663751161E-2</v>
      </c>
      <c r="Q145" s="32">
        <f t="shared" si="19"/>
        <v>24747.252395339023</v>
      </c>
      <c r="R145" s="47">
        <v>0</v>
      </c>
      <c r="S145" s="37">
        <f t="shared" si="14"/>
        <v>266031.36503046838</v>
      </c>
      <c r="T145" s="40">
        <f t="shared" si="18"/>
        <v>6.3235790424044813E-2</v>
      </c>
    </row>
    <row r="146" spans="2:20" x14ac:dyDescent="0.35">
      <c r="B146" s="10" t="s">
        <v>140</v>
      </c>
      <c r="C146" s="15">
        <v>-4.5999999999999999E-3</v>
      </c>
      <c r="D146" s="38">
        <f t="shared" si="10"/>
        <v>0.46111906840119732</v>
      </c>
      <c r="E146" s="32">
        <f t="shared" si="15"/>
        <v>122487.72225108369</v>
      </c>
      <c r="F146" s="47">
        <v>0</v>
      </c>
      <c r="G146" s="17">
        <v>-5.1999999999999998E-3</v>
      </c>
      <c r="H146" s="38">
        <f t="shared" si="11"/>
        <v>0.20608448114385719</v>
      </c>
      <c r="I146" s="32">
        <f t="shared" si="16"/>
        <v>54742.517532684033</v>
      </c>
      <c r="J146" s="47">
        <v>0</v>
      </c>
      <c r="K146" s="17">
        <v>-3.2000000000000001E-2</v>
      </c>
      <c r="L146" s="38">
        <f t="shared" si="12"/>
        <v>0.23031619581113949</v>
      </c>
      <c r="M146" s="31">
        <f t="shared" si="17"/>
        <v>61179.22279868964</v>
      </c>
      <c r="N146" s="47">
        <v>0</v>
      </c>
      <c r="O146" s="20">
        <v>0.1</v>
      </c>
      <c r="P146" s="38">
        <f t="shared" si="13"/>
        <v>0.10248025464380595</v>
      </c>
      <c r="Q146" s="32">
        <f t="shared" si="19"/>
        <v>27221.977634872925</v>
      </c>
      <c r="R146" s="47">
        <v>0</v>
      </c>
      <c r="S146" s="37">
        <f t="shared" si="14"/>
        <v>265631.4402173303</v>
      </c>
      <c r="T146" s="40">
        <f t="shared" si="18"/>
        <v>-1.5032994815941114E-3</v>
      </c>
    </row>
    <row r="147" spans="2:20" x14ac:dyDescent="0.35">
      <c r="B147" s="11" t="s">
        <v>141</v>
      </c>
      <c r="C147" s="20">
        <v>0.1043</v>
      </c>
      <c r="D147" s="38">
        <f t="shared" si="10"/>
        <v>0.46373041228403589</v>
      </c>
      <c r="E147" s="32">
        <f t="shared" si="15"/>
        <v>135263.19168187171</v>
      </c>
      <c r="F147" s="47">
        <v>0</v>
      </c>
      <c r="G147" s="19">
        <v>7.5200000000000003E-2</v>
      </c>
      <c r="H147" s="38">
        <f t="shared" si="11"/>
        <v>0.20179015300781225</v>
      </c>
      <c r="I147" s="32">
        <f t="shared" si="16"/>
        <v>58859.154851141873</v>
      </c>
      <c r="J147" s="47">
        <v>0</v>
      </c>
      <c r="K147" s="19">
        <v>9.8799999999999999E-2</v>
      </c>
      <c r="L147" s="38">
        <f t="shared" si="12"/>
        <v>0.23046689676436599</v>
      </c>
      <c r="M147" s="31">
        <f t="shared" si="17"/>
        <v>67223.730011200183</v>
      </c>
      <c r="N147" s="47">
        <v>0</v>
      </c>
      <c r="O147" s="20">
        <v>0.1145</v>
      </c>
      <c r="P147" s="38">
        <f t="shared" si="13"/>
        <v>0.10401253794378584</v>
      </c>
      <c r="Q147" s="32">
        <f t="shared" si="19"/>
        <v>30338.894074065873</v>
      </c>
      <c r="R147" s="47">
        <v>0</v>
      </c>
      <c r="S147" s="37">
        <f t="shared" si="14"/>
        <v>291684.97061827965</v>
      </c>
      <c r="T147" s="40">
        <f t="shared" si="18"/>
        <v>9.8081501119119396E-2</v>
      </c>
    </row>
    <row r="148" spans="2:20" x14ac:dyDescent="0.35">
      <c r="B148" s="10" t="s">
        <v>142</v>
      </c>
      <c r="C148" s="20">
        <v>2.5499999999999998E-2</v>
      </c>
      <c r="D148" s="38">
        <f t="shared" si="10"/>
        <v>0.47065269478683736</v>
      </c>
      <c r="E148" s="32">
        <f t="shared" si="15"/>
        <v>138712.40306975946</v>
      </c>
      <c r="F148" s="47">
        <v>0</v>
      </c>
      <c r="G148" s="19">
        <v>2.0000000000000001E-4</v>
      </c>
      <c r="H148" s="38">
        <f t="shared" si="11"/>
        <v>0.19974969558850447</v>
      </c>
      <c r="I148" s="32">
        <f t="shared" si="16"/>
        <v>58870.926682112098</v>
      </c>
      <c r="J148" s="47">
        <v>0</v>
      </c>
      <c r="K148" s="19">
        <v>7.3000000000000001E-3</v>
      </c>
      <c r="L148" s="38">
        <f t="shared" si="12"/>
        <v>0.22975591147429897</v>
      </c>
      <c r="M148" s="31">
        <f t="shared" si="17"/>
        <v>67714.463240281941</v>
      </c>
      <c r="N148" s="47">
        <v>0</v>
      </c>
      <c r="O148" s="15">
        <v>-3.0099999999999998E-2</v>
      </c>
      <c r="P148" s="38">
        <f t="shared" si="13"/>
        <v>9.9841698150359232E-2</v>
      </c>
      <c r="Q148" s="32">
        <f t="shared" si="19"/>
        <v>29425.69336243649</v>
      </c>
      <c r="R148" s="47">
        <v>0</v>
      </c>
      <c r="S148" s="37">
        <f t="shared" si="14"/>
        <v>294723.48635458999</v>
      </c>
      <c r="T148" s="40">
        <f t="shared" si="18"/>
        <v>1.0417114498116442E-2</v>
      </c>
    </row>
    <row r="149" spans="2:20" x14ac:dyDescent="0.35">
      <c r="B149" s="11" t="s">
        <v>143</v>
      </c>
      <c r="C149" s="20">
        <v>1E-4</v>
      </c>
      <c r="D149" s="38">
        <f t="shared" si="10"/>
        <v>0.47362296716720054</v>
      </c>
      <c r="E149" s="32">
        <f t="shared" si="15"/>
        <v>138726.27431006642</v>
      </c>
      <c r="F149" s="47">
        <v>0</v>
      </c>
      <c r="G149" s="19">
        <v>3.2199999999999999E-2</v>
      </c>
      <c r="H149" s="38">
        <f t="shared" si="11"/>
        <v>0.20746209453109582</v>
      </c>
      <c r="I149" s="32">
        <f t="shared" si="16"/>
        <v>60766.57052127611</v>
      </c>
      <c r="J149" s="47">
        <v>0</v>
      </c>
      <c r="K149" s="17">
        <v>-2.5600000000000001E-2</v>
      </c>
      <c r="L149" s="38">
        <f t="shared" si="12"/>
        <v>0.2252644955356459</v>
      </c>
      <c r="M149" s="31">
        <f t="shared" si="17"/>
        <v>65980.97298133072</v>
      </c>
      <c r="N149" s="47">
        <v>0</v>
      </c>
      <c r="O149" s="15">
        <v>-6.7799999999999999E-2</v>
      </c>
      <c r="P149" s="38">
        <f t="shared" si="13"/>
        <v>9.3650442766057759E-2</v>
      </c>
      <c r="Q149" s="32">
        <f t="shared" si="19"/>
        <v>27430.631352463297</v>
      </c>
      <c r="R149" s="47">
        <v>0</v>
      </c>
      <c r="S149" s="37">
        <f t="shared" si="14"/>
        <v>292904.44916513655</v>
      </c>
      <c r="T149" s="40">
        <f t="shared" si="18"/>
        <v>-6.1720130009078611E-3</v>
      </c>
    </row>
    <row r="150" spans="2:20" x14ac:dyDescent="0.35">
      <c r="B150" s="10" t="s">
        <v>144</v>
      </c>
      <c r="C150" s="20">
        <v>1.18E-2</v>
      </c>
      <c r="D150" s="38">
        <f t="shared" si="10"/>
        <v>0.48061496350141342</v>
      </c>
      <c r="E150" s="32">
        <f t="shared" si="15"/>
        <v>140363.2443469252</v>
      </c>
      <c r="F150" s="47">
        <v>0</v>
      </c>
      <c r="G150" s="17">
        <v>-2.6200000000000001E-2</v>
      </c>
      <c r="H150" s="38">
        <f t="shared" si="11"/>
        <v>0.20261816931488327</v>
      </c>
      <c r="I150" s="32">
        <f t="shared" si="16"/>
        <v>59174.486373618674</v>
      </c>
      <c r="J150" s="47">
        <v>0</v>
      </c>
      <c r="K150" s="17">
        <v>-2.47E-2</v>
      </c>
      <c r="L150" s="38">
        <f t="shared" si="12"/>
        <v>0.22034379744467364</v>
      </c>
      <c r="M150" s="31">
        <f t="shared" si="17"/>
        <v>64351.242948691848</v>
      </c>
      <c r="N150" s="47">
        <v>0</v>
      </c>
      <c r="O150" s="20">
        <v>2.6599999999999999E-2</v>
      </c>
      <c r="P150" s="38">
        <f t="shared" si="13"/>
        <v>9.642306973902981E-2</v>
      </c>
      <c r="Q150" s="32">
        <f t="shared" si="19"/>
        <v>28160.286146438819</v>
      </c>
      <c r="R150" s="47">
        <v>0</v>
      </c>
      <c r="S150" s="37">
        <f t="shared" si="14"/>
        <v>292049.25981567451</v>
      </c>
      <c r="T150" s="40">
        <f t="shared" si="18"/>
        <v>-2.9196871262952007E-3</v>
      </c>
    </row>
    <row r="151" spans="2:20" x14ac:dyDescent="0.35">
      <c r="B151" s="9" t="s">
        <v>145</v>
      </c>
      <c r="C151" s="15">
        <v>-2.3800000000000002E-2</v>
      </c>
      <c r="D151" s="38">
        <f t="shared" si="10"/>
        <v>0.44834457585991438</v>
      </c>
      <c r="E151" s="32">
        <f t="shared" si="15"/>
        <v>128294.32659746837</v>
      </c>
      <c r="F151" s="48">
        <v>-8941.07</v>
      </c>
      <c r="G151" s="17">
        <v>-5.9900000000000002E-2</v>
      </c>
      <c r="H151" s="38">
        <f t="shared" si="11"/>
        <v>0.19189343803408404</v>
      </c>
      <c r="I151" s="32">
        <f t="shared" si="16"/>
        <v>54910.532515838917</v>
      </c>
      <c r="J151" s="48">
        <v>-765.24</v>
      </c>
      <c r="K151" s="17">
        <v>-2.3400000000000001E-2</v>
      </c>
      <c r="L151" s="38">
        <f t="shared" si="12"/>
        <v>0.24917983464316412</v>
      </c>
      <c r="M151" s="31">
        <f t="shared" si="17"/>
        <v>71303.102141692463</v>
      </c>
      <c r="N151" s="49">
        <v>8660.33</v>
      </c>
      <c r="O151" s="20">
        <v>8.3500000000000005E-2</v>
      </c>
      <c r="P151" s="38">
        <f t="shared" si="13"/>
        <v>0.11058215146283742</v>
      </c>
      <c r="Q151" s="32">
        <f t="shared" si="19"/>
        <v>31643.212429666459</v>
      </c>
      <c r="R151" s="49">
        <v>1044.3399999999999</v>
      </c>
      <c r="S151" s="37">
        <f t="shared" si="14"/>
        <v>286151.17368466622</v>
      </c>
      <c r="T151" s="40">
        <f t="shared" si="18"/>
        <v>-2.0195518162692272E-2</v>
      </c>
    </row>
    <row r="152" spans="2:20" x14ac:dyDescent="0.35">
      <c r="B152" s="10" t="s">
        <v>146</v>
      </c>
      <c r="C152" s="15">
        <v>-2.1499999999999998E-2</v>
      </c>
      <c r="D152" s="38">
        <f t="shared" si="10"/>
        <v>0.44313709670603951</v>
      </c>
      <c r="E152" s="32">
        <f t="shared" si="15"/>
        <v>125535.9985756228</v>
      </c>
      <c r="F152" s="47">
        <v>0</v>
      </c>
      <c r="G152" s="17">
        <v>-1.9599999999999999E-2</v>
      </c>
      <c r="H152" s="38">
        <f t="shared" si="11"/>
        <v>0.19003289500031859</v>
      </c>
      <c r="I152" s="32">
        <f t="shared" si="16"/>
        <v>53834.286078528472</v>
      </c>
      <c r="J152" s="47">
        <v>0</v>
      </c>
      <c r="K152" s="17">
        <v>-2.5499999999999998E-2</v>
      </c>
      <c r="L152" s="38">
        <f t="shared" si="12"/>
        <v>0.24527884632303631</v>
      </c>
      <c r="M152" s="31">
        <f t="shared" si="17"/>
        <v>69484.873037079306</v>
      </c>
      <c r="N152" s="47">
        <v>0</v>
      </c>
      <c r="O152" s="20">
        <v>8.8200000000000001E-2</v>
      </c>
      <c r="P152" s="38">
        <f t="shared" si="13"/>
        <v>0.12155116197060553</v>
      </c>
      <c r="Q152" s="32">
        <f t="shared" si="19"/>
        <v>34434.143765963039</v>
      </c>
      <c r="R152" s="47">
        <v>0</v>
      </c>
      <c r="S152" s="37">
        <f t="shared" si="14"/>
        <v>283289.30145719362</v>
      </c>
      <c r="T152" s="40">
        <f t="shared" si="18"/>
        <v>-1.000125979083466E-2</v>
      </c>
    </row>
    <row r="153" spans="2:20" x14ac:dyDescent="0.35">
      <c r="B153" s="11" t="s">
        <v>147</v>
      </c>
      <c r="C153" s="15">
        <v>-3.6799999999999999E-2</v>
      </c>
      <c r="D153" s="38">
        <f t="shared" si="10"/>
        <v>0.43941345479295907</v>
      </c>
      <c r="E153" s="32">
        <f t="shared" si="15"/>
        <v>120916.27382803988</v>
      </c>
      <c r="F153" s="47">
        <v>0</v>
      </c>
      <c r="G153" s="17">
        <v>-2.7E-2</v>
      </c>
      <c r="H153" s="38">
        <f t="shared" si="11"/>
        <v>0.19035329276475843</v>
      </c>
      <c r="I153" s="32">
        <f t="shared" si="16"/>
        <v>52380.760354408201</v>
      </c>
      <c r="J153" s="47">
        <v>0</v>
      </c>
      <c r="K153" s="19">
        <v>2.07E-2</v>
      </c>
      <c r="L153" s="38">
        <f t="shared" si="12"/>
        <v>0.25773712424695683</v>
      </c>
      <c r="M153" s="31">
        <f t="shared" si="17"/>
        <v>70923.209908946854</v>
      </c>
      <c r="N153" s="47">
        <v>0</v>
      </c>
      <c r="O153" s="15">
        <v>-0.10100000000000001</v>
      </c>
      <c r="P153" s="38">
        <f t="shared" si="13"/>
        <v>0.11249612819532577</v>
      </c>
      <c r="Q153" s="32">
        <f t="shared" si="19"/>
        <v>30956.295245600773</v>
      </c>
      <c r="R153" s="47">
        <v>0</v>
      </c>
      <c r="S153" s="37">
        <f t="shared" si="14"/>
        <v>275176.53933699569</v>
      </c>
      <c r="T153" s="40">
        <f t="shared" si="18"/>
        <v>-2.8637728563935205E-2</v>
      </c>
    </row>
    <row r="154" spans="2:20" x14ac:dyDescent="0.35">
      <c r="B154" s="10" t="s">
        <v>148</v>
      </c>
      <c r="C154" s="15">
        <v>-3.2899999999999999E-2</v>
      </c>
      <c r="D154" s="38">
        <f t="shared" si="10"/>
        <v>0.43583311828328164</v>
      </c>
      <c r="E154" s="32">
        <f t="shared" si="15"/>
        <v>116938.12841909737</v>
      </c>
      <c r="F154" s="47">
        <v>0</v>
      </c>
      <c r="G154" s="17">
        <v>-1.9400000000000001E-2</v>
      </c>
      <c r="H154" s="38">
        <f t="shared" si="11"/>
        <v>0.19143783627772537</v>
      </c>
      <c r="I154" s="32">
        <f t="shared" si="16"/>
        <v>51364.573603532685</v>
      </c>
      <c r="J154" s="47">
        <v>0</v>
      </c>
      <c r="K154" s="17">
        <v>-3.1600000000000003E-2</v>
      </c>
      <c r="L154" s="38">
        <f t="shared" si="12"/>
        <v>0.25598071845329762</v>
      </c>
      <c r="M154" s="31">
        <f t="shared" si="17"/>
        <v>68682.036475824134</v>
      </c>
      <c r="N154" s="47">
        <v>0</v>
      </c>
      <c r="O154" s="20">
        <v>1.1900000000000001E-2</v>
      </c>
      <c r="P154" s="38">
        <f t="shared" si="13"/>
        <v>0.11674832698569548</v>
      </c>
      <c r="Q154" s="32">
        <f t="shared" si="19"/>
        <v>31324.675159023423</v>
      </c>
      <c r="R154" s="47">
        <v>0</v>
      </c>
      <c r="S154" s="37">
        <f t="shared" si="14"/>
        <v>268309.41365747759</v>
      </c>
      <c r="T154" s="40">
        <f t="shared" si="18"/>
        <v>-2.4955345743004065E-2</v>
      </c>
    </row>
    <row r="155" spans="2:20" x14ac:dyDescent="0.35">
      <c r="B155" s="11" t="s">
        <v>149</v>
      </c>
      <c r="C155" s="20">
        <v>3.9899999999999998E-2</v>
      </c>
      <c r="D155" s="38">
        <f t="shared" si="10"/>
        <v>0.44495651012185894</v>
      </c>
      <c r="E155" s="32">
        <f t="shared" si="15"/>
        <v>121603.95974301935</v>
      </c>
      <c r="F155" s="47">
        <v>0</v>
      </c>
      <c r="G155" s="19">
        <v>4.7199999999999999E-2</v>
      </c>
      <c r="H155" s="38">
        <f t="shared" si="11"/>
        <v>0.19681725440412531</v>
      </c>
      <c r="I155" s="32">
        <f t="shared" si="16"/>
        <v>53788.981477619425</v>
      </c>
      <c r="J155" s="47">
        <v>0</v>
      </c>
      <c r="K155" s="17">
        <v>-1.3599999999999999E-2</v>
      </c>
      <c r="L155" s="38">
        <f t="shared" si="12"/>
        <v>0.24789403453748882</v>
      </c>
      <c r="M155" s="31">
        <f t="shared" si="17"/>
        <v>67747.960779752932</v>
      </c>
      <c r="N155" s="47">
        <v>0</v>
      </c>
      <c r="O155" s="15">
        <v>-3.7400000000000003E-2</v>
      </c>
      <c r="P155" s="38">
        <f t="shared" si="13"/>
        <v>0.11033220093652697</v>
      </c>
      <c r="Q155" s="32">
        <f t="shared" si="19"/>
        <v>30153.132308075947</v>
      </c>
      <c r="R155" s="47">
        <v>0</v>
      </c>
      <c r="S155" s="37">
        <f t="shared" si="14"/>
        <v>273294.03430846764</v>
      </c>
      <c r="T155" s="40">
        <f t="shared" si="18"/>
        <v>1.8577882091581843E-2</v>
      </c>
    </row>
    <row r="156" spans="2:20" x14ac:dyDescent="0.35">
      <c r="B156" s="10" t="s">
        <v>150</v>
      </c>
      <c r="C156" s="15">
        <v>-9.3200000000000005E-2</v>
      </c>
      <c r="D156" s="38">
        <f t="shared" si="10"/>
        <v>0.43691415802546241</v>
      </c>
      <c r="E156" s="32">
        <f t="shared" si="15"/>
        <v>110270.47069496995</v>
      </c>
      <c r="F156" s="47">
        <v>0</v>
      </c>
      <c r="G156" s="17">
        <v>-9.4200000000000006E-2</v>
      </c>
      <c r="H156" s="38">
        <f t="shared" si="11"/>
        <v>0.19304676433912754</v>
      </c>
      <c r="I156" s="32">
        <f t="shared" si="16"/>
        <v>48722.059422427672</v>
      </c>
      <c r="J156" s="47">
        <v>0</v>
      </c>
      <c r="K156" s="17">
        <v>-6.0100000000000001E-2</v>
      </c>
      <c r="L156" s="38">
        <f t="shared" si="12"/>
        <v>0.25229855706466126</v>
      </c>
      <c r="M156" s="31">
        <f t="shared" si="17"/>
        <v>63676.308336889779</v>
      </c>
      <c r="N156" s="47">
        <v>0</v>
      </c>
      <c r="O156" s="15">
        <v>-1.4500000000000001E-2</v>
      </c>
      <c r="P156" s="38">
        <f t="shared" si="13"/>
        <v>0.11774052057074892</v>
      </c>
      <c r="Q156" s="32">
        <f t="shared" si="19"/>
        <v>29715.911889608844</v>
      </c>
      <c r="R156" s="47">
        <v>0</v>
      </c>
      <c r="S156" s="37">
        <f t="shared" si="14"/>
        <v>252384.75034389622</v>
      </c>
      <c r="T156" s="40">
        <f t="shared" si="18"/>
        <v>-7.6508380497508632E-2</v>
      </c>
    </row>
    <row r="157" spans="2:20" x14ac:dyDescent="0.35">
      <c r="B157" s="11" t="s">
        <v>151</v>
      </c>
      <c r="C157" s="20">
        <v>4.9700000000000001E-2</v>
      </c>
      <c r="D157" s="38">
        <f t="shared" si="10"/>
        <v>0.43427061068313239</v>
      </c>
      <c r="E157" s="32">
        <f t="shared" si="15"/>
        <v>115750.91308850996</v>
      </c>
      <c r="F157" s="47">
        <v>0</v>
      </c>
      <c r="G157" s="19">
        <v>6.7299999999999999E-2</v>
      </c>
      <c r="H157" s="38">
        <f t="shared" si="11"/>
        <v>0.19509590795918999</v>
      </c>
      <c r="I157" s="32">
        <f t="shared" si="16"/>
        <v>52001.054021557051</v>
      </c>
      <c r="J157" s="47">
        <v>0</v>
      </c>
      <c r="K157" s="19">
        <v>6.8000000000000005E-2</v>
      </c>
      <c r="L157" s="38">
        <f t="shared" si="12"/>
        <v>0.25514387292855623</v>
      </c>
      <c r="M157" s="31">
        <f t="shared" si="17"/>
        <v>68006.297303798288</v>
      </c>
      <c r="N157" s="47">
        <v>0</v>
      </c>
      <c r="O157" s="20">
        <v>3.5900000000000001E-2</v>
      </c>
      <c r="P157" s="38">
        <f t="shared" si="13"/>
        <v>0.11548960842912154</v>
      </c>
      <c r="Q157" s="32">
        <f t="shared" si="19"/>
        <v>30782.7131264458</v>
      </c>
      <c r="R157" s="47">
        <v>0</v>
      </c>
      <c r="S157" s="37">
        <f t="shared" si="14"/>
        <v>266540.97754031105</v>
      </c>
      <c r="T157" s="40">
        <f t="shared" si="18"/>
        <v>5.6089867462775667E-2</v>
      </c>
    </row>
    <row r="158" spans="2:20" x14ac:dyDescent="0.35">
      <c r="B158" s="10" t="s">
        <v>152</v>
      </c>
      <c r="C158" s="15">
        <v>-1.3899999999999999E-2</v>
      </c>
      <c r="D158" s="38">
        <f t="shared" ref="D158:D221" si="20">E158/S158</f>
        <v>0.43300579104121262</v>
      </c>
      <c r="E158" s="32">
        <f t="shared" si="15"/>
        <v>114141.97539657967</v>
      </c>
      <c r="F158" s="47">
        <v>0</v>
      </c>
      <c r="G158" s="19">
        <v>5.0000000000000001E-3</v>
      </c>
      <c r="H158" s="38">
        <f t="shared" ref="H158:H221" si="21">I158/S158</f>
        <v>0.19825608625235996</v>
      </c>
      <c r="I158" s="32">
        <f t="shared" si="16"/>
        <v>52261.059291664838</v>
      </c>
      <c r="J158" s="47">
        <v>0</v>
      </c>
      <c r="K158" s="17">
        <v>-3.8E-3</v>
      </c>
      <c r="L158" s="38">
        <f t="shared" ref="L158:L221" si="22">M158/S158</f>
        <v>0.25700642905262716</v>
      </c>
      <c r="M158" s="31">
        <f t="shared" si="17"/>
        <v>67747.873374043862</v>
      </c>
      <c r="N158" s="47">
        <v>0</v>
      </c>
      <c r="O158" s="15">
        <v>-4.3200000000000002E-2</v>
      </c>
      <c r="P158" s="38">
        <f t="shared" ref="P158:P221" si="23">Q158/S158</f>
        <v>0.1117316936538003</v>
      </c>
      <c r="Q158" s="32">
        <f t="shared" si="19"/>
        <v>29452.899919383341</v>
      </c>
      <c r="R158" s="47">
        <v>0</v>
      </c>
      <c r="S158" s="37">
        <f t="shared" ref="S158:S221" si="24">M158+I158+E158+Q158</f>
        <v>263603.80798167171</v>
      </c>
      <c r="T158" s="40">
        <f t="shared" si="18"/>
        <v>-1.1019579749965924E-2</v>
      </c>
    </row>
    <row r="159" spans="2:20" x14ac:dyDescent="0.35">
      <c r="B159" s="11" t="s">
        <v>153</v>
      </c>
      <c r="C159" s="20">
        <v>5.1000000000000004E-3</v>
      </c>
      <c r="D159" s="38">
        <f t="shared" si="20"/>
        <v>0.42899938536600363</v>
      </c>
      <c r="E159" s="32">
        <f t="shared" si="15"/>
        <v>114724.09947110222</v>
      </c>
      <c r="F159" s="47">
        <v>0</v>
      </c>
      <c r="G159" s="19">
        <v>1.43E-2</v>
      </c>
      <c r="H159" s="38">
        <f t="shared" si="21"/>
        <v>0.19821962325822232</v>
      </c>
      <c r="I159" s="32">
        <f t="shared" si="16"/>
        <v>53008.392439535644</v>
      </c>
      <c r="J159" s="47">
        <v>0</v>
      </c>
      <c r="K159" s="19">
        <v>3.1699999999999999E-2</v>
      </c>
      <c r="L159" s="38">
        <f t="shared" si="22"/>
        <v>0.26136721499613591</v>
      </c>
      <c r="M159" s="31">
        <f t="shared" si="17"/>
        <v>69895.480960001049</v>
      </c>
      <c r="N159" s="47">
        <v>0</v>
      </c>
      <c r="O159" s="20">
        <v>1.1599999999999999E-2</v>
      </c>
      <c r="P159" s="38">
        <f t="shared" si="23"/>
        <v>0.11141377637963817</v>
      </c>
      <c r="Q159" s="32">
        <f t="shared" si="19"/>
        <v>29794.553558448188</v>
      </c>
      <c r="R159" s="47">
        <v>0</v>
      </c>
      <c r="S159" s="37">
        <f t="shared" si="24"/>
        <v>267422.5264290871</v>
      </c>
      <c r="T159" s="40">
        <f t="shared" si="18"/>
        <v>1.448658301507133E-2</v>
      </c>
    </row>
    <row r="160" spans="2:20" x14ac:dyDescent="0.35">
      <c r="B160" s="10" t="s">
        <v>154</v>
      </c>
      <c r="C160" s="15">
        <v>-3.6700000000000003E-2</v>
      </c>
      <c r="D160" s="38">
        <f t="shared" si="20"/>
        <v>0.43053130715918647</v>
      </c>
      <c r="E160" s="32">
        <f t="shared" ref="E160:E223" si="25">((E159+F160)*C160)+E159+F160</f>
        <v>110513.72502051276</v>
      </c>
      <c r="F160" s="47">
        <v>0</v>
      </c>
      <c r="G160" s="17">
        <v>-6.2799999999999995E-2</v>
      </c>
      <c r="H160" s="38">
        <f t="shared" si="21"/>
        <v>0.19353763680684624</v>
      </c>
      <c r="I160" s="32">
        <f t="shared" ref="I160:I223" si="26">((I159+J160)*G160)+I159+J160</f>
        <v>49679.465394332809</v>
      </c>
      <c r="J160" s="47">
        <v>0</v>
      </c>
      <c r="K160" s="17">
        <v>-2.58E-2</v>
      </c>
      <c r="L160" s="38">
        <f t="shared" si="22"/>
        <v>0.26526853748714357</v>
      </c>
      <c r="M160" s="31">
        <f t="shared" ref="M160:M223" si="27">((M159+N160)*K160)+M159+N160</f>
        <v>68092.17755123302</v>
      </c>
      <c r="N160" s="47">
        <v>0</v>
      </c>
      <c r="O160" s="15">
        <v>-4.6600000000000003E-2</v>
      </c>
      <c r="P160" s="38">
        <f t="shared" si="23"/>
        <v>0.11066251854682364</v>
      </c>
      <c r="Q160" s="32">
        <f t="shared" si="19"/>
        <v>28406.127362624502</v>
      </c>
      <c r="R160" s="47">
        <v>0</v>
      </c>
      <c r="S160" s="37">
        <f t="shared" si="24"/>
        <v>256691.49532870311</v>
      </c>
      <c r="T160" s="40">
        <f t="shared" ref="T160:T223" si="28">S160/S159-1</f>
        <v>-4.0127625909740061E-2</v>
      </c>
    </row>
    <row r="161" spans="2:20" x14ac:dyDescent="0.35">
      <c r="B161" s="11" t="s">
        <v>155</v>
      </c>
      <c r="C161" s="20">
        <v>9.7900000000000001E-2</v>
      </c>
      <c r="D161" s="38">
        <f t="shared" si="20"/>
        <v>0.43850041251868627</v>
      </c>
      <c r="E161" s="32">
        <f t="shared" si="25"/>
        <v>121333.01870002097</v>
      </c>
      <c r="F161" s="47">
        <v>0</v>
      </c>
      <c r="G161" s="19">
        <v>0.17899999999999999</v>
      </c>
      <c r="H161" s="38">
        <f t="shared" si="21"/>
        <v>0.21168092387938969</v>
      </c>
      <c r="I161" s="32">
        <f t="shared" si="26"/>
        <v>58572.089699918382</v>
      </c>
      <c r="J161" s="47">
        <v>0</v>
      </c>
      <c r="K161" s="19">
        <v>1.47E-2</v>
      </c>
      <c r="L161" s="38">
        <f t="shared" si="22"/>
        <v>0.24970422276574483</v>
      </c>
      <c r="M161" s="31">
        <f t="shared" si="27"/>
        <v>69093.13256123614</v>
      </c>
      <c r="N161" s="47">
        <v>0</v>
      </c>
      <c r="O161" s="15">
        <v>-2.4799999999999999E-2</v>
      </c>
      <c r="P161" s="38">
        <f t="shared" si="23"/>
        <v>0.10011444083617917</v>
      </c>
      <c r="Q161" s="32">
        <f t="shared" ref="Q161:Q224" si="29">((Q160+R161)*O161)+Q160+R161</f>
        <v>27701.655404031415</v>
      </c>
      <c r="R161" s="47">
        <v>0</v>
      </c>
      <c r="S161" s="37">
        <f t="shared" si="24"/>
        <v>276699.89636520692</v>
      </c>
      <c r="T161" s="40">
        <f t="shared" si="28"/>
        <v>7.7947269000409714E-2</v>
      </c>
    </row>
    <row r="162" spans="2:20" x14ac:dyDescent="0.35">
      <c r="B162" s="10" t="s">
        <v>156</v>
      </c>
      <c r="C162" s="15">
        <v>-2.5000000000000001E-2</v>
      </c>
      <c r="D162" s="38">
        <f t="shared" si="20"/>
        <v>0.44301633478552127</v>
      </c>
      <c r="E162" s="32">
        <f t="shared" si="25"/>
        <v>118299.69323252044</v>
      </c>
      <c r="F162" s="47">
        <v>0</v>
      </c>
      <c r="G162" s="17">
        <v>-1.89E-2</v>
      </c>
      <c r="H162" s="38">
        <f t="shared" si="21"/>
        <v>0.21519893404377888</v>
      </c>
      <c r="I162" s="32">
        <f t="shared" si="26"/>
        <v>57465.077204589928</v>
      </c>
      <c r="J162" s="47">
        <v>0</v>
      </c>
      <c r="K162" s="17">
        <v>-5.57E-2</v>
      </c>
      <c r="L162" s="38">
        <f t="shared" si="22"/>
        <v>0.24433236246722415</v>
      </c>
      <c r="M162" s="31">
        <f t="shared" si="27"/>
        <v>65244.645077575289</v>
      </c>
      <c r="N162" s="47">
        <v>0</v>
      </c>
      <c r="O162" s="15">
        <v>-6.0600000000000001E-2</v>
      </c>
      <c r="P162" s="38">
        <f t="shared" si="23"/>
        <v>9.7452368703475636E-2</v>
      </c>
      <c r="Q162" s="32">
        <f t="shared" si="29"/>
        <v>26022.93508654711</v>
      </c>
      <c r="R162" s="47">
        <v>0</v>
      </c>
      <c r="S162" s="37">
        <f t="shared" si="24"/>
        <v>267032.35060123279</v>
      </c>
      <c r="T162" s="40">
        <f t="shared" si="28"/>
        <v>-3.4938740097012033E-2</v>
      </c>
    </row>
    <row r="163" spans="2:20" x14ac:dyDescent="0.35">
      <c r="B163" s="9" t="s">
        <v>157</v>
      </c>
      <c r="C163" s="15">
        <v>-2.24E-2</v>
      </c>
      <c r="D163" s="38">
        <f t="shared" si="20"/>
        <v>0.44449835316281366</v>
      </c>
      <c r="E163" s="32">
        <f t="shared" si="25"/>
        <v>117472.87701611198</v>
      </c>
      <c r="F163" s="49">
        <v>1864.87</v>
      </c>
      <c r="G163" s="17">
        <v>-3.6799999999999999E-2</v>
      </c>
      <c r="H163" s="38">
        <f t="shared" si="21"/>
        <v>0.19464483130200988</v>
      </c>
      <c r="I163" s="32">
        <f t="shared" si="26"/>
        <v>51441.109211461022</v>
      </c>
      <c r="J163" s="48">
        <v>-4058.61</v>
      </c>
      <c r="K163" s="19">
        <v>2.4400000000000002E-2</v>
      </c>
      <c r="L163" s="38">
        <f t="shared" si="22"/>
        <v>0.25876527251240955</v>
      </c>
      <c r="M163" s="31">
        <f t="shared" si="27"/>
        <v>68386.982353468135</v>
      </c>
      <c r="N163" s="49">
        <v>1513.44</v>
      </c>
      <c r="O163" s="20">
        <v>1.04E-2</v>
      </c>
      <c r="P163" s="38">
        <f t="shared" si="23"/>
        <v>0.10209154302276678</v>
      </c>
      <c r="Q163" s="32">
        <f t="shared" si="29"/>
        <v>26980.948731447199</v>
      </c>
      <c r="R163" s="49">
        <v>680.3</v>
      </c>
      <c r="S163" s="37">
        <f t="shared" si="24"/>
        <v>264281.91731248837</v>
      </c>
      <c r="T163" s="40">
        <f t="shared" si="28"/>
        <v>-1.0300000290420663E-2</v>
      </c>
    </row>
    <row r="164" spans="2:20" x14ac:dyDescent="0.35">
      <c r="B164" s="10" t="s">
        <v>158</v>
      </c>
      <c r="C164" s="20">
        <v>3.1600000000000003E-2</v>
      </c>
      <c r="D164" s="38">
        <f t="shared" si="20"/>
        <v>0.44848713370177035</v>
      </c>
      <c r="E164" s="32">
        <f t="shared" si="25"/>
        <v>121185.01992982111</v>
      </c>
      <c r="F164" s="47">
        <v>0</v>
      </c>
      <c r="G164" s="19">
        <v>1.38E-2</v>
      </c>
      <c r="H164" s="38">
        <f t="shared" si="21"/>
        <v>0.19300282297146382</v>
      </c>
      <c r="I164" s="32">
        <f t="shared" si="26"/>
        <v>52150.996518579181</v>
      </c>
      <c r="J164" s="47">
        <v>0</v>
      </c>
      <c r="K164" s="19">
        <v>1.1900000000000001E-2</v>
      </c>
      <c r="L164" s="38">
        <f t="shared" si="22"/>
        <v>0.25610147878345202</v>
      </c>
      <c r="M164" s="31">
        <f t="shared" si="27"/>
        <v>69200.787443474401</v>
      </c>
      <c r="N164" s="47">
        <v>0</v>
      </c>
      <c r="O164" s="20">
        <v>2.5600000000000001E-2</v>
      </c>
      <c r="P164" s="38">
        <f t="shared" si="23"/>
        <v>0.10240856454331396</v>
      </c>
      <c r="Q164" s="32">
        <f t="shared" si="29"/>
        <v>27671.661018972249</v>
      </c>
      <c r="R164" s="47">
        <v>0</v>
      </c>
      <c r="S164" s="37">
        <f t="shared" si="24"/>
        <v>270208.4649108469</v>
      </c>
      <c r="T164" s="40">
        <f t="shared" si="28"/>
        <v>2.2425096876192763E-2</v>
      </c>
    </row>
    <row r="165" spans="2:20" x14ac:dyDescent="0.35">
      <c r="B165" s="11" t="s">
        <v>159</v>
      </c>
      <c r="C165" s="20">
        <v>1.34E-2</v>
      </c>
      <c r="D165" s="38">
        <f t="shared" si="20"/>
        <v>0.44438783901135459</v>
      </c>
      <c r="E165" s="32">
        <f t="shared" si="25"/>
        <v>122808.89919688071</v>
      </c>
      <c r="F165" s="47">
        <v>0</v>
      </c>
      <c r="G165" s="19">
        <v>1.12E-2</v>
      </c>
      <c r="H165" s="38">
        <f t="shared" si="21"/>
        <v>0.19082356252079596</v>
      </c>
      <c r="I165" s="32">
        <f t="shared" si="26"/>
        <v>52735.087679587268</v>
      </c>
      <c r="J165" s="47">
        <v>0</v>
      </c>
      <c r="K165" s="19">
        <v>5.1200000000000002E-2</v>
      </c>
      <c r="L165" s="38">
        <f t="shared" si="22"/>
        <v>0.2632259584350472</v>
      </c>
      <c r="M165" s="31">
        <f t="shared" si="27"/>
        <v>72743.867760580295</v>
      </c>
      <c r="N165" s="47">
        <v>0</v>
      </c>
      <c r="O165" s="20">
        <v>1.43E-2</v>
      </c>
      <c r="P165" s="38">
        <f t="shared" si="23"/>
        <v>0.10156264003280231</v>
      </c>
      <c r="Q165" s="32">
        <f t="shared" si="29"/>
        <v>28067.365771543551</v>
      </c>
      <c r="R165" s="47">
        <v>0</v>
      </c>
      <c r="S165" s="37">
        <f t="shared" si="24"/>
        <v>276355.22040859179</v>
      </c>
      <c r="T165" s="40">
        <f t="shared" si="28"/>
        <v>2.2748197395566327E-2</v>
      </c>
    </row>
    <row r="166" spans="2:20" x14ac:dyDescent="0.35">
      <c r="B166" s="10" t="s">
        <v>160</v>
      </c>
      <c r="C166" s="20">
        <v>1.89E-2</v>
      </c>
      <c r="D166" s="38">
        <f t="shared" si="20"/>
        <v>0.44299497270959692</v>
      </c>
      <c r="E166" s="32">
        <f t="shared" si="25"/>
        <v>125129.98739170175</v>
      </c>
      <c r="F166" s="47">
        <v>0</v>
      </c>
      <c r="G166" s="19">
        <v>2.1299999999999999E-2</v>
      </c>
      <c r="H166" s="38">
        <f t="shared" si="21"/>
        <v>0.1906735275187445</v>
      </c>
      <c r="I166" s="32">
        <f t="shared" si="26"/>
        <v>53858.345047162475</v>
      </c>
      <c r="J166" s="47">
        <v>0</v>
      </c>
      <c r="K166" s="19">
        <v>2.69E-2</v>
      </c>
      <c r="L166" s="38">
        <f t="shared" si="22"/>
        <v>0.26446118484203984</v>
      </c>
      <c r="M166" s="31">
        <f t="shared" si="27"/>
        <v>74700.677803339902</v>
      </c>
      <c r="N166" s="47">
        <v>0</v>
      </c>
      <c r="O166" s="20">
        <v>2.52E-2</v>
      </c>
      <c r="P166" s="38">
        <f t="shared" si="23"/>
        <v>0.10187031492961882</v>
      </c>
      <c r="Q166" s="32">
        <f t="shared" si="29"/>
        <v>28774.66338898645</v>
      </c>
      <c r="R166" s="47">
        <v>0</v>
      </c>
      <c r="S166" s="37">
        <f t="shared" si="24"/>
        <v>282463.67363119056</v>
      </c>
      <c r="T166" s="40">
        <f t="shared" si="28"/>
        <v>2.2103628849736934E-2</v>
      </c>
    </row>
    <row r="167" spans="2:20" x14ac:dyDescent="0.35">
      <c r="B167" s="11" t="s">
        <v>161</v>
      </c>
      <c r="C167" s="20">
        <v>3.5400000000000001E-2</v>
      </c>
      <c r="D167" s="38">
        <f t="shared" si="20"/>
        <v>0.44416746906006127</v>
      </c>
      <c r="E167" s="32">
        <f t="shared" si="25"/>
        <v>129559.588945368</v>
      </c>
      <c r="F167" s="47">
        <v>0</v>
      </c>
      <c r="G167" s="19">
        <v>3.3E-3</v>
      </c>
      <c r="H167" s="38">
        <f t="shared" si="21"/>
        <v>0.18525118838827573</v>
      </c>
      <c r="I167" s="32">
        <f t="shared" si="26"/>
        <v>54036.077585818108</v>
      </c>
      <c r="J167" s="47">
        <v>0</v>
      </c>
      <c r="K167" s="19">
        <v>5.2600000000000001E-2</v>
      </c>
      <c r="L167" s="38">
        <f t="shared" si="22"/>
        <v>0.26956598750979899</v>
      </c>
      <c r="M167" s="31">
        <f t="shared" si="27"/>
        <v>78629.933455795588</v>
      </c>
      <c r="N167" s="47">
        <v>0</v>
      </c>
      <c r="O167" s="20">
        <v>2.4E-2</v>
      </c>
      <c r="P167" s="38">
        <f t="shared" si="23"/>
        <v>0.10101535504186401</v>
      </c>
      <c r="Q167" s="32">
        <f t="shared" si="29"/>
        <v>29465.255310322125</v>
      </c>
      <c r="R167" s="47">
        <v>0</v>
      </c>
      <c r="S167" s="37">
        <f t="shared" si="24"/>
        <v>291690.85529730382</v>
      </c>
      <c r="T167" s="40">
        <f t="shared" si="28"/>
        <v>3.2666790555733849E-2</v>
      </c>
    </row>
    <row r="168" spans="2:20" x14ac:dyDescent="0.35">
      <c r="B168" s="10" t="s">
        <v>162</v>
      </c>
      <c r="C168" s="20">
        <v>1.9300000000000001E-2</v>
      </c>
      <c r="D168" s="38">
        <f t="shared" si="20"/>
        <v>0.44299166440106585</v>
      </c>
      <c r="E168" s="32">
        <f t="shared" si="25"/>
        <v>132060.0890120136</v>
      </c>
      <c r="F168" s="47">
        <v>0</v>
      </c>
      <c r="G168" s="19">
        <v>4.87E-2</v>
      </c>
      <c r="H168" s="38">
        <f t="shared" si="21"/>
        <v>0.19008990483872595</v>
      </c>
      <c r="I168" s="32">
        <f t="shared" si="26"/>
        <v>56667.634564247448</v>
      </c>
      <c r="J168" s="47">
        <v>0</v>
      </c>
      <c r="K168" s="19">
        <v>1.9099999999999999E-2</v>
      </c>
      <c r="L168" s="38">
        <f t="shared" si="22"/>
        <v>0.26879963731798828</v>
      </c>
      <c r="M168" s="31">
        <f t="shared" si="27"/>
        <v>80131.76518480129</v>
      </c>
      <c r="N168" s="47">
        <v>0</v>
      </c>
      <c r="O168" s="15">
        <v>-7.3000000000000001E-3</v>
      </c>
      <c r="P168" s="38">
        <f t="shared" si="23"/>
        <v>9.8118793442219715E-2</v>
      </c>
      <c r="Q168" s="32">
        <f t="shared" si="29"/>
        <v>29250.158946556774</v>
      </c>
      <c r="R168" s="47">
        <v>0</v>
      </c>
      <c r="S168" s="37">
        <f t="shared" si="24"/>
        <v>298109.64770761918</v>
      </c>
      <c r="T168" s="40">
        <f t="shared" si="28"/>
        <v>2.2005463296999928E-2</v>
      </c>
    </row>
    <row r="169" spans="2:20" x14ac:dyDescent="0.35">
      <c r="B169" s="11" t="s">
        <v>163</v>
      </c>
      <c r="C169" s="15">
        <v>-3.39E-2</v>
      </c>
      <c r="D169" s="38">
        <f t="shared" si="20"/>
        <v>0.43959035457671025</v>
      </c>
      <c r="E169" s="32">
        <f t="shared" si="25"/>
        <v>127583.25199450634</v>
      </c>
      <c r="F169" s="47">
        <v>0</v>
      </c>
      <c r="G169" s="17">
        <v>-4.82E-2</v>
      </c>
      <c r="H169" s="38">
        <f t="shared" si="21"/>
        <v>0.18583832050004401</v>
      </c>
      <c r="I169" s="32">
        <f t="shared" si="26"/>
        <v>53936.254578250722</v>
      </c>
      <c r="J169" s="47">
        <v>0</v>
      </c>
      <c r="K169" s="19">
        <v>3.0000000000000001E-3</v>
      </c>
      <c r="L169" s="38">
        <f t="shared" si="22"/>
        <v>0.27692370253406884</v>
      </c>
      <c r="M169" s="31">
        <f t="shared" si="27"/>
        <v>80372.160480355698</v>
      </c>
      <c r="N169" s="47">
        <v>0</v>
      </c>
      <c r="O169" s="15">
        <v>-3.1099999999999999E-2</v>
      </c>
      <c r="P169" s="38">
        <f t="shared" si="23"/>
        <v>9.7647622389176847E-2</v>
      </c>
      <c r="Q169" s="32">
        <f t="shared" si="29"/>
        <v>28340.479003318858</v>
      </c>
      <c r="R169" s="47">
        <v>0</v>
      </c>
      <c r="S169" s="37">
        <f t="shared" si="24"/>
        <v>290232.14605643164</v>
      </c>
      <c r="T169" s="40">
        <f t="shared" si="28"/>
        <v>-2.6424846400521895E-2</v>
      </c>
    </row>
    <row r="170" spans="2:20" x14ac:dyDescent="0.35">
      <c r="B170" s="10" t="s">
        <v>164</v>
      </c>
      <c r="C170" s="20">
        <v>9.7000000000000003E-3</v>
      </c>
      <c r="D170" s="38">
        <f t="shared" si="20"/>
        <v>0.43616219937242484</v>
      </c>
      <c r="E170" s="32">
        <f t="shared" si="25"/>
        <v>128820.80953885305</v>
      </c>
      <c r="F170" s="47">
        <v>0</v>
      </c>
      <c r="G170" s="17">
        <v>-3.5000000000000001E-3</v>
      </c>
      <c r="H170" s="38">
        <f t="shared" si="21"/>
        <v>0.18197850302835403</v>
      </c>
      <c r="I170" s="32">
        <f t="shared" si="26"/>
        <v>53747.477687226841</v>
      </c>
      <c r="J170" s="47">
        <v>0</v>
      </c>
      <c r="K170" s="19">
        <v>3.2899999999999999E-2</v>
      </c>
      <c r="L170" s="38">
        <f t="shared" si="22"/>
        <v>0.28107739523271202</v>
      </c>
      <c r="M170" s="31">
        <f t="shared" si="27"/>
        <v>83016.404560159397</v>
      </c>
      <c r="N170" s="47">
        <v>0</v>
      </c>
      <c r="O170" s="20">
        <v>5.0299999999999997E-2</v>
      </c>
      <c r="P170" s="38">
        <f t="shared" si="23"/>
        <v>0.10078190236650919</v>
      </c>
      <c r="Q170" s="32">
        <f t="shared" si="29"/>
        <v>29766.005097185796</v>
      </c>
      <c r="R170" s="47">
        <v>0</v>
      </c>
      <c r="S170" s="37">
        <f t="shared" si="24"/>
        <v>295350.69688342506</v>
      </c>
      <c r="T170" s="40">
        <f t="shared" si="28"/>
        <v>1.7636057537190108E-2</v>
      </c>
    </row>
    <row r="171" spans="2:20" x14ac:dyDescent="0.35">
      <c r="B171" s="11" t="s">
        <v>165</v>
      </c>
      <c r="C171" s="20">
        <v>2.64E-2</v>
      </c>
      <c r="D171" s="38">
        <f t="shared" si="20"/>
        <v>0.43750100040754897</v>
      </c>
      <c r="E171" s="32">
        <f t="shared" si="25"/>
        <v>132221.67891067878</v>
      </c>
      <c r="F171" s="47">
        <v>0</v>
      </c>
      <c r="G171" s="19">
        <v>6.7900000000000002E-2</v>
      </c>
      <c r="H171" s="38">
        <f t="shared" si="21"/>
        <v>0.18991753186325122</v>
      </c>
      <c r="I171" s="32">
        <f t="shared" si="26"/>
        <v>57396.931422189547</v>
      </c>
      <c r="J171" s="47">
        <v>0</v>
      </c>
      <c r="K171" s="19">
        <v>6.4999999999999997E-3</v>
      </c>
      <c r="L171" s="38">
        <f t="shared" si="22"/>
        <v>0.27647386409528979</v>
      </c>
      <c r="M171" s="31">
        <f t="shared" si="27"/>
        <v>83556.01118980044</v>
      </c>
      <c r="N171" s="47">
        <v>0</v>
      </c>
      <c r="O171" s="15">
        <v>-2.4199999999999999E-2</v>
      </c>
      <c r="P171" s="38">
        <f t="shared" si="23"/>
        <v>9.6107603633910021E-2</v>
      </c>
      <c r="Q171" s="32">
        <f t="shared" si="29"/>
        <v>29045.667773833899</v>
      </c>
      <c r="R171" s="47">
        <v>0</v>
      </c>
      <c r="S171" s="37">
        <f t="shared" si="24"/>
        <v>302220.28929650265</v>
      </c>
      <c r="T171" s="40">
        <f t="shared" si="28"/>
        <v>2.3259103450800511E-2</v>
      </c>
    </row>
    <row r="172" spans="2:20" x14ac:dyDescent="0.35">
      <c r="B172" s="10" t="s">
        <v>166</v>
      </c>
      <c r="C172" s="20">
        <v>5.6399999999999999E-2</v>
      </c>
      <c r="D172" s="38">
        <f t="shared" si="20"/>
        <v>0.43866184226781119</v>
      </c>
      <c r="E172" s="32">
        <f t="shared" si="25"/>
        <v>139678.98160124104</v>
      </c>
      <c r="F172" s="47">
        <v>0</v>
      </c>
      <c r="G172" s="19">
        <v>4.1000000000000002E-2</v>
      </c>
      <c r="H172" s="38">
        <f t="shared" si="21"/>
        <v>0.18764552095466641</v>
      </c>
      <c r="I172" s="32">
        <f t="shared" si="26"/>
        <v>59750.205610499317</v>
      </c>
      <c r="J172" s="47">
        <v>0</v>
      </c>
      <c r="K172" s="19">
        <v>6.7400000000000002E-2</v>
      </c>
      <c r="L172" s="38">
        <f t="shared" si="22"/>
        <v>0.28009392931392951</v>
      </c>
      <c r="M172" s="31">
        <f t="shared" si="27"/>
        <v>89187.686343992988</v>
      </c>
      <c r="N172" s="47">
        <v>0</v>
      </c>
      <c r="O172" s="20">
        <v>2.6100000000000002E-2</v>
      </c>
      <c r="P172" s="38">
        <f t="shared" si="23"/>
        <v>9.3598707463592778E-2</v>
      </c>
      <c r="Q172" s="32">
        <f t="shared" si="29"/>
        <v>29803.759702730964</v>
      </c>
      <c r="R172" s="47">
        <v>0</v>
      </c>
      <c r="S172" s="37">
        <f t="shared" si="24"/>
        <v>318420.63325846434</v>
      </c>
      <c r="T172" s="40">
        <f t="shared" si="28"/>
        <v>5.3604422124246653E-2</v>
      </c>
    </row>
    <row r="173" spans="2:20" x14ac:dyDescent="0.35">
      <c r="B173" s="11" t="s">
        <v>167</v>
      </c>
      <c r="C173" s="20">
        <v>1.47E-2</v>
      </c>
      <c r="D173" s="38">
        <f t="shared" si="20"/>
        <v>0.44341700471187873</v>
      </c>
      <c r="E173" s="32">
        <f t="shared" si="25"/>
        <v>141732.2626307793</v>
      </c>
      <c r="F173" s="47">
        <v>0</v>
      </c>
      <c r="G173" s="19">
        <v>1.6E-2</v>
      </c>
      <c r="H173" s="38">
        <f t="shared" si="21"/>
        <v>0.1899226387720451</v>
      </c>
      <c r="I173" s="32">
        <f t="shared" si="26"/>
        <v>60706.208900267309</v>
      </c>
      <c r="J173" s="47">
        <v>0</v>
      </c>
      <c r="K173" s="17">
        <v>-1.6799999999999999E-2</v>
      </c>
      <c r="L173" s="38">
        <f t="shared" si="22"/>
        <v>0.27434079409263479</v>
      </c>
      <c r="M173" s="31">
        <f t="shared" si="27"/>
        <v>87689.333213413905</v>
      </c>
      <c r="N173" s="47">
        <v>0</v>
      </c>
      <c r="O173" s="15">
        <v>-9.9000000000000008E-3</v>
      </c>
      <c r="P173" s="38">
        <f t="shared" si="23"/>
        <v>9.2319562423441512E-2</v>
      </c>
      <c r="Q173" s="32">
        <f t="shared" si="29"/>
        <v>29508.702481673929</v>
      </c>
      <c r="R173" s="47">
        <v>0</v>
      </c>
      <c r="S173" s="37">
        <f t="shared" si="24"/>
        <v>319636.50722613442</v>
      </c>
      <c r="T173" s="40">
        <f t="shared" si="28"/>
        <v>3.8184522002477905E-3</v>
      </c>
    </row>
    <row r="174" spans="2:20" x14ac:dyDescent="0.35">
      <c r="B174" s="10" t="s">
        <v>168</v>
      </c>
      <c r="C174" s="20">
        <v>3.04E-2</v>
      </c>
      <c r="D174" s="38">
        <f t="shared" si="20"/>
        <v>0.44290822797413826</v>
      </c>
      <c r="E174" s="32">
        <f t="shared" si="25"/>
        <v>146040.92341475497</v>
      </c>
      <c r="F174" s="47">
        <v>0</v>
      </c>
      <c r="G174" s="19">
        <v>1.2500000000000001E-2</v>
      </c>
      <c r="H174" s="38">
        <f t="shared" si="21"/>
        <v>0.18640919111671994</v>
      </c>
      <c r="I174" s="32">
        <f t="shared" si="26"/>
        <v>61465.036511520651</v>
      </c>
      <c r="J174" s="47">
        <v>0</v>
      </c>
      <c r="K174" s="19">
        <v>4.2900000000000001E-2</v>
      </c>
      <c r="L174" s="38">
        <f t="shared" si="22"/>
        <v>0.27735028288628899</v>
      </c>
      <c r="M174" s="31">
        <f t="shared" si="27"/>
        <v>91451.20560826936</v>
      </c>
      <c r="N174" s="47">
        <v>0</v>
      </c>
      <c r="O174" s="20">
        <v>4.2900000000000001E-2</v>
      </c>
      <c r="P174" s="38">
        <f t="shared" si="23"/>
        <v>9.3332298022852936E-2</v>
      </c>
      <c r="Q174" s="32">
        <f t="shared" si="29"/>
        <v>30774.625818137742</v>
      </c>
      <c r="R174" s="47">
        <v>0</v>
      </c>
      <c r="S174" s="37">
        <f t="shared" si="24"/>
        <v>329731.79135268269</v>
      </c>
      <c r="T174" s="40">
        <f t="shared" si="28"/>
        <v>3.1583639222431348E-2</v>
      </c>
    </row>
    <row r="175" spans="2:20" x14ac:dyDescent="0.35">
      <c r="B175" s="9" t="s">
        <v>169</v>
      </c>
      <c r="C175" s="20">
        <v>1.44E-2</v>
      </c>
      <c r="D175" s="38">
        <f t="shared" si="20"/>
        <v>0.45078436196606464</v>
      </c>
      <c r="E175" s="32">
        <f t="shared" si="25"/>
        <v>150515.97552792745</v>
      </c>
      <c r="F175" s="49">
        <v>2338.39</v>
      </c>
      <c r="G175" s="17">
        <v>-1.4999999999999999E-2</v>
      </c>
      <c r="H175" s="38">
        <f t="shared" si="21"/>
        <v>0.19454195707577182</v>
      </c>
      <c r="I175" s="32">
        <f t="shared" si="26"/>
        <v>64957.161163847843</v>
      </c>
      <c r="J175" s="49">
        <v>4481.32</v>
      </c>
      <c r="K175" s="19">
        <v>4.0099999999999997E-2</v>
      </c>
      <c r="L175" s="38">
        <f t="shared" si="22"/>
        <v>0.25678057040367236</v>
      </c>
      <c r="M175" s="31">
        <f t="shared" si="27"/>
        <v>85738.506727160973</v>
      </c>
      <c r="N175" s="48">
        <v>-9018.26</v>
      </c>
      <c r="O175" s="15">
        <v>-8.6999999999999994E-3</v>
      </c>
      <c r="P175" s="38">
        <f t="shared" si="23"/>
        <v>9.7893110554491097E-2</v>
      </c>
      <c r="Q175" s="32">
        <f t="shared" si="29"/>
        <v>32686.309188519943</v>
      </c>
      <c r="R175" s="49">
        <v>2198.5500000000002</v>
      </c>
      <c r="S175" s="37">
        <f t="shared" si="24"/>
        <v>333897.95260745625</v>
      </c>
      <c r="T175" s="40">
        <f t="shared" si="28"/>
        <v>1.2635000215424741E-2</v>
      </c>
    </row>
    <row r="176" spans="2:20" x14ac:dyDescent="0.35">
      <c r="B176" s="10" t="s">
        <v>170</v>
      </c>
      <c r="C176" s="15">
        <v>-1.78E-2</v>
      </c>
      <c r="D176" s="38">
        <f t="shared" si="20"/>
        <v>0.45225010671359267</v>
      </c>
      <c r="E176" s="32">
        <f t="shared" si="25"/>
        <v>147836.79116353035</v>
      </c>
      <c r="F176" s="47">
        <v>0</v>
      </c>
      <c r="G176" s="17">
        <v>-1.72E-2</v>
      </c>
      <c r="H176" s="38">
        <f t="shared" si="21"/>
        <v>0.19529374557009546</v>
      </c>
      <c r="I176" s="32">
        <f t="shared" si="26"/>
        <v>63839.897991829661</v>
      </c>
      <c r="J176" s="47">
        <v>0</v>
      </c>
      <c r="K176" s="17">
        <v>-3.8199999999999998E-2</v>
      </c>
      <c r="L176" s="38">
        <f t="shared" si="22"/>
        <v>0.25226490658044004</v>
      </c>
      <c r="M176" s="31">
        <f t="shared" si="27"/>
        <v>82463.295770183424</v>
      </c>
      <c r="N176" s="47">
        <v>0</v>
      </c>
      <c r="O176" s="20">
        <v>2E-3</v>
      </c>
      <c r="P176" s="38">
        <f t="shared" si="23"/>
        <v>0.10019124113587181</v>
      </c>
      <c r="Q176" s="32">
        <f t="shared" si="29"/>
        <v>32751.681806896984</v>
      </c>
      <c r="R176" s="47">
        <v>0</v>
      </c>
      <c r="S176" s="37">
        <f t="shared" si="24"/>
        <v>326891.66673244041</v>
      </c>
      <c r="T176" s="40">
        <f t="shared" si="28"/>
        <v>-2.0983314873010639E-2</v>
      </c>
    </row>
    <row r="177" spans="2:20" x14ac:dyDescent="0.35">
      <c r="B177" s="11" t="s">
        <v>171</v>
      </c>
      <c r="C177" s="15">
        <v>-6.1000000000000004E-3</v>
      </c>
      <c r="D177" s="38">
        <f t="shared" si="20"/>
        <v>0.44381091886101559</v>
      </c>
      <c r="E177" s="32">
        <f t="shared" si="25"/>
        <v>146934.9867374328</v>
      </c>
      <c r="F177" s="47">
        <v>0</v>
      </c>
      <c r="G177" s="19">
        <v>3.1399999999999997E-2</v>
      </c>
      <c r="H177" s="38">
        <f t="shared" si="21"/>
        <v>0.19888044183038703</v>
      </c>
      <c r="I177" s="32">
        <f t="shared" si="26"/>
        <v>65844.470788773106</v>
      </c>
      <c r="J177" s="47">
        <v>0</v>
      </c>
      <c r="K177" s="19">
        <v>2.6800000000000001E-2</v>
      </c>
      <c r="L177" s="38">
        <f t="shared" si="22"/>
        <v>0.25575216140897261</v>
      </c>
      <c r="M177" s="31">
        <f t="shared" si="27"/>
        <v>84673.312096824346</v>
      </c>
      <c r="N177" s="47">
        <v>0</v>
      </c>
      <c r="O177" s="20">
        <v>2.6599999999999999E-2</v>
      </c>
      <c r="P177" s="38">
        <f t="shared" si="23"/>
        <v>0.10155647789962484</v>
      </c>
      <c r="Q177" s="32">
        <f t="shared" si="29"/>
        <v>33622.876542960446</v>
      </c>
      <c r="R177" s="47">
        <v>0</v>
      </c>
      <c r="S177" s="37">
        <f t="shared" si="24"/>
        <v>331075.64616599068</v>
      </c>
      <c r="T177" s="40">
        <f t="shared" si="28"/>
        <v>1.2799284470518035E-2</v>
      </c>
    </row>
    <row r="178" spans="2:20" x14ac:dyDescent="0.35">
      <c r="B178" s="10" t="s">
        <v>172</v>
      </c>
      <c r="C178" s="20">
        <v>4.3499999999999997E-2</v>
      </c>
      <c r="D178" s="38">
        <f t="shared" si="20"/>
        <v>0.4471574374309511</v>
      </c>
      <c r="E178" s="32">
        <f t="shared" si="25"/>
        <v>153326.65866051114</v>
      </c>
      <c r="F178" s="47">
        <v>0</v>
      </c>
      <c r="G178" s="19">
        <v>5.0900000000000001E-2</v>
      </c>
      <c r="H178" s="38">
        <f t="shared" si="21"/>
        <v>0.20180108207473285</v>
      </c>
      <c r="I178" s="32">
        <f t="shared" si="26"/>
        <v>69195.954351921653</v>
      </c>
      <c r="J178" s="47">
        <v>0</v>
      </c>
      <c r="K178" s="19">
        <v>1.1299999999999999E-2</v>
      </c>
      <c r="L178" s="38">
        <f t="shared" si="22"/>
        <v>0.24972920948457042</v>
      </c>
      <c r="M178" s="31">
        <f t="shared" si="27"/>
        <v>85630.120523518461</v>
      </c>
      <c r="N178" s="47">
        <v>0</v>
      </c>
      <c r="O178" s="20">
        <v>3.32E-2</v>
      </c>
      <c r="P178" s="38">
        <f t="shared" si="23"/>
        <v>0.1013122710097457</v>
      </c>
      <c r="Q178" s="32">
        <f t="shared" si="29"/>
        <v>34739.156044186733</v>
      </c>
      <c r="R178" s="47">
        <v>0</v>
      </c>
      <c r="S178" s="37">
        <f t="shared" si="24"/>
        <v>342891.88958013797</v>
      </c>
      <c r="T178" s="40">
        <f t="shared" si="28"/>
        <v>3.5690463949809903E-2</v>
      </c>
    </row>
    <row r="179" spans="2:20" x14ac:dyDescent="0.35">
      <c r="B179" s="11" t="s">
        <v>173</v>
      </c>
      <c r="C179" s="20">
        <v>0.1012</v>
      </c>
      <c r="D179" s="38">
        <f t="shared" si="20"/>
        <v>0.45043296418116063</v>
      </c>
      <c r="E179" s="32">
        <f t="shared" si="25"/>
        <v>168843.31651695486</v>
      </c>
      <c r="F179" s="47">
        <v>0</v>
      </c>
      <c r="G179" s="19">
        <v>0.14430000000000001</v>
      </c>
      <c r="H179" s="38">
        <f t="shared" si="21"/>
        <v>0.21123549333615985</v>
      </c>
      <c r="I179" s="32">
        <f t="shared" si="26"/>
        <v>79180.930564903945</v>
      </c>
      <c r="J179" s="47">
        <v>0</v>
      </c>
      <c r="K179" s="19">
        <v>4.9599999999999998E-2</v>
      </c>
      <c r="L179" s="38">
        <f t="shared" si="22"/>
        <v>0.2397710080840473</v>
      </c>
      <c r="M179" s="31">
        <f t="shared" si="27"/>
        <v>89877.37450148497</v>
      </c>
      <c r="N179" s="47">
        <v>0</v>
      </c>
      <c r="O179" s="20">
        <v>6.3500000000000001E-2</v>
      </c>
      <c r="P179" s="38">
        <f t="shared" si="23"/>
        <v>9.8560534398632244E-2</v>
      </c>
      <c r="Q179" s="32">
        <f t="shared" si="29"/>
        <v>36945.092452992591</v>
      </c>
      <c r="R179" s="47">
        <v>0</v>
      </c>
      <c r="S179" s="37">
        <f t="shared" si="24"/>
        <v>374846.71403633634</v>
      </c>
      <c r="T179" s="40">
        <f t="shared" si="28"/>
        <v>9.3192126810949683E-2</v>
      </c>
    </row>
    <row r="180" spans="2:20" x14ac:dyDescent="0.35">
      <c r="B180" s="10" t="s">
        <v>174</v>
      </c>
      <c r="C180" s="20">
        <v>4.1799999999999997E-2</v>
      </c>
      <c r="D180" s="38">
        <f t="shared" si="20"/>
        <v>0.45827853500259891</v>
      </c>
      <c r="E180" s="32">
        <f t="shared" si="25"/>
        <v>175900.96714736358</v>
      </c>
      <c r="F180" s="47">
        <v>0</v>
      </c>
      <c r="G180" s="19">
        <v>4.3200000000000002E-2</v>
      </c>
      <c r="H180" s="38">
        <f t="shared" si="21"/>
        <v>0.21520356854457059</v>
      </c>
      <c r="I180" s="32">
        <f t="shared" si="26"/>
        <v>82601.546765307794</v>
      </c>
      <c r="J180" s="47">
        <v>0</v>
      </c>
      <c r="K180" s="17">
        <v>-1.6799999999999999E-2</v>
      </c>
      <c r="L180" s="38">
        <f t="shared" si="22"/>
        <v>0.23022555891360019</v>
      </c>
      <c r="M180" s="31">
        <f t="shared" si="27"/>
        <v>88367.434609860022</v>
      </c>
      <c r="N180" s="47">
        <v>0</v>
      </c>
      <c r="O180" s="20">
        <v>4.0000000000000002E-4</v>
      </c>
      <c r="P180" s="38">
        <f t="shared" si="23"/>
        <v>9.629233753923018E-2</v>
      </c>
      <c r="Q180" s="32">
        <f t="shared" si="29"/>
        <v>36959.870489973786</v>
      </c>
      <c r="R180" s="47">
        <v>0</v>
      </c>
      <c r="S180" s="37">
        <f t="shared" si="24"/>
        <v>383829.81901250524</v>
      </c>
      <c r="T180" s="40">
        <f t="shared" si="28"/>
        <v>2.3964742492842195E-2</v>
      </c>
    </row>
    <row r="181" spans="2:20" x14ac:dyDescent="0.35">
      <c r="B181" s="11" t="s">
        <v>175</v>
      </c>
      <c r="C181" s="20">
        <v>0</v>
      </c>
      <c r="D181" s="38">
        <f t="shared" si="20"/>
        <v>0.46312315135688437</v>
      </c>
      <c r="E181" s="32">
        <f t="shared" si="25"/>
        <v>175900.96714736358</v>
      </c>
      <c r="F181" s="47">
        <v>0</v>
      </c>
      <c r="G181" s="17">
        <v>-2.24E-2</v>
      </c>
      <c r="H181" s="38">
        <f t="shared" si="21"/>
        <v>0.21260703807231515</v>
      </c>
      <c r="I181" s="32">
        <f t="shared" si="26"/>
        <v>80751.272117764893</v>
      </c>
      <c r="J181" s="47">
        <v>0</v>
      </c>
      <c r="K181" s="17">
        <v>-6.9999999999999999E-4</v>
      </c>
      <c r="L181" s="38">
        <f t="shared" si="22"/>
        <v>0.23249648909675735</v>
      </c>
      <c r="M181" s="31">
        <f t="shared" si="27"/>
        <v>88305.577405633114</v>
      </c>
      <c r="N181" s="47">
        <v>0</v>
      </c>
      <c r="O181" s="15">
        <v>-5.6899999999999999E-2</v>
      </c>
      <c r="P181" s="38">
        <f t="shared" si="23"/>
        <v>9.177332147404324E-2</v>
      </c>
      <c r="Q181" s="32">
        <f t="shared" si="29"/>
        <v>34856.853859094277</v>
      </c>
      <c r="R181" s="47">
        <v>0</v>
      </c>
      <c r="S181" s="37">
        <f t="shared" si="24"/>
        <v>379814.67052985582</v>
      </c>
      <c r="T181" s="40">
        <f t="shared" si="28"/>
        <v>-1.0460751832620407E-2</v>
      </c>
    </row>
    <row r="182" spans="2:20" x14ac:dyDescent="0.35">
      <c r="B182" s="10" t="s">
        <v>176</v>
      </c>
      <c r="C182" s="20">
        <v>0.14710000000000001</v>
      </c>
      <c r="D182" s="38">
        <f t="shared" si="20"/>
        <v>0.4711250219378923</v>
      </c>
      <c r="E182" s="32">
        <f t="shared" si="25"/>
        <v>201775.99941474077</v>
      </c>
      <c r="F182" s="47">
        <v>0</v>
      </c>
      <c r="G182" s="19">
        <v>0.16139999999999999</v>
      </c>
      <c r="H182" s="38">
        <f t="shared" si="21"/>
        <v>0.21897667549470284</v>
      </c>
      <c r="I182" s="32">
        <f t="shared" si="26"/>
        <v>93784.527437572149</v>
      </c>
      <c r="J182" s="47">
        <v>0</v>
      </c>
      <c r="K182" s="19">
        <v>7.1499999999999994E-2</v>
      </c>
      <c r="L182" s="38">
        <f t="shared" si="22"/>
        <v>0.22092607331336517</v>
      </c>
      <c r="M182" s="31">
        <f t="shared" si="27"/>
        <v>94619.426190135884</v>
      </c>
      <c r="N182" s="47">
        <v>0</v>
      </c>
      <c r="O182" s="20">
        <v>9.3200000000000005E-2</v>
      </c>
      <c r="P182" s="38">
        <f t="shared" si="23"/>
        <v>8.8972229254039803E-2</v>
      </c>
      <c r="Q182" s="32">
        <f t="shared" si="29"/>
        <v>38105.512638761866</v>
      </c>
      <c r="R182" s="47">
        <v>0</v>
      </c>
      <c r="S182" s="37">
        <f t="shared" si="24"/>
        <v>428285.46568121063</v>
      </c>
      <c r="T182" s="40">
        <f t="shared" si="28"/>
        <v>0.12761696404126832</v>
      </c>
    </row>
    <row r="183" spans="2:20" x14ac:dyDescent="0.35">
      <c r="B183" s="11" t="s">
        <v>177</v>
      </c>
      <c r="C183" s="15">
        <v>-2.8899999999999999E-2</v>
      </c>
      <c r="D183" s="38">
        <f t="shared" si="20"/>
        <v>0.47589065725747359</v>
      </c>
      <c r="E183" s="32">
        <f t="shared" si="25"/>
        <v>195944.67303165476</v>
      </c>
      <c r="F183" s="47">
        <v>0</v>
      </c>
      <c r="G183" s="17">
        <v>-5.8099999999999999E-2</v>
      </c>
      <c r="H183" s="38">
        <f t="shared" si="21"/>
        <v>0.21454070769584579</v>
      </c>
      <c r="I183" s="32">
        <f t="shared" si="26"/>
        <v>88335.646393449206</v>
      </c>
      <c r="J183" s="47">
        <v>0</v>
      </c>
      <c r="K183" s="17">
        <v>-3.8699999999999998E-2</v>
      </c>
      <c r="L183" s="38">
        <f t="shared" si="22"/>
        <v>0.22090877625641114</v>
      </c>
      <c r="M183" s="31">
        <f t="shared" si="27"/>
        <v>90957.654396577622</v>
      </c>
      <c r="N183" s="47">
        <v>0</v>
      </c>
      <c r="O183" s="15">
        <v>-4.2000000000000003E-2</v>
      </c>
      <c r="P183" s="38">
        <f t="shared" si="23"/>
        <v>8.8659858790269455E-2</v>
      </c>
      <c r="Q183" s="32">
        <f t="shared" si="29"/>
        <v>36505.081107933867</v>
      </c>
      <c r="R183" s="47">
        <v>0</v>
      </c>
      <c r="S183" s="37">
        <f t="shared" si="24"/>
        <v>411743.05492961546</v>
      </c>
      <c r="T183" s="40">
        <f t="shared" si="28"/>
        <v>-3.8624730646144134E-2</v>
      </c>
    </row>
    <row r="184" spans="2:20" x14ac:dyDescent="0.35">
      <c r="B184" s="10" t="s">
        <v>178</v>
      </c>
      <c r="C184" s="15">
        <v>-0.1426</v>
      </c>
      <c r="D184" s="38">
        <f t="shared" si="20"/>
        <v>0.47832011931745394</v>
      </c>
      <c r="E184" s="32">
        <f t="shared" si="25"/>
        <v>168002.9626573408</v>
      </c>
      <c r="F184" s="47">
        <v>0</v>
      </c>
      <c r="G184" s="17">
        <v>-0.1799</v>
      </c>
      <c r="H184" s="38">
        <f t="shared" si="21"/>
        <v>0.20625501241394581</v>
      </c>
      <c r="I184" s="32">
        <f t="shared" si="26"/>
        <v>72444.063607267686</v>
      </c>
      <c r="J184" s="47">
        <v>0</v>
      </c>
      <c r="K184" s="17">
        <v>-0.15939999999999999</v>
      </c>
      <c r="L184" s="38">
        <f t="shared" si="22"/>
        <v>0.21768592335750672</v>
      </c>
      <c r="M184" s="31">
        <f t="shared" si="27"/>
        <v>76459.004285763149</v>
      </c>
      <c r="N184" s="47">
        <v>0</v>
      </c>
      <c r="O184" s="15">
        <v>-5.96E-2</v>
      </c>
      <c r="P184" s="38">
        <f t="shared" si="23"/>
        <v>9.7738944911093556E-2</v>
      </c>
      <c r="Q184" s="32">
        <f t="shared" si="29"/>
        <v>34329.378273901006</v>
      </c>
      <c r="R184" s="47">
        <v>0</v>
      </c>
      <c r="S184" s="37">
        <f t="shared" si="24"/>
        <v>351235.40882427263</v>
      </c>
      <c r="T184" s="40">
        <f t="shared" si="28"/>
        <v>-0.14695486755857046</v>
      </c>
    </row>
    <row r="185" spans="2:20" x14ac:dyDescent="0.35">
      <c r="B185" s="11" t="s">
        <v>179</v>
      </c>
      <c r="C185" s="20">
        <v>6.0400000000000002E-2</v>
      </c>
      <c r="D185" s="38">
        <f t="shared" si="20"/>
        <v>0.47574966117555101</v>
      </c>
      <c r="E185" s="32">
        <f t="shared" si="25"/>
        <v>178150.34160184418</v>
      </c>
      <c r="F185" s="47">
        <v>0</v>
      </c>
      <c r="G185" s="19">
        <v>5.9799999999999999E-2</v>
      </c>
      <c r="H185" s="38">
        <f t="shared" si="21"/>
        <v>0.20503053579402594</v>
      </c>
      <c r="I185" s="32">
        <f t="shared" si="26"/>
        <v>76776.218610982294</v>
      </c>
      <c r="J185" s="47">
        <v>0</v>
      </c>
      <c r="K185" s="19">
        <v>9.2899999999999996E-2</v>
      </c>
      <c r="L185" s="38">
        <f t="shared" si="22"/>
        <v>0.22315205579386774</v>
      </c>
      <c r="M185" s="31">
        <f t="shared" si="27"/>
        <v>83562.045783910551</v>
      </c>
      <c r="N185" s="47">
        <v>0</v>
      </c>
      <c r="O185" s="20">
        <v>4.7899999999999998E-2</v>
      </c>
      <c r="P185" s="38">
        <f t="shared" si="23"/>
        <v>9.606774723655527E-2</v>
      </c>
      <c r="Q185" s="32">
        <f t="shared" si="29"/>
        <v>35973.755493220866</v>
      </c>
      <c r="R185" s="47">
        <v>0</v>
      </c>
      <c r="S185" s="37">
        <f t="shared" si="24"/>
        <v>374462.3614899579</v>
      </c>
      <c r="T185" s="40">
        <f t="shared" si="28"/>
        <v>6.6129302690282055E-2</v>
      </c>
    </row>
    <row r="186" spans="2:20" x14ac:dyDescent="0.35">
      <c r="B186" s="10" t="s">
        <v>180</v>
      </c>
      <c r="C186" s="15">
        <v>-8.5000000000000006E-2</v>
      </c>
      <c r="D186" s="38">
        <f t="shared" si="20"/>
        <v>0.46714164020915</v>
      </c>
      <c r="E186" s="32">
        <f t="shared" si="25"/>
        <v>163007.56256568743</v>
      </c>
      <c r="F186" s="47">
        <v>0</v>
      </c>
      <c r="G186" s="17">
        <v>-0.11609999999999999</v>
      </c>
      <c r="H186" s="38">
        <f t="shared" si="21"/>
        <v>0.19447808977078451</v>
      </c>
      <c r="I186" s="32">
        <f t="shared" si="26"/>
        <v>67862.499630247243</v>
      </c>
      <c r="J186" s="47">
        <v>0</v>
      </c>
      <c r="K186" s="17">
        <v>-4.2000000000000003E-2</v>
      </c>
      <c r="L186" s="38">
        <f t="shared" si="22"/>
        <v>0.22941161422701495</v>
      </c>
      <c r="M186" s="31">
        <f t="shared" si="27"/>
        <v>80052.439860986313</v>
      </c>
      <c r="N186" s="47">
        <v>0</v>
      </c>
      <c r="O186" s="20">
        <v>5.7000000000000002E-2</v>
      </c>
      <c r="P186" s="38">
        <f t="shared" si="23"/>
        <v>0.10896865579305043</v>
      </c>
      <c r="Q186" s="32">
        <f t="shared" si="29"/>
        <v>38024.259556334458</v>
      </c>
      <c r="R186" s="47">
        <v>0</v>
      </c>
      <c r="S186" s="37">
        <f t="shared" si="24"/>
        <v>348946.76161325548</v>
      </c>
      <c r="T186" s="40">
        <f t="shared" si="28"/>
        <v>-6.8139291156466886E-2</v>
      </c>
    </row>
    <row r="187" spans="2:20" x14ac:dyDescent="0.35">
      <c r="B187" s="9" t="s">
        <v>181</v>
      </c>
      <c r="C187" s="20">
        <v>2.4299999999999999E-2</v>
      </c>
      <c r="D187" s="38">
        <f t="shared" si="20"/>
        <v>0.44657536887177263</v>
      </c>
      <c r="E187" s="32">
        <f t="shared" si="25"/>
        <v>160841.77540003366</v>
      </c>
      <c r="F187" s="48">
        <v>-5981.52</v>
      </c>
      <c r="G187" s="19">
        <v>5.7099999999999998E-2</v>
      </c>
      <c r="H187" s="38">
        <f t="shared" si="21"/>
        <v>0.20483356859601604</v>
      </c>
      <c r="I187" s="32">
        <f t="shared" si="26"/>
        <v>73774.321494134361</v>
      </c>
      <c r="J187" s="49">
        <v>1926.85</v>
      </c>
      <c r="K187" s="19">
        <v>4.7800000000000002E-2</v>
      </c>
      <c r="L187" s="38">
        <f t="shared" si="22"/>
        <v>0.25378940038861669</v>
      </c>
      <c r="M187" s="31">
        <f t="shared" si="27"/>
        <v>91406.603636341461</v>
      </c>
      <c r="N187" s="49">
        <v>7184.25</v>
      </c>
      <c r="O187" s="15">
        <v>-2.1499999999999998E-2</v>
      </c>
      <c r="P187" s="38">
        <f t="shared" si="23"/>
        <v>9.4801662143594617E-2</v>
      </c>
      <c r="Q187" s="32">
        <f t="shared" si="29"/>
        <v>34144.443945873267</v>
      </c>
      <c r="R187" s="48">
        <v>-3129.58</v>
      </c>
      <c r="S187" s="37">
        <f t="shared" si="24"/>
        <v>360167.14447638276</v>
      </c>
      <c r="T187" s="40">
        <f t="shared" si="28"/>
        <v>3.2154999264796258E-2</v>
      </c>
    </row>
    <row r="188" spans="2:20" x14ac:dyDescent="0.35">
      <c r="B188" s="10" t="s">
        <v>182</v>
      </c>
      <c r="C188" s="20">
        <v>4.0899999999999999E-2</v>
      </c>
      <c r="D188" s="38">
        <f t="shared" si="20"/>
        <v>0.45109145324151556</v>
      </c>
      <c r="E188" s="32">
        <f t="shared" si="25"/>
        <v>167420.20401389504</v>
      </c>
      <c r="F188" s="47">
        <v>0</v>
      </c>
      <c r="G188" s="19">
        <v>6.3200000000000006E-2</v>
      </c>
      <c r="H188" s="38">
        <f t="shared" si="21"/>
        <v>0.2113376742528881</v>
      </c>
      <c r="I188" s="32">
        <f t="shared" si="26"/>
        <v>78436.85861256365</v>
      </c>
      <c r="J188" s="47">
        <v>0</v>
      </c>
      <c r="K188" s="17">
        <v>-4.5999999999999999E-3</v>
      </c>
      <c r="L188" s="38">
        <f t="shared" si="22"/>
        <v>0.24515002426767579</v>
      </c>
      <c r="M188" s="31">
        <f t="shared" si="27"/>
        <v>90986.133259614289</v>
      </c>
      <c r="N188" s="47">
        <v>0</v>
      </c>
      <c r="O188" s="20">
        <v>4.5999999999999999E-3</v>
      </c>
      <c r="P188" s="38">
        <f t="shared" si="23"/>
        <v>9.2420848237920655E-2</v>
      </c>
      <c r="Q188" s="32">
        <f t="shared" si="29"/>
        <v>34301.508388024282</v>
      </c>
      <c r="R188" s="47">
        <v>0</v>
      </c>
      <c r="S188" s="37">
        <f t="shared" si="24"/>
        <v>371144.70427409722</v>
      </c>
      <c r="T188" s="40">
        <f t="shared" si="28"/>
        <v>3.0479070526196583E-2</v>
      </c>
    </row>
    <row r="189" spans="2:20" x14ac:dyDescent="0.35">
      <c r="B189" s="11" t="s">
        <v>183</v>
      </c>
      <c r="C189" s="20">
        <v>6.59E-2</v>
      </c>
      <c r="D189" s="38">
        <f t="shared" si="20"/>
        <v>0.45716197254141533</v>
      </c>
      <c r="E189" s="32">
        <f t="shared" si="25"/>
        <v>178453.19545841072</v>
      </c>
      <c r="F189" s="47">
        <v>0</v>
      </c>
      <c r="G189" s="19">
        <v>2.2499999999999999E-2</v>
      </c>
      <c r="H189" s="38">
        <f t="shared" si="21"/>
        <v>0.20546094319947489</v>
      </c>
      <c r="I189" s="32">
        <f t="shared" si="26"/>
        <v>80201.687931346329</v>
      </c>
      <c r="J189" s="47">
        <v>0</v>
      </c>
      <c r="K189" s="19">
        <v>5.8999999999999997E-2</v>
      </c>
      <c r="L189" s="38">
        <f t="shared" si="22"/>
        <v>0.24684079571040954</v>
      </c>
      <c r="M189" s="31">
        <f t="shared" si="27"/>
        <v>96354.315121931533</v>
      </c>
      <c r="N189" s="47">
        <v>0</v>
      </c>
      <c r="O189" s="20">
        <v>3.0300000000000001E-2</v>
      </c>
      <c r="P189" s="38">
        <f t="shared" si="23"/>
        <v>9.0536288548700272E-2</v>
      </c>
      <c r="Q189" s="32">
        <f t="shared" si="29"/>
        <v>35340.844092181418</v>
      </c>
      <c r="R189" s="47">
        <v>0</v>
      </c>
      <c r="S189" s="37">
        <f t="shared" si="24"/>
        <v>390350.04260386998</v>
      </c>
      <c r="T189" s="40">
        <f t="shared" si="28"/>
        <v>5.1746227572707859E-2</v>
      </c>
    </row>
    <row r="190" spans="2:20" x14ac:dyDescent="0.35">
      <c r="B190" s="10" t="s">
        <v>184</v>
      </c>
      <c r="C190" s="20">
        <v>5.0999999999999997E-2</v>
      </c>
      <c r="D190" s="38">
        <f t="shared" si="20"/>
        <v>0.46122960480578562</v>
      </c>
      <c r="E190" s="32">
        <f t="shared" si="25"/>
        <v>187554.30842678965</v>
      </c>
      <c r="F190" s="47">
        <v>0</v>
      </c>
      <c r="G190" s="19">
        <v>4.5600000000000002E-2</v>
      </c>
      <c r="H190" s="38">
        <f t="shared" si="21"/>
        <v>0.20622400341950597</v>
      </c>
      <c r="I190" s="32">
        <f t="shared" si="26"/>
        <v>83858.884901015728</v>
      </c>
      <c r="J190" s="47">
        <v>0</v>
      </c>
      <c r="K190" s="19">
        <v>3.5000000000000003E-2</v>
      </c>
      <c r="L190" s="38">
        <f t="shared" si="22"/>
        <v>0.24524583980405268</v>
      </c>
      <c r="M190" s="31">
        <f t="shared" si="27"/>
        <v>99726.716151199143</v>
      </c>
      <c r="N190" s="47">
        <v>0</v>
      </c>
      <c r="O190" s="20">
        <v>4.4999999999999997E-3</v>
      </c>
      <c r="P190" s="38">
        <f t="shared" si="23"/>
        <v>8.7300551970655754E-2</v>
      </c>
      <c r="Q190" s="32">
        <f t="shared" si="29"/>
        <v>35499.877890596232</v>
      </c>
      <c r="R190" s="47">
        <v>0</v>
      </c>
      <c r="S190" s="37">
        <f t="shared" si="24"/>
        <v>406639.78736960073</v>
      </c>
      <c r="T190" s="40">
        <f t="shared" si="28"/>
        <v>4.1731120757841689E-2</v>
      </c>
    </row>
    <row r="191" spans="2:20" x14ac:dyDescent="0.35">
      <c r="B191" s="11" t="s">
        <v>185</v>
      </c>
      <c r="C191" s="15">
        <v>-5.6899999999999999E-2</v>
      </c>
      <c r="D191" s="38">
        <f t="shared" si="20"/>
        <v>0.45987685778306797</v>
      </c>
      <c r="E191" s="32">
        <f t="shared" si="25"/>
        <v>176882.46827730531</v>
      </c>
      <c r="F191" s="47">
        <v>0</v>
      </c>
      <c r="G191" s="17">
        <v>-6.9800000000000001E-2</v>
      </c>
      <c r="H191" s="38">
        <f t="shared" si="21"/>
        <v>0.20280664643002289</v>
      </c>
      <c r="I191" s="32">
        <f t="shared" si="26"/>
        <v>78005.534734924833</v>
      </c>
      <c r="J191" s="47">
        <v>0</v>
      </c>
      <c r="K191" s="17">
        <v>-6.4500000000000002E-2</v>
      </c>
      <c r="L191" s="38">
        <f t="shared" si="22"/>
        <v>0.24255603004060419</v>
      </c>
      <c r="M191" s="31">
        <f t="shared" si="27"/>
        <v>93294.342959446803</v>
      </c>
      <c r="N191" s="47">
        <v>0</v>
      </c>
      <c r="O191" s="20">
        <v>2.6700000000000002E-2</v>
      </c>
      <c r="P191" s="38">
        <f t="shared" si="23"/>
        <v>9.4760465746304992E-2</v>
      </c>
      <c r="Q191" s="32">
        <f t="shared" si="29"/>
        <v>36447.724630275152</v>
      </c>
      <c r="R191" s="47">
        <v>0</v>
      </c>
      <c r="S191" s="37">
        <f t="shared" si="24"/>
        <v>384630.07060195209</v>
      </c>
      <c r="T191" s="40">
        <f t="shared" si="28"/>
        <v>-5.4125831881875586E-2</v>
      </c>
    </row>
    <row r="192" spans="2:20" x14ac:dyDescent="0.35">
      <c r="B192" s="10" t="s">
        <v>186</v>
      </c>
      <c r="C192" s="20">
        <v>2.53E-2</v>
      </c>
      <c r="D192" s="38">
        <f t="shared" si="20"/>
        <v>0.4612444845134186</v>
      </c>
      <c r="E192" s="32">
        <f t="shared" si="25"/>
        <v>181357.59472472113</v>
      </c>
      <c r="F192" s="47">
        <v>0</v>
      </c>
      <c r="G192" s="19">
        <v>2.2599999999999999E-2</v>
      </c>
      <c r="H192" s="38">
        <f t="shared" si="21"/>
        <v>0.20287411831813176</v>
      </c>
      <c r="I192" s="32">
        <f t="shared" si="26"/>
        <v>79768.459819934127</v>
      </c>
      <c r="J192" s="47">
        <v>0</v>
      </c>
      <c r="K192" s="19">
        <v>1.0999999999999999E-2</v>
      </c>
      <c r="L192" s="38">
        <f t="shared" si="22"/>
        <v>0.23988434399327499</v>
      </c>
      <c r="M192" s="31">
        <f t="shared" si="27"/>
        <v>94320.580732000715</v>
      </c>
      <c r="N192" s="47">
        <v>0</v>
      </c>
      <c r="O192" s="20">
        <v>3.56E-2</v>
      </c>
      <c r="P192" s="38">
        <f t="shared" si="23"/>
        <v>9.5997053175174499E-2</v>
      </c>
      <c r="Q192" s="32">
        <f t="shared" si="29"/>
        <v>37745.263627112945</v>
      </c>
      <c r="R192" s="47">
        <v>0</v>
      </c>
      <c r="S192" s="37">
        <f t="shared" si="24"/>
        <v>393191.89890376898</v>
      </c>
      <c r="T192" s="40">
        <f t="shared" si="28"/>
        <v>2.2259903622245281E-2</v>
      </c>
    </row>
    <row r="193" spans="2:20" x14ac:dyDescent="0.35">
      <c r="B193" s="11" t="s">
        <v>187</v>
      </c>
      <c r="C193" s="20">
        <v>5.7000000000000002E-3</v>
      </c>
      <c r="D193" s="38">
        <f t="shared" si="20"/>
        <v>0.46670475767473801</v>
      </c>
      <c r="E193" s="32">
        <f t="shared" si="25"/>
        <v>182391.33301465205</v>
      </c>
      <c r="F193" s="47">
        <v>0</v>
      </c>
      <c r="G193" s="17">
        <v>-5.9999999999999995E-4</v>
      </c>
      <c r="H193" s="38">
        <f t="shared" si="21"/>
        <v>0.20398986127007665</v>
      </c>
      <c r="I193" s="32">
        <f t="shared" si="26"/>
        <v>79720.59874404216</v>
      </c>
      <c r="J193" s="47">
        <v>0</v>
      </c>
      <c r="K193" s="17">
        <v>-3.3700000000000001E-2</v>
      </c>
      <c r="L193" s="38">
        <f t="shared" si="22"/>
        <v>0.23321499800464213</v>
      </c>
      <c r="M193" s="31">
        <f t="shared" si="27"/>
        <v>91141.977161332296</v>
      </c>
      <c r="N193" s="47">
        <v>0</v>
      </c>
      <c r="O193" s="15">
        <v>-5.1000000000000004E-3</v>
      </c>
      <c r="P193" s="38">
        <f t="shared" si="23"/>
        <v>9.6090383050543196E-2</v>
      </c>
      <c r="Q193" s="32">
        <f t="shared" si="29"/>
        <v>37552.762782614671</v>
      </c>
      <c r="R193" s="47">
        <v>0</v>
      </c>
      <c r="S193" s="37">
        <f t="shared" si="24"/>
        <v>390806.67170264118</v>
      </c>
      <c r="T193" s="40">
        <f t="shared" si="28"/>
        <v>-6.0663182730312792E-3</v>
      </c>
    </row>
    <row r="194" spans="2:20" x14ac:dyDescent="0.35">
      <c r="B194" s="10" t="s">
        <v>188</v>
      </c>
      <c r="C194" s="20">
        <v>7.9699999999999993E-2</v>
      </c>
      <c r="D194" s="38">
        <f t="shared" si="20"/>
        <v>0.46760758498742938</v>
      </c>
      <c r="E194" s="32">
        <f t="shared" si="25"/>
        <v>196927.92225591981</v>
      </c>
      <c r="F194" s="47">
        <v>0</v>
      </c>
      <c r="G194" s="19">
        <v>4.53E-2</v>
      </c>
      <c r="H194" s="38">
        <f t="shared" si="21"/>
        <v>0.19787264112892058</v>
      </c>
      <c r="I194" s="32">
        <f t="shared" si="26"/>
        <v>83331.941867147267</v>
      </c>
      <c r="J194" s="47">
        <v>0</v>
      </c>
      <c r="K194" s="19">
        <v>5.8000000000000003E-2</v>
      </c>
      <c r="L194" s="38">
        <f t="shared" si="22"/>
        <v>0.22896988271177074</v>
      </c>
      <c r="M194" s="31">
        <f t="shared" si="27"/>
        <v>96428.211836689574</v>
      </c>
      <c r="N194" s="47">
        <v>0</v>
      </c>
      <c r="O194" s="20">
        <v>0.1837</v>
      </c>
      <c r="P194" s="38">
        <f t="shared" si="23"/>
        <v>0.10554989117187935</v>
      </c>
      <c r="Q194" s="32">
        <f t="shared" si="29"/>
        <v>44451.205305780983</v>
      </c>
      <c r="R194" s="47">
        <v>0</v>
      </c>
      <c r="S194" s="37">
        <f t="shared" si="24"/>
        <v>421139.2812655376</v>
      </c>
      <c r="T194" s="40">
        <f t="shared" si="28"/>
        <v>7.7615383152864981E-2</v>
      </c>
    </row>
    <row r="195" spans="2:20" x14ac:dyDescent="0.35">
      <c r="B195" s="11" t="s">
        <v>189</v>
      </c>
      <c r="C195" s="20">
        <v>1.4999999999999999E-2</v>
      </c>
      <c r="D195" s="38">
        <f t="shared" si="20"/>
        <v>0.47003669548417959</v>
      </c>
      <c r="E195" s="32">
        <f t="shared" si="25"/>
        <v>199881.84108975861</v>
      </c>
      <c r="F195" s="47">
        <v>0</v>
      </c>
      <c r="G195" s="19">
        <v>1.47E-2</v>
      </c>
      <c r="H195" s="38">
        <f t="shared" si="21"/>
        <v>0.19884175423040829</v>
      </c>
      <c r="I195" s="32">
        <f t="shared" si="26"/>
        <v>84556.921412594325</v>
      </c>
      <c r="J195" s="47">
        <v>0</v>
      </c>
      <c r="K195" s="19">
        <v>1.4800000000000001E-2</v>
      </c>
      <c r="L195" s="38">
        <f t="shared" si="22"/>
        <v>0.23011397535382</v>
      </c>
      <c r="M195" s="31">
        <f t="shared" si="27"/>
        <v>97855.34937187258</v>
      </c>
      <c r="N195" s="47">
        <v>0</v>
      </c>
      <c r="O195" s="15">
        <v>-3.3700000000000001E-2</v>
      </c>
      <c r="P195" s="38">
        <f t="shared" si="23"/>
        <v>0.10100757493159208</v>
      </c>
      <c r="Q195" s="32">
        <f t="shared" si="29"/>
        <v>42953.199686976164</v>
      </c>
      <c r="R195" s="47">
        <v>0</v>
      </c>
      <c r="S195" s="37">
        <f t="shared" si="24"/>
        <v>425247.3115612017</v>
      </c>
      <c r="T195" s="40">
        <f t="shared" si="28"/>
        <v>9.7545645310486151E-3</v>
      </c>
    </row>
    <row r="196" spans="2:20" x14ac:dyDescent="0.35">
      <c r="B196" s="10" t="s">
        <v>190</v>
      </c>
      <c r="C196" s="15">
        <v>-2.1499999999999998E-2</v>
      </c>
      <c r="D196" s="38">
        <f t="shared" si="20"/>
        <v>0.46684650992583865</v>
      </c>
      <c r="E196" s="32">
        <f t="shared" si="25"/>
        <v>195584.38150632879</v>
      </c>
      <c r="F196" s="47">
        <v>0</v>
      </c>
      <c r="G196" s="17">
        <v>-1.4999999999999999E-2</v>
      </c>
      <c r="H196" s="38">
        <f t="shared" si="21"/>
        <v>0.19880410080449978</v>
      </c>
      <c r="I196" s="32">
        <f t="shared" si="26"/>
        <v>83288.567591405415</v>
      </c>
      <c r="J196" s="47">
        <v>0</v>
      </c>
      <c r="K196" s="17">
        <v>-1E-3</v>
      </c>
      <c r="L196" s="38">
        <f t="shared" si="22"/>
        <v>0.23334043624553796</v>
      </c>
      <c r="M196" s="31">
        <f t="shared" si="27"/>
        <v>97757.494022500701</v>
      </c>
      <c r="N196" s="47">
        <v>0</v>
      </c>
      <c r="O196" s="15">
        <v>-1.4800000000000001E-2</v>
      </c>
      <c r="P196" s="38">
        <f t="shared" si="23"/>
        <v>0.10100895302412376</v>
      </c>
      <c r="Q196" s="32">
        <f t="shared" si="29"/>
        <v>42317.492331608919</v>
      </c>
      <c r="R196" s="47">
        <v>0</v>
      </c>
      <c r="S196" s="37">
        <f t="shared" si="24"/>
        <v>418947.93545184378</v>
      </c>
      <c r="T196" s="40">
        <f t="shared" si="28"/>
        <v>-1.4813441350707501E-2</v>
      </c>
    </row>
    <row r="197" spans="2:20" x14ac:dyDescent="0.35">
      <c r="B197" s="11" t="s">
        <v>191</v>
      </c>
      <c r="C197" s="20">
        <v>8.6199999999999999E-2</v>
      </c>
      <c r="D197" s="38">
        <f t="shared" si="20"/>
        <v>0.47305943469587813</v>
      </c>
      <c r="E197" s="32">
        <f t="shared" si="25"/>
        <v>212443.75519217434</v>
      </c>
      <c r="F197" s="47">
        <v>0</v>
      </c>
      <c r="G197" s="19">
        <v>9.3100000000000002E-2</v>
      </c>
      <c r="H197" s="38">
        <f t="shared" si="21"/>
        <v>0.20272953600336449</v>
      </c>
      <c r="I197" s="32">
        <f t="shared" si="26"/>
        <v>91042.733234165265</v>
      </c>
      <c r="J197" s="47">
        <v>0</v>
      </c>
      <c r="K197" s="19">
        <v>4.9399999999999999E-2</v>
      </c>
      <c r="L197" s="38">
        <f t="shared" si="22"/>
        <v>0.22843511213466006</v>
      </c>
      <c r="M197" s="31">
        <f t="shared" si="27"/>
        <v>102586.71422721223</v>
      </c>
      <c r="N197" s="47">
        <v>0</v>
      </c>
      <c r="O197" s="20">
        <v>1.6400000000000001E-2</v>
      </c>
      <c r="P197" s="38">
        <f t="shared" si="23"/>
        <v>9.5775917166097277E-2</v>
      </c>
      <c r="Q197" s="32">
        <f t="shared" si="29"/>
        <v>43011.499205847307</v>
      </c>
      <c r="R197" s="47">
        <v>0</v>
      </c>
      <c r="S197" s="37">
        <f t="shared" si="24"/>
        <v>449084.70185939915</v>
      </c>
      <c r="T197" s="40">
        <f t="shared" si="28"/>
        <v>7.1934395320631506E-2</v>
      </c>
    </row>
    <row r="198" spans="2:20" x14ac:dyDescent="0.35">
      <c r="B198" s="10" t="s">
        <v>192</v>
      </c>
      <c r="C198" s="15">
        <v>-1.34E-2</v>
      </c>
      <c r="D198" s="38">
        <f t="shared" si="20"/>
        <v>0.47037890314495667</v>
      </c>
      <c r="E198" s="32">
        <f t="shared" si="25"/>
        <v>209597.0088725992</v>
      </c>
      <c r="F198" s="47">
        <v>0</v>
      </c>
      <c r="G198" s="17">
        <v>-1.77E-2</v>
      </c>
      <c r="H198" s="38">
        <f t="shared" si="21"/>
        <v>0.20070222442873925</v>
      </c>
      <c r="I198" s="32">
        <f t="shared" si="26"/>
        <v>89431.276855920543</v>
      </c>
      <c r="J198" s="47">
        <v>0</v>
      </c>
      <c r="K198" s="19">
        <v>1.18E-2</v>
      </c>
      <c r="L198" s="38">
        <f t="shared" si="22"/>
        <v>0.23294240202292421</v>
      </c>
      <c r="M198" s="31">
        <f t="shared" si="27"/>
        <v>103797.23745509333</v>
      </c>
      <c r="N198" s="47">
        <v>0</v>
      </c>
      <c r="O198" s="15">
        <v>-5.7000000000000002E-3</v>
      </c>
      <c r="P198" s="38">
        <f t="shared" si="23"/>
        <v>9.597647040337981E-2</v>
      </c>
      <c r="Q198" s="32">
        <f t="shared" si="29"/>
        <v>42766.333660373981</v>
      </c>
      <c r="R198" s="47">
        <v>0</v>
      </c>
      <c r="S198" s="37">
        <f t="shared" si="24"/>
        <v>445591.85684398707</v>
      </c>
      <c r="T198" s="40">
        <f t="shared" si="28"/>
        <v>-7.7776976168421053E-3</v>
      </c>
    </row>
    <row r="199" spans="2:20" x14ac:dyDescent="0.35">
      <c r="B199" s="9" t="s">
        <v>193</v>
      </c>
      <c r="C199" s="20">
        <v>5.3900000000000003E-2</v>
      </c>
      <c r="D199" s="38">
        <f t="shared" si="20"/>
        <v>0.45728073570285682</v>
      </c>
      <c r="E199" s="32">
        <f t="shared" si="25"/>
        <v>211324.16953783229</v>
      </c>
      <c r="F199" s="48">
        <v>-9080.67</v>
      </c>
      <c r="G199" s="19">
        <v>2.29E-2</v>
      </c>
      <c r="H199" s="38">
        <f t="shared" si="21"/>
        <v>0.19725777616793358</v>
      </c>
      <c r="I199" s="32">
        <f t="shared" si="26"/>
        <v>91159.177456921127</v>
      </c>
      <c r="J199" s="48">
        <v>-312.91000000000003</v>
      </c>
      <c r="K199" s="17">
        <v>-9.2999999999999992E-3</v>
      </c>
      <c r="L199" s="38">
        <f t="shared" si="22"/>
        <v>0.2388103607839146</v>
      </c>
      <c r="M199" s="31">
        <f t="shared" si="27"/>
        <v>110361.96635776096</v>
      </c>
      <c r="N199" s="49">
        <v>7600.73</v>
      </c>
      <c r="O199" s="20">
        <v>0.1061</v>
      </c>
      <c r="P199" s="38">
        <f t="shared" si="23"/>
        <v>0.10665112734529499</v>
      </c>
      <c r="Q199" s="32">
        <f t="shared" si="29"/>
        <v>49286.924107739658</v>
      </c>
      <c r="R199" s="49">
        <v>1792.86</v>
      </c>
      <c r="S199" s="37">
        <f t="shared" si="24"/>
        <v>462132.23746025405</v>
      </c>
      <c r="T199" s="40">
        <f t="shared" si="28"/>
        <v>3.7120024439895039E-2</v>
      </c>
    </row>
    <row r="200" spans="2:20" x14ac:dyDescent="0.35">
      <c r="B200" s="10" t="s">
        <v>194</v>
      </c>
      <c r="C200" s="15">
        <v>-3.15E-2</v>
      </c>
      <c r="D200" s="38">
        <f t="shared" si="20"/>
        <v>0.44803432085173445</v>
      </c>
      <c r="E200" s="32">
        <f t="shared" si="25"/>
        <v>204667.45819739057</v>
      </c>
      <c r="F200" s="47">
        <v>0</v>
      </c>
      <c r="G200" s="17">
        <v>-3.61E-2</v>
      </c>
      <c r="H200" s="38">
        <f t="shared" si="21"/>
        <v>0.19235118478640917</v>
      </c>
      <c r="I200" s="32">
        <f t="shared" si="26"/>
        <v>87868.33115072627</v>
      </c>
      <c r="J200" s="47">
        <v>0</v>
      </c>
      <c r="K200" s="19">
        <v>1.7500000000000002E-2</v>
      </c>
      <c r="L200" s="38">
        <f t="shared" si="22"/>
        <v>0.24581950247178899</v>
      </c>
      <c r="M200" s="31">
        <f t="shared" si="27"/>
        <v>112293.30076902178</v>
      </c>
      <c r="N200" s="47">
        <v>0</v>
      </c>
      <c r="O200" s="20">
        <v>5.4699999999999999E-2</v>
      </c>
      <c r="P200" s="38">
        <f t="shared" si="23"/>
        <v>0.11379499189006749</v>
      </c>
      <c r="Q200" s="32">
        <f t="shared" si="29"/>
        <v>51982.918856433018</v>
      </c>
      <c r="R200" s="47">
        <v>0</v>
      </c>
      <c r="S200" s="37">
        <f t="shared" si="24"/>
        <v>456812.00897357159</v>
      </c>
      <c r="T200" s="40">
        <f t="shared" si="28"/>
        <v>-1.151235091479641E-2</v>
      </c>
    </row>
    <row r="201" spans="2:20" x14ac:dyDescent="0.35">
      <c r="B201" s="11" t="s">
        <v>195</v>
      </c>
      <c r="C201" s="20">
        <v>1.2800000000000001E-2</v>
      </c>
      <c r="D201" s="38">
        <f t="shared" si="20"/>
        <v>0.45445328685753006</v>
      </c>
      <c r="E201" s="32">
        <f t="shared" si="25"/>
        <v>207287.20166231718</v>
      </c>
      <c r="F201" s="47">
        <v>0</v>
      </c>
      <c r="G201" s="17">
        <v>-9.4500000000000001E-2</v>
      </c>
      <c r="H201" s="38">
        <f t="shared" si="21"/>
        <v>0.17443659187548913</v>
      </c>
      <c r="I201" s="32">
        <f t="shared" si="26"/>
        <v>79564.773856982632</v>
      </c>
      <c r="J201" s="47">
        <v>0</v>
      </c>
      <c r="K201" s="17">
        <v>-2.4899999999999999E-2</v>
      </c>
      <c r="L201" s="38">
        <f t="shared" si="22"/>
        <v>0.24005997930796449</v>
      </c>
      <c r="M201" s="31">
        <f t="shared" si="27"/>
        <v>109497.19757987313</v>
      </c>
      <c r="N201" s="47">
        <v>0</v>
      </c>
      <c r="O201" s="20">
        <v>0.14990000000000001</v>
      </c>
      <c r="P201" s="38">
        <f t="shared" si="23"/>
        <v>0.1310501419590164</v>
      </c>
      <c r="Q201" s="32">
        <f t="shared" si="29"/>
        <v>59775.158393012331</v>
      </c>
      <c r="R201" s="47">
        <v>0</v>
      </c>
      <c r="S201" s="37">
        <f t="shared" si="24"/>
        <v>456124.33149218524</v>
      </c>
      <c r="T201" s="40">
        <f t="shared" si="28"/>
        <v>-1.5053839826398852E-3</v>
      </c>
    </row>
    <row r="202" spans="2:20" x14ac:dyDescent="0.35">
      <c r="B202" s="10" t="s">
        <v>196</v>
      </c>
      <c r="C202" s="20">
        <v>0.1575</v>
      </c>
      <c r="D202" s="38">
        <f t="shared" si="20"/>
        <v>0.4619343991472869</v>
      </c>
      <c r="E202" s="32">
        <f t="shared" si="25"/>
        <v>239934.93592413212</v>
      </c>
      <c r="F202" s="47">
        <v>0</v>
      </c>
      <c r="G202" s="19">
        <v>0.1694</v>
      </c>
      <c r="H202" s="38">
        <f t="shared" si="21"/>
        <v>0.17913099497831331</v>
      </c>
      <c r="I202" s="32">
        <f t="shared" si="26"/>
        <v>93043.046548355487</v>
      </c>
      <c r="J202" s="47">
        <v>0</v>
      </c>
      <c r="K202" s="19">
        <v>0.1027</v>
      </c>
      <c r="L202" s="38">
        <f t="shared" si="22"/>
        <v>0.23245944399322113</v>
      </c>
      <c r="M202" s="31">
        <f t="shared" si="27"/>
        <v>120742.55977132609</v>
      </c>
      <c r="N202" s="47">
        <v>0</v>
      </c>
      <c r="O202" s="20">
        <v>9.9000000000000005E-2</v>
      </c>
      <c r="P202" s="38">
        <f t="shared" si="23"/>
        <v>0.12647516188117869</v>
      </c>
      <c r="Q202" s="32">
        <f t="shared" si="29"/>
        <v>65692.899073920547</v>
      </c>
      <c r="R202" s="47">
        <v>0</v>
      </c>
      <c r="S202" s="37">
        <f t="shared" si="24"/>
        <v>519413.44131773425</v>
      </c>
      <c r="T202" s="40">
        <f t="shared" si="28"/>
        <v>0.1387540752726395</v>
      </c>
    </row>
    <row r="203" spans="2:20" x14ac:dyDescent="0.35">
      <c r="B203" s="11" t="s">
        <v>197</v>
      </c>
      <c r="C203" s="20">
        <v>5.8900000000000001E-2</v>
      </c>
      <c r="D203" s="38">
        <f t="shared" si="20"/>
        <v>0.46296041723547293</v>
      </c>
      <c r="E203" s="32">
        <f t="shared" si="25"/>
        <v>254067.10365006351</v>
      </c>
      <c r="F203" s="47">
        <v>0</v>
      </c>
      <c r="G203" s="19">
        <v>7.9799999999999996E-2</v>
      </c>
      <c r="H203" s="38">
        <f t="shared" si="21"/>
        <v>0.18307231335816929</v>
      </c>
      <c r="I203" s="32">
        <f t="shared" si="26"/>
        <v>100467.88166291425</v>
      </c>
      <c r="J203" s="47">
        <v>0</v>
      </c>
      <c r="K203" s="19">
        <v>4.3200000000000002E-2</v>
      </c>
      <c r="L203" s="38">
        <f t="shared" si="22"/>
        <v>0.22952150407808009</v>
      </c>
      <c r="M203" s="31">
        <f t="shared" si="27"/>
        <v>125958.63835344739</v>
      </c>
      <c r="N203" s="47">
        <v>0</v>
      </c>
      <c r="O203" s="20">
        <v>3.9600000000000003E-2</v>
      </c>
      <c r="P203" s="38">
        <f t="shared" si="23"/>
        <v>0.12444576532827768</v>
      </c>
      <c r="Q203" s="32">
        <f t="shared" si="29"/>
        <v>68294.337877247803</v>
      </c>
      <c r="R203" s="47">
        <v>0</v>
      </c>
      <c r="S203" s="37">
        <f t="shared" si="24"/>
        <v>548787.96154367295</v>
      </c>
      <c r="T203" s="40">
        <f t="shared" si="28"/>
        <v>5.6553253900046396E-2</v>
      </c>
    </row>
    <row r="204" spans="2:20" x14ac:dyDescent="0.35">
      <c r="B204" s="10" t="s">
        <v>198</v>
      </c>
      <c r="C204" s="20">
        <v>1.8200000000000001E-2</v>
      </c>
      <c r="D204" s="38">
        <f t="shared" si="20"/>
        <v>0.45699613372471792</v>
      </c>
      <c r="E204" s="32">
        <f t="shared" si="25"/>
        <v>258691.12493649466</v>
      </c>
      <c r="F204" s="47">
        <v>0</v>
      </c>
      <c r="G204" s="19">
        <v>3.0599999999999999E-2</v>
      </c>
      <c r="H204" s="38">
        <f t="shared" si="21"/>
        <v>0.18291460350514288</v>
      </c>
      <c r="I204" s="32">
        <f t="shared" si="26"/>
        <v>103542.19884179943</v>
      </c>
      <c r="J204" s="47">
        <v>0</v>
      </c>
      <c r="K204" s="19">
        <v>5.9700000000000003E-2</v>
      </c>
      <c r="L204" s="38">
        <f t="shared" si="22"/>
        <v>0.2357989614553426</v>
      </c>
      <c r="M204" s="31">
        <f t="shared" si="27"/>
        <v>133478.36906314819</v>
      </c>
      <c r="N204" s="47">
        <v>0</v>
      </c>
      <c r="O204" s="20">
        <v>3.0200000000000001E-2</v>
      </c>
      <c r="P204" s="38">
        <f t="shared" si="23"/>
        <v>0.12429030131479654</v>
      </c>
      <c r="Q204" s="32">
        <f t="shared" si="29"/>
        <v>70356.826881140689</v>
      </c>
      <c r="R204" s="47">
        <v>0</v>
      </c>
      <c r="S204" s="37">
        <f t="shared" si="24"/>
        <v>566068.51972258301</v>
      </c>
      <c r="T204" s="40">
        <f t="shared" si="28"/>
        <v>3.1488588288820951E-2</v>
      </c>
    </row>
    <row r="205" spans="2:20" x14ac:dyDescent="0.35">
      <c r="B205" s="11" t="s">
        <v>199</v>
      </c>
      <c r="C205" s="20">
        <v>6.1999999999999998E-3</v>
      </c>
      <c r="D205" s="38">
        <f t="shared" si="20"/>
        <v>0.45341912437329929</v>
      </c>
      <c r="E205" s="32">
        <f t="shared" si="25"/>
        <v>260295.00991110093</v>
      </c>
      <c r="F205" s="47">
        <v>0</v>
      </c>
      <c r="G205" s="17">
        <v>-1.8499999999999999E-2</v>
      </c>
      <c r="H205" s="38">
        <f t="shared" si="21"/>
        <v>0.17702788427363039</v>
      </c>
      <c r="I205" s="32">
        <f t="shared" si="26"/>
        <v>101626.66816322615</v>
      </c>
      <c r="J205" s="47">
        <v>0</v>
      </c>
      <c r="K205" s="19">
        <v>3.2300000000000002E-2</v>
      </c>
      <c r="L205" s="38">
        <f t="shared" si="22"/>
        <v>0.24002186743972506</v>
      </c>
      <c r="M205" s="31">
        <f t="shared" si="27"/>
        <v>137789.72038388788</v>
      </c>
      <c r="N205" s="47">
        <v>0</v>
      </c>
      <c r="O205" s="20">
        <v>5.6899999999999999E-2</v>
      </c>
      <c r="P205" s="38">
        <f t="shared" si="23"/>
        <v>0.12953112391334526</v>
      </c>
      <c r="Q205" s="32">
        <f t="shared" si="29"/>
        <v>74360.130330677595</v>
      </c>
      <c r="R205" s="47">
        <v>0</v>
      </c>
      <c r="S205" s="37">
        <f t="shared" si="24"/>
        <v>574071.52878889255</v>
      </c>
      <c r="T205" s="40">
        <f t="shared" si="28"/>
        <v>1.4137880464067498E-2</v>
      </c>
    </row>
    <row r="206" spans="2:20" x14ac:dyDescent="0.35">
      <c r="B206" s="10" t="s">
        <v>200</v>
      </c>
      <c r="C206" s="20">
        <v>0.11890000000000001</v>
      </c>
      <c r="D206" s="38">
        <f t="shared" si="20"/>
        <v>0.46300536823658967</v>
      </c>
      <c r="E206" s="32">
        <f t="shared" si="25"/>
        <v>291244.08658953081</v>
      </c>
      <c r="F206" s="47">
        <v>0</v>
      </c>
      <c r="G206" s="19">
        <v>0.10290000000000001</v>
      </c>
      <c r="H206" s="38">
        <f t="shared" si="21"/>
        <v>0.17818565356736094</v>
      </c>
      <c r="I206" s="32">
        <f t="shared" si="26"/>
        <v>112084.05231722211</v>
      </c>
      <c r="J206" s="47">
        <v>0</v>
      </c>
      <c r="K206" s="19">
        <v>7.5899999999999995E-2</v>
      </c>
      <c r="L206" s="38">
        <f t="shared" si="22"/>
        <v>0.23567723619198108</v>
      </c>
      <c r="M206" s="31">
        <f t="shared" si="27"/>
        <v>148247.96016102497</v>
      </c>
      <c r="N206" s="47">
        <v>0</v>
      </c>
      <c r="O206" s="20">
        <v>4.1599999999999998E-2</v>
      </c>
      <c r="P206" s="38">
        <f t="shared" si="23"/>
        <v>0.12313174200406828</v>
      </c>
      <c r="Q206" s="32">
        <f t="shared" si="29"/>
        <v>77453.511752433784</v>
      </c>
      <c r="R206" s="47">
        <v>0</v>
      </c>
      <c r="S206" s="37">
        <f t="shared" si="24"/>
        <v>629029.6108202117</v>
      </c>
      <c r="T206" s="40">
        <f t="shared" si="28"/>
        <v>9.5733857673212075E-2</v>
      </c>
    </row>
    <row r="207" spans="2:20" x14ac:dyDescent="0.35">
      <c r="B207" s="11" t="s">
        <v>201</v>
      </c>
      <c r="C207" s="20">
        <v>4.1999999999999997E-3</v>
      </c>
      <c r="D207" s="38">
        <f t="shared" si="20"/>
        <v>0.45960355959378407</v>
      </c>
      <c r="E207" s="32">
        <f t="shared" si="25"/>
        <v>292467.31175320683</v>
      </c>
      <c r="F207" s="47">
        <v>0</v>
      </c>
      <c r="G207" s="19">
        <v>7.3000000000000001E-3</v>
      </c>
      <c r="H207" s="38">
        <f t="shared" si="21"/>
        <v>0.17742250572342361</v>
      </c>
      <c r="I207" s="32">
        <f t="shared" si="26"/>
        <v>112902.26589913784</v>
      </c>
      <c r="J207" s="47">
        <v>0</v>
      </c>
      <c r="K207" s="19">
        <v>3.4700000000000002E-2</v>
      </c>
      <c r="L207" s="38">
        <f t="shared" si="22"/>
        <v>0.24105116000688293</v>
      </c>
      <c r="M207" s="31">
        <f t="shared" si="27"/>
        <v>153392.16437861254</v>
      </c>
      <c r="N207" s="47">
        <v>0</v>
      </c>
      <c r="O207" s="20">
        <v>1.6999999999999999E-3</v>
      </c>
      <c r="P207" s="38">
        <f t="shared" si="23"/>
        <v>0.12192277467590923</v>
      </c>
      <c r="Q207" s="32">
        <f t="shared" si="29"/>
        <v>77585.182722412923</v>
      </c>
      <c r="R207" s="47">
        <v>0</v>
      </c>
      <c r="S207" s="37">
        <f t="shared" si="24"/>
        <v>636346.92475337023</v>
      </c>
      <c r="T207" s="40">
        <f t="shared" si="28"/>
        <v>1.1632701874904283E-2</v>
      </c>
    </row>
    <row r="208" spans="2:20" x14ac:dyDescent="0.35">
      <c r="B208" s="10" t="s">
        <v>202</v>
      </c>
      <c r="C208" s="15">
        <v>-2.3E-3</v>
      </c>
      <c r="D208" s="38">
        <f t="shared" si="20"/>
        <v>0.44953753549101411</v>
      </c>
      <c r="E208" s="32">
        <f t="shared" si="25"/>
        <v>291794.63693617447</v>
      </c>
      <c r="F208" s="47">
        <v>0</v>
      </c>
      <c r="G208" s="19">
        <v>4.87E-2</v>
      </c>
      <c r="H208" s="38">
        <f t="shared" si="21"/>
        <v>0.18240745372301542</v>
      </c>
      <c r="I208" s="32">
        <f t="shared" si="26"/>
        <v>118400.60624842586</v>
      </c>
      <c r="J208" s="47">
        <v>0</v>
      </c>
      <c r="K208" s="19">
        <v>4.0500000000000001E-2</v>
      </c>
      <c r="L208" s="38">
        <f t="shared" si="22"/>
        <v>0.2458860638463097</v>
      </c>
      <c r="M208" s="31">
        <f t="shared" si="27"/>
        <v>159604.54703594634</v>
      </c>
      <c r="N208" s="47">
        <v>0</v>
      </c>
      <c r="O208" s="20">
        <v>2.2100000000000002E-2</v>
      </c>
      <c r="P208" s="38">
        <f t="shared" si="23"/>
        <v>0.12216894693966071</v>
      </c>
      <c r="Q208" s="32">
        <f t="shared" si="29"/>
        <v>79299.815260578252</v>
      </c>
      <c r="R208" s="47">
        <v>0</v>
      </c>
      <c r="S208" s="37">
        <f t="shared" si="24"/>
        <v>649099.60548112495</v>
      </c>
      <c r="T208" s="40">
        <f t="shared" si="28"/>
        <v>2.0040453142281311E-2</v>
      </c>
    </row>
    <row r="209" spans="2:20" x14ac:dyDescent="0.35">
      <c r="B209" s="11" t="s">
        <v>203</v>
      </c>
      <c r="C209" s="20">
        <v>2.4199999999999999E-2</v>
      </c>
      <c r="D209" s="38">
        <f t="shared" si="20"/>
        <v>0.45380225352381154</v>
      </c>
      <c r="E209" s="32">
        <f t="shared" si="25"/>
        <v>298856.06715002988</v>
      </c>
      <c r="F209" s="47">
        <v>0</v>
      </c>
      <c r="G209" s="19">
        <v>9.3399999999999997E-2</v>
      </c>
      <c r="H209" s="38">
        <f t="shared" si="21"/>
        <v>0.19657920161706233</v>
      </c>
      <c r="I209" s="32">
        <f t="shared" si="26"/>
        <v>129459.22287202883</v>
      </c>
      <c r="J209" s="47">
        <v>0</v>
      </c>
      <c r="K209" s="19">
        <v>7.9000000000000008E-3</v>
      </c>
      <c r="L209" s="38">
        <f t="shared" si="22"/>
        <v>0.24426839363960706</v>
      </c>
      <c r="M209" s="31">
        <f t="shared" si="27"/>
        <v>160865.4229575303</v>
      </c>
      <c r="N209" s="47">
        <v>0</v>
      </c>
      <c r="O209" s="15">
        <v>-0.12509999999999999</v>
      </c>
      <c r="P209" s="38">
        <f t="shared" si="23"/>
        <v>0.10535015121951903</v>
      </c>
      <c r="Q209" s="32">
        <f t="shared" si="29"/>
        <v>69379.40837147992</v>
      </c>
      <c r="R209" s="47">
        <v>0</v>
      </c>
      <c r="S209" s="37">
        <f t="shared" si="24"/>
        <v>658560.12135106896</v>
      </c>
      <c r="T209" s="40">
        <f t="shared" si="28"/>
        <v>1.4574829178846338E-2</v>
      </c>
    </row>
    <row r="210" spans="2:20" x14ac:dyDescent="0.35">
      <c r="B210" s="10" t="s">
        <v>204</v>
      </c>
      <c r="C210" s="20">
        <v>8.6999999999999994E-3</v>
      </c>
      <c r="D210" s="38">
        <f t="shared" si="20"/>
        <v>0.44607881314073339</v>
      </c>
      <c r="E210" s="32">
        <f t="shared" si="25"/>
        <v>301456.11493423511</v>
      </c>
      <c r="F210" s="47">
        <v>0</v>
      </c>
      <c r="G210" s="19">
        <v>5.3400000000000003E-2</v>
      </c>
      <c r="H210" s="38">
        <f t="shared" si="21"/>
        <v>0.20179658316983695</v>
      </c>
      <c r="I210" s="32">
        <f t="shared" si="26"/>
        <v>136372.34537339516</v>
      </c>
      <c r="J210" s="47">
        <v>0</v>
      </c>
      <c r="K210" s="19">
        <v>3.1199999999999999E-2</v>
      </c>
      <c r="L210" s="38">
        <f t="shared" si="22"/>
        <v>0.24546699628636348</v>
      </c>
      <c r="M210" s="31">
        <f t="shared" si="27"/>
        <v>165884.42415380524</v>
      </c>
      <c r="N210" s="47">
        <v>0</v>
      </c>
      <c r="O210" s="20">
        <v>3.8899999999999997E-2</v>
      </c>
      <c r="P210" s="38">
        <f t="shared" si="23"/>
        <v>0.10665760740306615</v>
      </c>
      <c r="Q210" s="32">
        <f t="shared" si="29"/>
        <v>72078.267357130491</v>
      </c>
      <c r="R210" s="47">
        <v>0</v>
      </c>
      <c r="S210" s="37">
        <f t="shared" si="24"/>
        <v>675791.15181856602</v>
      </c>
      <c r="T210" s="40">
        <f t="shared" si="28"/>
        <v>2.6164703736003325E-2</v>
      </c>
    </row>
    <row r="211" spans="2:20" x14ac:dyDescent="0.35">
      <c r="B211" s="9" t="s">
        <v>205</v>
      </c>
      <c r="C211" s="20">
        <v>3.56E-2</v>
      </c>
      <c r="D211" s="38">
        <f t="shared" si="20"/>
        <v>0.44062044454917232</v>
      </c>
      <c r="E211" s="32">
        <f t="shared" si="25"/>
        <v>314932.19942189386</v>
      </c>
      <c r="F211" s="49">
        <v>2649.91</v>
      </c>
      <c r="G211" s="19">
        <v>9.8000000000000004E-2</v>
      </c>
      <c r="H211" s="38">
        <f t="shared" si="21"/>
        <v>0.20763109726058077</v>
      </c>
      <c r="I211" s="32">
        <f t="shared" si="26"/>
        <v>148403.7314599879</v>
      </c>
      <c r="J211" s="48">
        <v>-1214.1199999999999</v>
      </c>
      <c r="K211" s="19">
        <v>8.0500000000000002E-2</v>
      </c>
      <c r="L211" s="38">
        <f t="shared" si="22"/>
        <v>0.25540234187750999</v>
      </c>
      <c r="M211" s="31">
        <f t="shared" si="27"/>
        <v>182548.09158318656</v>
      </c>
      <c r="N211" s="49">
        <v>3063.37</v>
      </c>
      <c r="O211" s="20">
        <v>1.9E-2</v>
      </c>
      <c r="P211" s="38">
        <f t="shared" si="23"/>
        <v>9.6346116312736929E-2</v>
      </c>
      <c r="Q211" s="32">
        <f t="shared" si="29"/>
        <v>68863.110396915974</v>
      </c>
      <c r="R211" s="48">
        <v>-4499.16</v>
      </c>
      <c r="S211" s="37">
        <f t="shared" si="24"/>
        <v>714747.13286198431</v>
      </c>
      <c r="T211" s="40">
        <f t="shared" si="28"/>
        <v>5.7645000143294434E-2</v>
      </c>
    </row>
    <row r="212" spans="2:20" x14ac:dyDescent="0.35">
      <c r="B212" s="10" t="s">
        <v>206</v>
      </c>
      <c r="C212" s="20">
        <v>4.2700000000000002E-2</v>
      </c>
      <c r="D212" s="38">
        <f t="shared" si="20"/>
        <v>0.44305491097208954</v>
      </c>
      <c r="E212" s="32">
        <f t="shared" si="25"/>
        <v>328379.80433720874</v>
      </c>
      <c r="F212" s="47">
        <v>0</v>
      </c>
      <c r="G212" s="19">
        <v>7.9299999999999995E-2</v>
      </c>
      <c r="H212" s="38">
        <f t="shared" si="21"/>
        <v>0.21610664101021052</v>
      </c>
      <c r="I212" s="32">
        <f t="shared" si="26"/>
        <v>160172.14736476494</v>
      </c>
      <c r="J212" s="47">
        <v>0</v>
      </c>
      <c r="K212" s="19">
        <v>2.4199999999999999E-2</v>
      </c>
      <c r="L212" s="38">
        <f t="shared" si="22"/>
        <v>0.25225697506138817</v>
      </c>
      <c r="M212" s="31">
        <f t="shared" si="27"/>
        <v>186965.75539949967</v>
      </c>
      <c r="N212" s="47">
        <v>0</v>
      </c>
      <c r="O212" s="15">
        <v>-4.6600000000000003E-2</v>
      </c>
      <c r="P212" s="38">
        <f t="shared" si="23"/>
        <v>8.8581472956311788E-2</v>
      </c>
      <c r="Q212" s="32">
        <f t="shared" si="29"/>
        <v>65654.089452419692</v>
      </c>
      <c r="R212" s="47">
        <v>0</v>
      </c>
      <c r="S212" s="37">
        <f t="shared" si="24"/>
        <v>741171.79655389301</v>
      </c>
      <c r="T212" s="40">
        <f t="shared" si="28"/>
        <v>3.6970646648275762E-2</v>
      </c>
    </row>
    <row r="213" spans="2:20" x14ac:dyDescent="0.35">
      <c r="B213" s="11" t="s">
        <v>207</v>
      </c>
      <c r="C213" s="20">
        <v>8.7999999999999995E-2</v>
      </c>
      <c r="D213" s="38">
        <f t="shared" si="20"/>
        <v>0.45356206687290734</v>
      </c>
      <c r="E213" s="32">
        <f t="shared" si="25"/>
        <v>357277.22711888311</v>
      </c>
      <c r="F213" s="47">
        <v>0</v>
      </c>
      <c r="G213" s="19">
        <v>5.6300000000000003E-2</v>
      </c>
      <c r="H213" s="38">
        <f t="shared" si="21"/>
        <v>0.21478585077509485</v>
      </c>
      <c r="I213" s="32">
        <f t="shared" si="26"/>
        <v>169189.83926140121</v>
      </c>
      <c r="J213" s="47">
        <v>0</v>
      </c>
      <c r="K213" s="19">
        <v>3.61E-2</v>
      </c>
      <c r="L213" s="38">
        <f t="shared" si="22"/>
        <v>0.2459207263215388</v>
      </c>
      <c r="M213" s="31">
        <f t="shared" si="27"/>
        <v>193715.21916942162</v>
      </c>
      <c r="N213" s="47">
        <v>0</v>
      </c>
      <c r="O213" s="20">
        <v>2.86E-2</v>
      </c>
      <c r="P213" s="38">
        <f t="shared" si="23"/>
        <v>8.5731356030459172E-2</v>
      </c>
      <c r="Q213" s="32">
        <f t="shared" si="29"/>
        <v>67531.796410758892</v>
      </c>
      <c r="R213" s="47">
        <v>0</v>
      </c>
      <c r="S213" s="37">
        <f t="shared" si="24"/>
        <v>787714.08196046471</v>
      </c>
      <c r="T213" s="40">
        <f t="shared" si="28"/>
        <v>6.2795542980685237E-2</v>
      </c>
    </row>
    <row r="214" spans="2:20" x14ac:dyDescent="0.35">
      <c r="B214" s="10" t="s">
        <v>208</v>
      </c>
      <c r="C214" s="16">
        <v>-2.7E-2</v>
      </c>
      <c r="D214" s="38">
        <f t="shared" si="20"/>
        <v>0.46178575854635595</v>
      </c>
      <c r="E214" s="32">
        <f t="shared" si="25"/>
        <v>347630.74198667327</v>
      </c>
      <c r="F214" s="47">
        <v>0</v>
      </c>
      <c r="G214" s="17">
        <v>-5.8900000000000001E-2</v>
      </c>
      <c r="H214" s="38">
        <f t="shared" si="21"/>
        <v>0.21151073334264847</v>
      </c>
      <c r="I214" s="32">
        <f t="shared" si="26"/>
        <v>159224.55772890468</v>
      </c>
      <c r="J214" s="47">
        <v>0</v>
      </c>
      <c r="K214" s="17">
        <v>-6.4299999999999996E-2</v>
      </c>
      <c r="L214" s="38">
        <f t="shared" si="22"/>
        <v>0.2407812870221758</v>
      </c>
      <c r="M214" s="31">
        <f t="shared" si="27"/>
        <v>181259.33057682781</v>
      </c>
      <c r="N214" s="47">
        <v>0</v>
      </c>
      <c r="O214" s="16">
        <v>-4.2200000000000001E-2</v>
      </c>
      <c r="P214" s="38">
        <f t="shared" si="23"/>
        <v>8.5922221088819681E-2</v>
      </c>
      <c r="Q214" s="32">
        <f t="shared" si="29"/>
        <v>64681.954602224869</v>
      </c>
      <c r="R214" s="47">
        <v>0</v>
      </c>
      <c r="S214" s="37">
        <f t="shared" si="24"/>
        <v>752796.58489463071</v>
      </c>
      <c r="T214" s="40">
        <f t="shared" si="28"/>
        <v>-4.4327628343181602E-2</v>
      </c>
    </row>
    <row r="215" spans="2:20" x14ac:dyDescent="0.35">
      <c r="B215" s="11" t="s">
        <v>209</v>
      </c>
      <c r="C215" s="16">
        <v>-1.29E-2</v>
      </c>
      <c r="D215" s="38">
        <f t="shared" si="20"/>
        <v>0.45810631283525494</v>
      </c>
      <c r="E215" s="32">
        <f t="shared" si="25"/>
        <v>343146.30541504518</v>
      </c>
      <c r="F215" s="47">
        <v>0</v>
      </c>
      <c r="G215" s="17">
        <v>-1.5699999999999999E-2</v>
      </c>
      <c r="H215" s="38">
        <f t="shared" si="21"/>
        <v>0.20923025558682529</v>
      </c>
      <c r="I215" s="32">
        <f t="shared" si="26"/>
        <v>156724.73217256088</v>
      </c>
      <c r="J215" s="47">
        <v>0</v>
      </c>
      <c r="K215" s="17">
        <v>-2.0999999999999999E-3</v>
      </c>
      <c r="L215" s="38">
        <f t="shared" si="22"/>
        <v>0.24147620591677013</v>
      </c>
      <c r="M215" s="31">
        <f t="shared" si="27"/>
        <v>180878.68598261647</v>
      </c>
      <c r="N215" s="47">
        <v>0</v>
      </c>
      <c r="O215" s="18">
        <v>5.6000000000000001E-2</v>
      </c>
      <c r="P215" s="38">
        <f t="shared" si="23"/>
        <v>9.1187225661149729E-2</v>
      </c>
      <c r="Q215" s="32">
        <f t="shared" si="29"/>
        <v>68304.144059949467</v>
      </c>
      <c r="R215" s="47">
        <v>0</v>
      </c>
      <c r="S215" s="37">
        <f t="shared" si="24"/>
        <v>749053.86763017194</v>
      </c>
      <c r="T215" s="40">
        <f t="shared" si="28"/>
        <v>-4.9717511205004117E-3</v>
      </c>
    </row>
    <row r="216" spans="2:20" x14ac:dyDescent="0.35">
      <c r="B216" s="10" t="s">
        <v>210</v>
      </c>
      <c r="C216" s="16">
        <v>-3.3300000000000003E-2</v>
      </c>
      <c r="D216" s="38">
        <f t="shared" si="20"/>
        <v>0.4642731150612911</v>
      </c>
      <c r="E216" s="32">
        <f t="shared" si="25"/>
        <v>331719.53344472416</v>
      </c>
      <c r="F216" s="47">
        <v>0</v>
      </c>
      <c r="G216" s="17">
        <v>-3.8100000000000002E-2</v>
      </c>
      <c r="H216" s="38">
        <f t="shared" si="21"/>
        <v>0.21099392475575368</v>
      </c>
      <c r="I216" s="32">
        <f t="shared" si="26"/>
        <v>150753.5198767863</v>
      </c>
      <c r="J216" s="47">
        <v>0</v>
      </c>
      <c r="K216" s="17">
        <v>-4.9500000000000002E-2</v>
      </c>
      <c r="L216" s="38">
        <f t="shared" si="22"/>
        <v>0.24062569715591012</v>
      </c>
      <c r="M216" s="31">
        <f t="shared" si="27"/>
        <v>171925.19102647697</v>
      </c>
      <c r="N216" s="47">
        <v>0</v>
      </c>
      <c r="O216" s="17">
        <v>-0.1202</v>
      </c>
      <c r="P216" s="38">
        <f t="shared" si="23"/>
        <v>8.4107263027045132E-2</v>
      </c>
      <c r="Q216" s="32">
        <f t="shared" si="29"/>
        <v>60093.985943943539</v>
      </c>
      <c r="R216" s="47">
        <v>0</v>
      </c>
      <c r="S216" s="37">
        <f t="shared" si="24"/>
        <v>714492.23029193096</v>
      </c>
      <c r="T216" s="40">
        <f t="shared" si="28"/>
        <v>-4.6140389672622351E-2</v>
      </c>
    </row>
    <row r="217" spans="2:20" x14ac:dyDescent="0.35">
      <c r="B217" s="11" t="s">
        <v>211</v>
      </c>
      <c r="C217" s="20">
        <v>4.8800000000000003E-2</v>
      </c>
      <c r="D217" s="38">
        <f t="shared" si="20"/>
        <v>0.47987170623810133</v>
      </c>
      <c r="E217" s="32">
        <f t="shared" si="25"/>
        <v>347907.44667682669</v>
      </c>
      <c r="F217" s="47">
        <v>0</v>
      </c>
      <c r="G217" s="17">
        <v>-1.17E-2</v>
      </c>
      <c r="H217" s="38">
        <f t="shared" si="21"/>
        <v>0.20550276806828829</v>
      </c>
      <c r="I217" s="32">
        <f t="shared" si="26"/>
        <v>148989.70369422791</v>
      </c>
      <c r="J217" s="47">
        <v>0</v>
      </c>
      <c r="K217" s="17">
        <v>-4.0599999999999997E-2</v>
      </c>
      <c r="L217" s="38">
        <f t="shared" si="22"/>
        <v>0.2275100832358061</v>
      </c>
      <c r="M217" s="31">
        <f t="shared" si="27"/>
        <v>164945.02827080199</v>
      </c>
      <c r="N217" s="47">
        <v>0</v>
      </c>
      <c r="O217" s="18">
        <v>5.0999999999999997E-2</v>
      </c>
      <c r="P217" s="38">
        <f t="shared" si="23"/>
        <v>8.7115442457804171E-2</v>
      </c>
      <c r="Q217" s="32">
        <f t="shared" si="29"/>
        <v>63158.779227084662</v>
      </c>
      <c r="R217" s="47">
        <v>0</v>
      </c>
      <c r="S217" s="37">
        <f t="shared" si="24"/>
        <v>725000.95786894136</v>
      </c>
      <c r="T217" s="40">
        <f t="shared" si="28"/>
        <v>1.4707966205198097E-2</v>
      </c>
    </row>
    <row r="218" spans="2:20" x14ac:dyDescent="0.35">
      <c r="B218" s="10" t="s">
        <v>212</v>
      </c>
      <c r="C218" s="20">
        <v>4.9799999999999997E-2</v>
      </c>
      <c r="D218" s="38">
        <f t="shared" si="20"/>
        <v>0.48317016418157122</v>
      </c>
      <c r="E218" s="32">
        <f t="shared" si="25"/>
        <v>365233.23752133263</v>
      </c>
      <c r="F218" s="47">
        <v>0</v>
      </c>
      <c r="G218" s="19">
        <v>4.2700000000000002E-2</v>
      </c>
      <c r="H218" s="38">
        <f t="shared" si="21"/>
        <v>0.20551590872021613</v>
      </c>
      <c r="I218" s="32">
        <f t="shared" si="26"/>
        <v>155351.56404197143</v>
      </c>
      <c r="J218" s="47">
        <v>0</v>
      </c>
      <c r="K218" s="19">
        <v>3.6200000000000003E-2</v>
      </c>
      <c r="L218" s="38">
        <f t="shared" si="22"/>
        <v>0.22610628442339212</v>
      </c>
      <c r="M218" s="31">
        <f t="shared" si="27"/>
        <v>170916.03829420503</v>
      </c>
      <c r="N218" s="47">
        <v>0</v>
      </c>
      <c r="O218" s="18">
        <v>1.9800000000000002E-2</v>
      </c>
      <c r="P218" s="38">
        <f t="shared" si="23"/>
        <v>8.520764267482045E-2</v>
      </c>
      <c r="Q218" s="32">
        <f t="shared" si="29"/>
        <v>64409.323055780937</v>
      </c>
      <c r="R218" s="47">
        <v>0</v>
      </c>
      <c r="S218" s="37">
        <f t="shared" si="24"/>
        <v>755910.16291329009</v>
      </c>
      <c r="T218" s="40">
        <f t="shared" si="28"/>
        <v>4.2633329940974019E-2</v>
      </c>
    </row>
    <row r="219" spans="2:20" x14ac:dyDescent="0.35">
      <c r="B219" s="11" t="s">
        <v>213</v>
      </c>
      <c r="C219" s="16">
        <v>-5.1000000000000004E-3</v>
      </c>
      <c r="D219" s="38">
        <f t="shared" si="20"/>
        <v>0.47983691597548833</v>
      </c>
      <c r="E219" s="32">
        <f t="shared" si="25"/>
        <v>363370.54800997383</v>
      </c>
      <c r="F219" s="47">
        <v>0</v>
      </c>
      <c r="G219" s="19">
        <v>1.14E-2</v>
      </c>
      <c r="H219" s="38">
        <f t="shared" si="21"/>
        <v>0.20748299698508324</v>
      </c>
      <c r="I219" s="32">
        <f t="shared" si="26"/>
        <v>157122.57187204991</v>
      </c>
      <c r="J219" s="47">
        <v>0</v>
      </c>
      <c r="K219" s="19">
        <v>4.1000000000000003E-3</v>
      </c>
      <c r="L219" s="38">
        <f t="shared" si="22"/>
        <v>0.22662286098342085</v>
      </c>
      <c r="M219" s="31">
        <f t="shared" si="27"/>
        <v>171616.79405121127</v>
      </c>
      <c r="N219" s="47">
        <v>0</v>
      </c>
      <c r="O219" s="18">
        <v>1.18E-2</v>
      </c>
      <c r="P219" s="38">
        <f t="shared" si="23"/>
        <v>8.6057226056007574E-2</v>
      </c>
      <c r="Q219" s="32">
        <f t="shared" si="29"/>
        <v>65169.353067839154</v>
      </c>
      <c r="R219" s="47">
        <v>0</v>
      </c>
      <c r="S219" s="37">
        <f t="shared" si="24"/>
        <v>757279.26700107416</v>
      </c>
      <c r="T219" s="40">
        <f t="shared" si="28"/>
        <v>1.8111994717830981E-3</v>
      </c>
    </row>
    <row r="220" spans="2:20" x14ac:dyDescent="0.35">
      <c r="B220" s="10" t="s">
        <v>214</v>
      </c>
      <c r="C220" s="20">
        <v>0.1147</v>
      </c>
      <c r="D220" s="38">
        <f t="shared" si="20"/>
        <v>0.49058560706053889</v>
      </c>
      <c r="E220" s="32">
        <f t="shared" si="25"/>
        <v>405049.14986671781</v>
      </c>
      <c r="F220" s="47">
        <v>0</v>
      </c>
      <c r="G220" s="19">
        <v>8.6900000000000005E-2</v>
      </c>
      <c r="H220" s="38">
        <f t="shared" si="21"/>
        <v>0.2068403412662754</v>
      </c>
      <c r="I220" s="32">
        <f t="shared" si="26"/>
        <v>170776.52336773105</v>
      </c>
      <c r="J220" s="47">
        <v>0</v>
      </c>
      <c r="K220" s="19">
        <v>5.3800000000000001E-2</v>
      </c>
      <c r="L220" s="38">
        <f t="shared" si="22"/>
        <v>0.21904081997384356</v>
      </c>
      <c r="M220" s="31">
        <f t="shared" si="27"/>
        <v>180849.77757116643</v>
      </c>
      <c r="N220" s="47">
        <v>0</v>
      </c>
      <c r="O220" s="18">
        <v>5.8299999999999998E-2</v>
      </c>
      <c r="P220" s="38">
        <f t="shared" si="23"/>
        <v>8.3533231699342084E-2</v>
      </c>
      <c r="Q220" s="32">
        <f t="shared" si="29"/>
        <v>68968.726351694175</v>
      </c>
      <c r="R220" s="47">
        <v>0</v>
      </c>
      <c r="S220" s="37">
        <f t="shared" si="24"/>
        <v>825644.17715730949</v>
      </c>
      <c r="T220" s="40">
        <f t="shared" si="28"/>
        <v>9.0277012900365605E-2</v>
      </c>
    </row>
    <row r="221" spans="2:20" x14ac:dyDescent="0.35">
      <c r="B221" s="11" t="s">
        <v>215</v>
      </c>
      <c r="C221" s="16">
        <v>-1.6500000000000001E-2</v>
      </c>
      <c r="D221" s="38">
        <f t="shared" si="20"/>
        <v>0.49765363738017943</v>
      </c>
      <c r="E221" s="32">
        <f t="shared" si="25"/>
        <v>398365.83889391698</v>
      </c>
      <c r="F221" s="47">
        <v>0</v>
      </c>
      <c r="G221" s="17">
        <v>-5.1200000000000002E-2</v>
      </c>
      <c r="H221" s="38">
        <f t="shared" si="21"/>
        <v>0.20241744444174412</v>
      </c>
      <c r="I221" s="32">
        <f t="shared" si="26"/>
        <v>162032.76537130322</v>
      </c>
      <c r="J221" s="47">
        <v>0</v>
      </c>
      <c r="K221" s="17">
        <v>-4.8800000000000003E-2</v>
      </c>
      <c r="L221" s="38">
        <f t="shared" si="22"/>
        <v>0.21489925703356652</v>
      </c>
      <c r="M221" s="31">
        <f t="shared" si="27"/>
        <v>172024.30842569351</v>
      </c>
      <c r="N221" s="47">
        <v>0</v>
      </c>
      <c r="O221" s="17">
        <v>-1.3100000000000001E-2</v>
      </c>
      <c r="P221" s="38">
        <f t="shared" si="23"/>
        <v>8.5029661144509966E-2</v>
      </c>
      <c r="Q221" s="32">
        <f t="shared" si="29"/>
        <v>68065.236036486982</v>
      </c>
      <c r="R221" s="47">
        <v>0</v>
      </c>
      <c r="S221" s="37">
        <f t="shared" si="24"/>
        <v>800488.14872740069</v>
      </c>
      <c r="T221" s="40">
        <f t="shared" si="28"/>
        <v>-3.0468365339317183E-2</v>
      </c>
    </row>
    <row r="222" spans="2:20" x14ac:dyDescent="0.35">
      <c r="B222" s="10" t="s">
        <v>216</v>
      </c>
      <c r="C222" s="20">
        <v>3.8300000000000001E-2</v>
      </c>
      <c r="D222" s="38">
        <f t="shared" ref="D222:D275" si="30">E222/S222</f>
        <v>0.50502524070392896</v>
      </c>
      <c r="E222" s="32">
        <f t="shared" si="25"/>
        <v>413623.25052355399</v>
      </c>
      <c r="F222" s="47">
        <v>0</v>
      </c>
      <c r="G222" s="19">
        <v>1.4500000000000001E-2</v>
      </c>
      <c r="H222" s="38">
        <f t="shared" ref="H222:H275" si="31">I222/S222</f>
        <v>0.20070723890719705</v>
      </c>
      <c r="I222" s="32">
        <f t="shared" si="26"/>
        <v>164382.24046918712</v>
      </c>
      <c r="J222" s="47">
        <v>0</v>
      </c>
      <c r="K222" s="17">
        <v>-4.8999999999999998E-3</v>
      </c>
      <c r="L222" s="38">
        <f t="shared" ref="L222:L275" si="32">M222/S222</f>
        <v>0.2090088558443324</v>
      </c>
      <c r="M222" s="31">
        <f t="shared" si="27"/>
        <v>171181.3893144076</v>
      </c>
      <c r="N222" s="47">
        <v>0</v>
      </c>
      <c r="O222" s="18">
        <v>2.5899999999999999E-2</v>
      </c>
      <c r="P222" s="38">
        <f t="shared" ref="P222:P275" si="33">Q222/S222</f>
        <v>8.525866454454166E-2</v>
      </c>
      <c r="Q222" s="32">
        <f t="shared" si="29"/>
        <v>69828.125649832</v>
      </c>
      <c r="R222" s="47">
        <v>0</v>
      </c>
      <c r="S222" s="37">
        <f t="shared" ref="S222:S275" si="34">M222+I222+E222+Q222</f>
        <v>819015.00595698063</v>
      </c>
      <c r="T222" s="40">
        <f t="shared" si="28"/>
        <v>2.3144449120244381E-2</v>
      </c>
    </row>
    <row r="223" spans="2:20" x14ac:dyDescent="0.35">
      <c r="B223" s="9" t="s">
        <v>217</v>
      </c>
      <c r="C223" s="16">
        <v>-8.7300000000000003E-2</v>
      </c>
      <c r="D223" s="38">
        <f t="shared" si="30"/>
        <v>0.44621826650828977</v>
      </c>
      <c r="E223" s="32">
        <f t="shared" si="25"/>
        <v>336381.60929784772</v>
      </c>
      <c r="F223" s="48">
        <v>-45066.65</v>
      </c>
      <c r="G223" s="17">
        <v>-0.1285</v>
      </c>
      <c r="H223" s="38">
        <f t="shared" si="31"/>
        <v>0.18936701999907432</v>
      </c>
      <c r="I223" s="32">
        <f t="shared" si="26"/>
        <v>142754.31490889657</v>
      </c>
      <c r="J223" s="48">
        <v>-579.24</v>
      </c>
      <c r="K223" s="17">
        <v>-3.6799999999999999E-2</v>
      </c>
      <c r="L223" s="38">
        <f t="shared" si="32"/>
        <v>0.26161547981916233</v>
      </c>
      <c r="M223" s="31">
        <f t="shared" si="27"/>
        <v>197218.81133963738</v>
      </c>
      <c r="N223" s="49">
        <v>33572.36</v>
      </c>
      <c r="O223" s="17">
        <v>-5.3800000000000001E-2</v>
      </c>
      <c r="P223" s="38">
        <f t="shared" si="33"/>
        <v>0.10279923367347346</v>
      </c>
      <c r="Q223" s="32">
        <f t="shared" si="29"/>
        <v>77495.195183871037</v>
      </c>
      <c r="R223" s="49">
        <v>12073.37</v>
      </c>
      <c r="S223" s="37">
        <f t="shared" si="34"/>
        <v>753849.93073025276</v>
      </c>
      <c r="T223" s="40">
        <f t="shared" si="28"/>
        <v>-7.9565178602052034E-2</v>
      </c>
    </row>
    <row r="224" spans="2:20" x14ac:dyDescent="0.35">
      <c r="B224" s="10" t="s">
        <v>218</v>
      </c>
      <c r="C224" s="16">
        <v>-6.83E-2</v>
      </c>
      <c r="D224" s="38">
        <f t="shared" si="30"/>
        <v>0.4396665916120937</v>
      </c>
      <c r="E224" s="32">
        <f t="shared" ref="E224:E275" si="35">((E223+F224)*C224)+E223+F224</f>
        <v>313406.74538280471</v>
      </c>
      <c r="F224" s="47">
        <v>0</v>
      </c>
      <c r="G224" s="17">
        <v>-2.8199999999999999E-2</v>
      </c>
      <c r="H224" s="38">
        <f t="shared" si="31"/>
        <v>0.19461722067509837</v>
      </c>
      <c r="I224" s="32">
        <f t="shared" ref="I224:I275" si="36">((I223+J224)*G224)+I223+J224</f>
        <v>138728.64322846569</v>
      </c>
      <c r="J224" s="47">
        <v>0</v>
      </c>
      <c r="K224" s="17">
        <v>-7.9699999999999993E-2</v>
      </c>
      <c r="L224" s="38">
        <f t="shared" si="32"/>
        <v>0.25462021832399678</v>
      </c>
      <c r="M224" s="31">
        <f t="shared" ref="M224:M275" si="37">((M223+N224)*K224)+M223+N224</f>
        <v>181500.47207586828</v>
      </c>
      <c r="N224" s="47">
        <v>0</v>
      </c>
      <c r="O224" s="18">
        <v>2.1899999999999999E-2</v>
      </c>
      <c r="P224" s="38">
        <f t="shared" si="33"/>
        <v>0.1110959693888111</v>
      </c>
      <c r="Q224" s="32">
        <f t="shared" si="29"/>
        <v>79192.339958397817</v>
      </c>
      <c r="R224" s="47">
        <v>0</v>
      </c>
      <c r="S224" s="37">
        <f t="shared" si="34"/>
        <v>712828.20064553653</v>
      </c>
      <c r="T224" s="40">
        <f t="shared" ref="T224:T275" si="38">S224/S223-1</f>
        <v>-5.4416308090628251E-2</v>
      </c>
    </row>
    <row r="225" spans="2:20" x14ac:dyDescent="0.35">
      <c r="B225" s="11" t="s">
        <v>219</v>
      </c>
      <c r="C225" s="16">
        <v>-4.2900000000000001E-2</v>
      </c>
      <c r="D225" s="38">
        <f t="shared" si="30"/>
        <v>0.45061742739519633</v>
      </c>
      <c r="E225" s="32">
        <f t="shared" si="35"/>
        <v>299961.59600588237</v>
      </c>
      <c r="F225" s="47">
        <v>0</v>
      </c>
      <c r="G225" s="17">
        <v>-6.7100000000000007E-2</v>
      </c>
      <c r="H225" s="38">
        <f t="shared" si="31"/>
        <v>0.19442117347842128</v>
      </c>
      <c r="I225" s="32">
        <f t="shared" si="36"/>
        <v>129419.95126783564</v>
      </c>
      <c r="J225" s="47">
        <v>0</v>
      </c>
      <c r="K225" s="17">
        <v>-0.1072</v>
      </c>
      <c r="L225" s="38">
        <f t="shared" si="32"/>
        <v>0.24343009506750621</v>
      </c>
      <c r="M225" s="31">
        <f t="shared" si="37"/>
        <v>162043.62146933519</v>
      </c>
      <c r="N225" s="47">
        <v>0</v>
      </c>
      <c r="O225" s="17">
        <v>-6.25E-2</v>
      </c>
      <c r="P225" s="38">
        <f t="shared" si="33"/>
        <v>0.11153130405887617</v>
      </c>
      <c r="Q225" s="32">
        <f t="shared" ref="Q225:Q275" si="39">((Q224+R225)*O225)+Q224+R225</f>
        <v>74242.818710997948</v>
      </c>
      <c r="R225" s="47">
        <v>0</v>
      </c>
      <c r="S225" s="37">
        <f t="shared" si="34"/>
        <v>665667.98745405115</v>
      </c>
      <c r="T225" s="40">
        <f t="shared" si="38"/>
        <v>-6.6159297778591197E-2</v>
      </c>
    </row>
    <row r="226" spans="2:20" x14ac:dyDescent="0.35">
      <c r="B226" s="10" t="s">
        <v>220</v>
      </c>
      <c r="C226" s="16">
        <v>-5.5800000000000002E-2</v>
      </c>
      <c r="D226" s="38">
        <f t="shared" si="30"/>
        <v>0.44486599811283661</v>
      </c>
      <c r="E226" s="32">
        <f t="shared" si="35"/>
        <v>283223.73894875415</v>
      </c>
      <c r="F226" s="47">
        <v>0</v>
      </c>
      <c r="G226" s="17">
        <v>-6.7199999999999996E-2</v>
      </c>
      <c r="H226" s="38">
        <f t="shared" si="31"/>
        <v>0.18962226538741603</v>
      </c>
      <c r="I226" s="32">
        <f t="shared" si="36"/>
        <v>120722.93054263708</v>
      </c>
      <c r="J226" s="47">
        <v>0</v>
      </c>
      <c r="K226" s="17">
        <v>-2.8299999999999999E-2</v>
      </c>
      <c r="L226" s="38">
        <f t="shared" si="32"/>
        <v>0.24732254374676632</v>
      </c>
      <c r="M226" s="31">
        <f t="shared" si="37"/>
        <v>157457.78698175302</v>
      </c>
      <c r="N226" s="47">
        <v>0</v>
      </c>
      <c r="O226" s="18">
        <v>1.35E-2</v>
      </c>
      <c r="P226" s="38">
        <f t="shared" si="33"/>
        <v>0.11818919275298106</v>
      </c>
      <c r="Q226" s="32">
        <f t="shared" si="39"/>
        <v>75245.096763596419</v>
      </c>
      <c r="R226" s="47">
        <v>0</v>
      </c>
      <c r="S226" s="37">
        <f t="shared" si="34"/>
        <v>636649.55323674064</v>
      </c>
      <c r="T226" s="40">
        <f t="shared" si="38"/>
        <v>-4.3592954392017491E-2</v>
      </c>
    </row>
    <row r="227" spans="2:20" x14ac:dyDescent="0.35">
      <c r="B227" s="11" t="s">
        <v>221</v>
      </c>
      <c r="C227" s="16">
        <v>-3.7400000000000003E-2</v>
      </c>
      <c r="D227" s="38">
        <f t="shared" si="30"/>
        <v>0.44568545789351072</v>
      </c>
      <c r="E227" s="32">
        <f t="shared" si="35"/>
        <v>272631.17111207073</v>
      </c>
      <c r="F227" s="47">
        <v>0</v>
      </c>
      <c r="G227" s="17">
        <v>-3.56E-2</v>
      </c>
      <c r="H227" s="38">
        <f t="shared" si="31"/>
        <v>0.19032679125625512</v>
      </c>
      <c r="I227" s="32">
        <f t="shared" si="36"/>
        <v>116425.19421531921</v>
      </c>
      <c r="J227" s="47">
        <v>0</v>
      </c>
      <c r="K227" s="17">
        <v>-3.1600000000000003E-2</v>
      </c>
      <c r="L227" s="38">
        <f t="shared" si="32"/>
        <v>0.24927107051821984</v>
      </c>
      <c r="M227" s="31">
        <f t="shared" si="37"/>
        <v>152482.12091312962</v>
      </c>
      <c r="N227" s="47">
        <v>0</v>
      </c>
      <c r="O227" s="17">
        <v>-6.7400000000000002E-2</v>
      </c>
      <c r="P227" s="38">
        <f t="shared" si="33"/>
        <v>0.11471668033201422</v>
      </c>
      <c r="Q227" s="32">
        <f t="shared" si="39"/>
        <v>70173.577241730018</v>
      </c>
      <c r="R227" s="47">
        <v>0</v>
      </c>
      <c r="S227" s="37">
        <f t="shared" si="34"/>
        <v>611712.06348224962</v>
      </c>
      <c r="T227" s="40">
        <f t="shared" si="38"/>
        <v>-3.9169884951160694E-2</v>
      </c>
    </row>
    <row r="228" spans="2:20" x14ac:dyDescent="0.35">
      <c r="B228" s="10" t="s">
        <v>222</v>
      </c>
      <c r="C228" s="16">
        <v>-1.2999999999999999E-3</v>
      </c>
      <c r="D228" s="38">
        <f t="shared" si="30"/>
        <v>0.43923419184191165</v>
      </c>
      <c r="E228" s="32">
        <f t="shared" si="35"/>
        <v>272276.75058962504</v>
      </c>
      <c r="F228" s="47">
        <v>0</v>
      </c>
      <c r="G228" s="17">
        <v>-3.5999999999999999E-3</v>
      </c>
      <c r="H228" s="38">
        <f t="shared" si="31"/>
        <v>0.18713984740501224</v>
      </c>
      <c r="I228" s="32">
        <f t="shared" si="36"/>
        <v>116006.06351614406</v>
      </c>
      <c r="J228" s="47">
        <v>0</v>
      </c>
      <c r="K228" s="19">
        <v>2.52E-2</v>
      </c>
      <c r="L228" s="38">
        <f t="shared" si="32"/>
        <v>0.25218142974711227</v>
      </c>
      <c r="M228" s="31">
        <f t="shared" si="37"/>
        <v>156324.67036014047</v>
      </c>
      <c r="N228" s="47">
        <v>0</v>
      </c>
      <c r="O228" s="18">
        <v>7.2800000000000004E-2</v>
      </c>
      <c r="P228" s="38">
        <f t="shared" si="33"/>
        <v>0.12144453100596364</v>
      </c>
      <c r="Q228" s="32">
        <f t="shared" si="39"/>
        <v>75282.213664927956</v>
      </c>
      <c r="R228" s="47">
        <v>0</v>
      </c>
      <c r="S228" s="37">
        <f t="shared" si="34"/>
        <v>619889.69813083764</v>
      </c>
      <c r="T228" s="40">
        <f t="shared" si="38"/>
        <v>1.3368437761445806E-2</v>
      </c>
    </row>
    <row r="229" spans="2:20" x14ac:dyDescent="0.35">
      <c r="B229" s="11" t="s">
        <v>223</v>
      </c>
      <c r="C229" s="20">
        <v>9.1499999999999998E-2</v>
      </c>
      <c r="D229" s="38">
        <f t="shared" si="30"/>
        <v>0.45381158793815202</v>
      </c>
      <c r="E229" s="32">
        <f t="shared" si="35"/>
        <v>297190.07326857571</v>
      </c>
      <c r="F229" s="47">
        <v>0</v>
      </c>
      <c r="G229" s="19">
        <v>0.106</v>
      </c>
      <c r="H229" s="38">
        <f t="shared" si="31"/>
        <v>0.19591924528022897</v>
      </c>
      <c r="I229" s="32">
        <f t="shared" si="36"/>
        <v>128302.70624885533</v>
      </c>
      <c r="J229" s="47">
        <v>0</v>
      </c>
      <c r="K229" s="17">
        <v>-3.2000000000000002E-3</v>
      </c>
      <c r="L229" s="38">
        <f t="shared" si="32"/>
        <v>0.23794513686898655</v>
      </c>
      <c r="M229" s="31">
        <f t="shared" si="37"/>
        <v>155824.43141498804</v>
      </c>
      <c r="N229" s="47">
        <v>0</v>
      </c>
      <c r="O229" s="17">
        <v>-2.29E-2</v>
      </c>
      <c r="P229" s="38">
        <f t="shared" si="33"/>
        <v>0.11232402991263248</v>
      </c>
      <c r="Q229" s="32">
        <f t="shared" si="39"/>
        <v>73558.2509720011</v>
      </c>
      <c r="R229" s="47">
        <v>0</v>
      </c>
      <c r="S229" s="37">
        <f t="shared" si="34"/>
        <v>654875.46190442017</v>
      </c>
      <c r="T229" s="40">
        <f t="shared" si="38"/>
        <v>5.6438692043238703E-2</v>
      </c>
    </row>
    <row r="230" spans="2:20" x14ac:dyDescent="0.35">
      <c r="B230" s="10" t="s">
        <v>224</v>
      </c>
      <c r="C230" s="16">
        <v>-5.3699999999999998E-2</v>
      </c>
      <c r="D230" s="38">
        <f t="shared" si="30"/>
        <v>0.44788689669294612</v>
      </c>
      <c r="E230" s="32">
        <f t="shared" si="35"/>
        <v>281230.9663340532</v>
      </c>
      <c r="F230" s="47">
        <v>0</v>
      </c>
      <c r="G230" s="17">
        <v>-3.15E-2</v>
      </c>
      <c r="H230" s="38">
        <f t="shared" si="31"/>
        <v>0.19789766036438633</v>
      </c>
      <c r="I230" s="32">
        <f t="shared" si="36"/>
        <v>124261.17100201639</v>
      </c>
      <c r="J230" s="47">
        <v>0</v>
      </c>
      <c r="K230" s="17">
        <v>-2.4799999999999999E-2</v>
      </c>
      <c r="L230" s="38">
        <f t="shared" si="32"/>
        <v>0.24201064065390093</v>
      </c>
      <c r="M230" s="31">
        <f t="shared" si="37"/>
        <v>151959.98551589635</v>
      </c>
      <c r="N230" s="47">
        <v>0</v>
      </c>
      <c r="O230" s="17">
        <v>-4.2200000000000001E-2</v>
      </c>
      <c r="P230" s="38">
        <f t="shared" si="33"/>
        <v>0.11220480228876661</v>
      </c>
      <c r="Q230" s="32">
        <f t="shared" si="39"/>
        <v>70454.092780982653</v>
      </c>
      <c r="R230" s="47">
        <v>0</v>
      </c>
      <c r="S230" s="37">
        <f t="shared" si="34"/>
        <v>627906.21563294856</v>
      </c>
      <c r="T230" s="40">
        <f t="shared" si="38"/>
        <v>-4.1182251955269922E-2</v>
      </c>
    </row>
    <row r="231" spans="2:20" x14ac:dyDescent="0.35">
      <c r="B231" s="11" t="s">
        <v>225</v>
      </c>
      <c r="C231" s="16">
        <v>-4.4900000000000002E-2</v>
      </c>
      <c r="D231" s="38">
        <f t="shared" si="30"/>
        <v>0.44771785166053235</v>
      </c>
      <c r="E231" s="32">
        <f t="shared" si="35"/>
        <v>268603.69594565418</v>
      </c>
      <c r="F231" s="47">
        <v>0</v>
      </c>
      <c r="G231" s="17">
        <v>-5.3100000000000001E-2</v>
      </c>
      <c r="H231" s="38">
        <f t="shared" si="31"/>
        <v>0.19612456145123558</v>
      </c>
      <c r="I231" s="32">
        <f t="shared" si="36"/>
        <v>117662.90282180932</v>
      </c>
      <c r="J231" s="47">
        <v>0</v>
      </c>
      <c r="K231" s="17">
        <v>-6.8000000000000005E-2</v>
      </c>
      <c r="L231" s="38">
        <f t="shared" si="32"/>
        <v>0.23606825121695699</v>
      </c>
      <c r="M231" s="31">
        <f t="shared" si="37"/>
        <v>141626.7065008154</v>
      </c>
      <c r="N231" s="47">
        <v>0</v>
      </c>
      <c r="O231" s="18">
        <v>2.2599999999999999E-2</v>
      </c>
      <c r="P231" s="38">
        <f t="shared" si="33"/>
        <v>0.12008933567127511</v>
      </c>
      <c r="Q231" s="32">
        <f t="shared" si="39"/>
        <v>72046.355277832859</v>
      </c>
      <c r="R231" s="47">
        <v>0</v>
      </c>
      <c r="S231" s="37">
        <f t="shared" si="34"/>
        <v>599939.66054611176</v>
      </c>
      <c r="T231" s="40">
        <f t="shared" si="38"/>
        <v>-4.4539382459601318E-2</v>
      </c>
    </row>
    <row r="232" spans="2:20" x14ac:dyDescent="0.35">
      <c r="B232" s="10" t="s">
        <v>226</v>
      </c>
      <c r="C232" s="20">
        <v>5.96E-2</v>
      </c>
      <c r="D232" s="38">
        <f t="shared" si="30"/>
        <v>0.36289726413338491</v>
      </c>
      <c r="E232" s="32">
        <f t="shared" si="35"/>
        <v>222493.61695201515</v>
      </c>
      <c r="F232" s="48">
        <v>-58624.82</v>
      </c>
      <c r="G232" s="19">
        <v>9.0700000000000003E-2</v>
      </c>
      <c r="H232" s="38">
        <f t="shared" si="31"/>
        <v>0.20932013664509022</v>
      </c>
      <c r="I232" s="32">
        <f t="shared" si="36"/>
        <v>128334.92810774742</v>
      </c>
      <c r="J232" s="47">
        <v>0</v>
      </c>
      <c r="K232" s="17">
        <v>-3.8199999999999998E-2</v>
      </c>
      <c r="L232" s="38">
        <f t="shared" si="32"/>
        <v>0.2221754489932419</v>
      </c>
      <c r="M232" s="31">
        <f t="shared" si="37"/>
        <v>136216.56631248427</v>
      </c>
      <c r="N232" s="47">
        <v>0</v>
      </c>
      <c r="O232" s="17">
        <v>-3.5299999999999998E-2</v>
      </c>
      <c r="P232" s="38">
        <f t="shared" si="33"/>
        <v>0.20560715022828302</v>
      </c>
      <c r="Q232" s="32">
        <f t="shared" si="39"/>
        <v>126058.48279052536</v>
      </c>
      <c r="R232" s="49">
        <v>58624.82</v>
      </c>
      <c r="S232" s="37">
        <f t="shared" si="34"/>
        <v>613103.59416277218</v>
      </c>
      <c r="T232" s="40">
        <f t="shared" si="38"/>
        <v>2.1942095984582188E-2</v>
      </c>
    </row>
    <row r="233" spans="2:20" x14ac:dyDescent="0.35">
      <c r="B233" s="11" t="s">
        <v>227</v>
      </c>
      <c r="C233" s="20">
        <v>4.8500000000000001E-2</v>
      </c>
      <c r="D233" s="38">
        <f t="shared" si="30"/>
        <v>0.35547233167236048</v>
      </c>
      <c r="E233" s="32">
        <f t="shared" si="35"/>
        <v>233284.55737418789</v>
      </c>
      <c r="F233" s="47">
        <v>0</v>
      </c>
      <c r="G233" s="19">
        <v>1.6899999999999998E-2</v>
      </c>
      <c r="H233" s="38">
        <f t="shared" si="31"/>
        <v>0.19885793759440093</v>
      </c>
      <c r="I233" s="32">
        <f t="shared" si="36"/>
        <v>130503.78839276834</v>
      </c>
      <c r="J233" s="47">
        <v>0</v>
      </c>
      <c r="K233" s="19">
        <v>0.15010000000000001</v>
      </c>
      <c r="L233" s="38">
        <f t="shared" si="32"/>
        <v>0.23871809713553072</v>
      </c>
      <c r="M233" s="31">
        <f t="shared" si="37"/>
        <v>156662.67291598817</v>
      </c>
      <c r="N233" s="47">
        <v>0</v>
      </c>
      <c r="O233" s="18">
        <v>7.7399999999999997E-2</v>
      </c>
      <c r="P233" s="38">
        <f t="shared" si="33"/>
        <v>0.20695163359770791</v>
      </c>
      <c r="Q233" s="32">
        <f t="shared" si="39"/>
        <v>135815.40935851203</v>
      </c>
      <c r="R233" s="47">
        <v>0</v>
      </c>
      <c r="S233" s="37">
        <f t="shared" si="34"/>
        <v>656266.42804145638</v>
      </c>
      <c r="T233" s="40">
        <f t="shared" si="38"/>
        <v>7.0400555941325882E-2</v>
      </c>
    </row>
    <row r="234" spans="2:20" x14ac:dyDescent="0.35">
      <c r="B234" s="10" t="s">
        <v>228</v>
      </c>
      <c r="C234" s="16">
        <v>-5.6000000000000001E-2</v>
      </c>
      <c r="D234" s="38">
        <f t="shared" si="30"/>
        <v>0.34778136966237166</v>
      </c>
      <c r="E234" s="32">
        <f t="shared" si="35"/>
        <v>220220.62216123336</v>
      </c>
      <c r="F234" s="47">
        <v>0</v>
      </c>
      <c r="G234" s="17">
        <v>-6.6500000000000004E-2</v>
      </c>
      <c r="H234" s="38">
        <f t="shared" si="31"/>
        <v>0.19239145076598044</v>
      </c>
      <c r="I234" s="32">
        <f t="shared" si="36"/>
        <v>121825.28646464925</v>
      </c>
      <c r="J234" s="47">
        <v>0</v>
      </c>
      <c r="K234" s="17">
        <v>-3.7999999999999999E-2</v>
      </c>
      <c r="L234" s="38">
        <f t="shared" si="32"/>
        <v>0.23800656272223072</v>
      </c>
      <c r="M234" s="31">
        <f t="shared" si="37"/>
        <v>150709.49134518061</v>
      </c>
      <c r="N234" s="47">
        <v>0</v>
      </c>
      <c r="O234" s="18">
        <v>3.4200000000000001E-2</v>
      </c>
      <c r="P234" s="38">
        <f t="shared" si="33"/>
        <v>0.22182061684941712</v>
      </c>
      <c r="Q234" s="32">
        <f t="shared" si="39"/>
        <v>140460.29635857313</v>
      </c>
      <c r="R234" s="47">
        <v>0</v>
      </c>
      <c r="S234" s="37">
        <f t="shared" si="34"/>
        <v>633215.69632963638</v>
      </c>
      <c r="T234" s="40">
        <f t="shared" si="38"/>
        <v>-3.5124045245788271E-2</v>
      </c>
    </row>
    <row r="235" spans="2:20" x14ac:dyDescent="0.35">
      <c r="B235" s="9" t="s">
        <v>229</v>
      </c>
      <c r="C235" s="20">
        <v>2.76E-2</v>
      </c>
      <c r="D235" s="38">
        <f t="shared" si="30"/>
        <v>0.34547149378478387</v>
      </c>
      <c r="E235" s="32">
        <f t="shared" si="35"/>
        <v>227742.3660208834</v>
      </c>
      <c r="F235" s="49">
        <v>1404.88</v>
      </c>
      <c r="G235" s="19">
        <v>6.2899999999999998E-2</v>
      </c>
      <c r="H235" s="38">
        <f t="shared" si="31"/>
        <v>0.20419375445029495</v>
      </c>
      <c r="I235" s="32">
        <f t="shared" si="36"/>
        <v>134608.98974827569</v>
      </c>
      <c r="J235" s="49">
        <v>4817.8500000000004</v>
      </c>
      <c r="K235" s="19">
        <v>5.62E-2</v>
      </c>
      <c r="L235" s="38">
        <f t="shared" si="32"/>
        <v>0.25363328878012781</v>
      </c>
      <c r="M235" s="31">
        <f t="shared" si="37"/>
        <v>167200.61228677977</v>
      </c>
      <c r="N235" s="49">
        <v>7594.44</v>
      </c>
      <c r="O235" s="18">
        <v>2.3900000000000001E-2</v>
      </c>
      <c r="P235" s="38">
        <f t="shared" si="33"/>
        <v>0.19670146298479338</v>
      </c>
      <c r="Q235" s="32">
        <f t="shared" si="39"/>
        <v>129669.90731754302</v>
      </c>
      <c r="R235" s="48">
        <v>-13817.16</v>
      </c>
      <c r="S235" s="37">
        <f t="shared" si="34"/>
        <v>659221.87537348189</v>
      </c>
      <c r="T235" s="40">
        <f t="shared" si="38"/>
        <v>4.1070016417134703E-2</v>
      </c>
    </row>
    <row r="236" spans="2:20" x14ac:dyDescent="0.35">
      <c r="B236" s="10" t="s">
        <v>230</v>
      </c>
      <c r="C236" s="16">
        <v>-0.01</v>
      </c>
      <c r="D236" s="38">
        <f t="shared" si="30"/>
        <v>0.35123902067493612</v>
      </c>
      <c r="E236" s="32">
        <f t="shared" si="35"/>
        <v>225464.94236067458</v>
      </c>
      <c r="F236" s="47">
        <v>0</v>
      </c>
      <c r="G236" s="17">
        <v>-1E-3</v>
      </c>
      <c r="H236" s="38">
        <f t="shared" si="31"/>
        <v>0.2094899956904871</v>
      </c>
      <c r="I236" s="32">
        <f t="shared" si="36"/>
        <v>134474.3807585274</v>
      </c>
      <c r="J236" s="47">
        <v>0</v>
      </c>
      <c r="K236" s="17">
        <v>-6.0400000000000002E-2</v>
      </c>
      <c r="L236" s="38">
        <f t="shared" si="32"/>
        <v>0.24473980312606186</v>
      </c>
      <c r="M236" s="31">
        <f t="shared" si="37"/>
        <v>157101.69530465826</v>
      </c>
      <c r="N236" s="47">
        <v>0</v>
      </c>
      <c r="O236" s="17">
        <v>-3.6999999999999998E-2</v>
      </c>
      <c r="P236" s="38">
        <f t="shared" si="33"/>
        <v>0.19453118050851484</v>
      </c>
      <c r="Q236" s="32">
        <f t="shared" si="39"/>
        <v>124872.12074679394</v>
      </c>
      <c r="R236" s="47">
        <v>0</v>
      </c>
      <c r="S236" s="37">
        <f t="shared" si="34"/>
        <v>641913.13917065423</v>
      </c>
      <c r="T236" s="40">
        <f t="shared" si="38"/>
        <v>-2.6256313465055192E-2</v>
      </c>
    </row>
    <row r="237" spans="2:20" x14ac:dyDescent="0.35">
      <c r="B237" s="11" t="s">
        <v>231</v>
      </c>
      <c r="C237" s="20">
        <v>1.38E-2</v>
      </c>
      <c r="D237" s="38">
        <f t="shared" si="30"/>
        <v>0.35488726344243066</v>
      </c>
      <c r="E237" s="32">
        <f t="shared" si="35"/>
        <v>228576.3585652519</v>
      </c>
      <c r="F237" s="47">
        <v>0</v>
      </c>
      <c r="G237" s="17">
        <v>-7.1400000000000005E-2</v>
      </c>
      <c r="H237" s="38">
        <f t="shared" si="31"/>
        <v>0.19387746649020141</v>
      </c>
      <c r="I237" s="32">
        <f t="shared" si="36"/>
        <v>124872.90997236855</v>
      </c>
      <c r="J237" s="47">
        <v>0</v>
      </c>
      <c r="K237" s="19">
        <v>1.0999999999999999E-2</v>
      </c>
      <c r="L237" s="38">
        <f t="shared" si="32"/>
        <v>0.24659889754417835</v>
      </c>
      <c r="M237" s="31">
        <f t="shared" si="37"/>
        <v>158829.81395300949</v>
      </c>
      <c r="N237" s="47">
        <v>0</v>
      </c>
      <c r="O237" s="18">
        <v>5.5500000000000001E-2</v>
      </c>
      <c r="P237" s="38">
        <f t="shared" si="33"/>
        <v>0.20463637252318961</v>
      </c>
      <c r="Q237" s="32">
        <f t="shared" si="39"/>
        <v>131802.523448241</v>
      </c>
      <c r="R237" s="47">
        <v>0</v>
      </c>
      <c r="S237" s="37">
        <f t="shared" si="34"/>
        <v>644081.60593887093</v>
      </c>
      <c r="T237" s="40">
        <f t="shared" si="38"/>
        <v>3.378131145622465E-3</v>
      </c>
    </row>
    <row r="238" spans="2:20" x14ac:dyDescent="0.35">
      <c r="B238" s="10" t="s">
        <v>232</v>
      </c>
      <c r="C238" s="16">
        <v>-8.6E-3</v>
      </c>
      <c r="D238" s="38">
        <f t="shared" si="30"/>
        <v>0.35943044697273108</v>
      </c>
      <c r="E238" s="32">
        <f t="shared" si="35"/>
        <v>226610.60188159073</v>
      </c>
      <c r="F238" s="47">
        <v>0</v>
      </c>
      <c r="G238" s="17">
        <v>-4.0500000000000001E-2</v>
      </c>
      <c r="H238" s="38">
        <f t="shared" si="31"/>
        <v>0.19004123766410294</v>
      </c>
      <c r="I238" s="32">
        <f t="shared" si="36"/>
        <v>119815.55711848762</v>
      </c>
      <c r="J238" s="47">
        <v>0</v>
      </c>
      <c r="K238" s="17">
        <v>-3.1099999999999999E-2</v>
      </c>
      <c r="L238" s="38">
        <f t="shared" si="32"/>
        <v>0.24408754636225038</v>
      </c>
      <c r="M238" s="31">
        <f t="shared" si="37"/>
        <v>153890.20673907088</v>
      </c>
      <c r="N238" s="47">
        <v>0</v>
      </c>
      <c r="O238" s="17">
        <v>-1.2500000000000001E-2</v>
      </c>
      <c r="P238" s="38">
        <f t="shared" si="33"/>
        <v>0.20644076900091568</v>
      </c>
      <c r="Q238" s="32">
        <f t="shared" si="39"/>
        <v>130154.99190513798</v>
      </c>
      <c r="R238" s="47">
        <v>0</v>
      </c>
      <c r="S238" s="37">
        <f t="shared" si="34"/>
        <v>630471.35764428717</v>
      </c>
      <c r="T238" s="40">
        <f t="shared" si="38"/>
        <v>-2.1131248228622002E-2</v>
      </c>
    </row>
    <row r="239" spans="2:20" x14ac:dyDescent="0.35">
      <c r="B239" s="11" t="s">
        <v>233</v>
      </c>
      <c r="C239" s="20">
        <v>1.43E-2</v>
      </c>
      <c r="D239" s="38">
        <f t="shared" si="30"/>
        <v>0.36371133696310148</v>
      </c>
      <c r="E239" s="32">
        <f t="shared" si="35"/>
        <v>229851.13348849746</v>
      </c>
      <c r="F239" s="47">
        <v>0</v>
      </c>
      <c r="G239" s="19">
        <v>3.5000000000000001E-3</v>
      </c>
      <c r="H239" s="38">
        <f t="shared" si="31"/>
        <v>0.19025705800303275</v>
      </c>
      <c r="I239" s="32">
        <f t="shared" si="36"/>
        <v>120234.91156840233</v>
      </c>
      <c r="J239" s="47">
        <v>0</v>
      </c>
      <c r="K239" s="17">
        <v>-1.2500000000000001E-2</v>
      </c>
      <c r="L239" s="38">
        <f t="shared" si="32"/>
        <v>0.24046854518069674</v>
      </c>
      <c r="M239" s="31">
        <f t="shared" si="37"/>
        <v>151966.57915483249</v>
      </c>
      <c r="N239" s="47">
        <v>0</v>
      </c>
      <c r="O239" s="21">
        <v>-1.9E-3</v>
      </c>
      <c r="P239" s="38">
        <f t="shared" si="33"/>
        <v>0.20556305985316894</v>
      </c>
      <c r="Q239" s="32">
        <f t="shared" si="39"/>
        <v>129907.69742051822</v>
      </c>
      <c r="R239" s="47">
        <v>0</v>
      </c>
      <c r="S239" s="37">
        <f t="shared" si="34"/>
        <v>631960.32163225056</v>
      </c>
      <c r="T239" s="40">
        <f t="shared" si="38"/>
        <v>2.3616679329045986E-3</v>
      </c>
    </row>
    <row r="240" spans="2:20" x14ac:dyDescent="0.35">
      <c r="B240" s="10" t="s">
        <v>234</v>
      </c>
      <c r="C240" s="20">
        <v>2.6700000000000002E-2</v>
      </c>
      <c r="D240" s="38">
        <f t="shared" si="30"/>
        <v>0.37148824444035355</v>
      </c>
      <c r="E240" s="32">
        <f t="shared" si="35"/>
        <v>235988.15875264036</v>
      </c>
      <c r="F240" s="47">
        <v>0</v>
      </c>
      <c r="G240" s="19">
        <v>3.9300000000000002E-2</v>
      </c>
      <c r="H240" s="38">
        <f t="shared" si="31"/>
        <v>0.1967099731349285</v>
      </c>
      <c r="I240" s="32">
        <f t="shared" si="36"/>
        <v>124960.14359304054</v>
      </c>
      <c r="J240" s="47">
        <v>0</v>
      </c>
      <c r="K240" s="17">
        <v>-1.1000000000000001E-3</v>
      </c>
      <c r="L240" s="38">
        <f t="shared" si="32"/>
        <v>0.23895986486961646</v>
      </c>
      <c r="M240" s="31">
        <f t="shared" si="37"/>
        <v>151799.41591776218</v>
      </c>
      <c r="N240" s="47">
        <v>0</v>
      </c>
      <c r="O240" s="17">
        <v>-5.7000000000000002E-2</v>
      </c>
      <c r="P240" s="38">
        <f t="shared" si="33"/>
        <v>0.19284191755510141</v>
      </c>
      <c r="Q240" s="32">
        <f t="shared" si="39"/>
        <v>122502.95866754868</v>
      </c>
      <c r="R240" s="47">
        <v>0</v>
      </c>
      <c r="S240" s="37">
        <f t="shared" si="34"/>
        <v>635250.67693099182</v>
      </c>
      <c r="T240" s="40">
        <f t="shared" si="38"/>
        <v>5.2065852651046463E-3</v>
      </c>
    </row>
    <row r="241" spans="2:20" x14ac:dyDescent="0.35">
      <c r="B241" s="11" t="s">
        <v>235</v>
      </c>
      <c r="C241" s="20">
        <v>5.1000000000000004E-3</v>
      </c>
      <c r="D241" s="38">
        <f t="shared" si="30"/>
        <v>0.36737710995218203</v>
      </c>
      <c r="E241" s="32">
        <f t="shared" si="35"/>
        <v>237191.69836227884</v>
      </c>
      <c r="F241" s="47">
        <v>0</v>
      </c>
      <c r="G241" s="19">
        <v>3.4299999999999997E-2</v>
      </c>
      <c r="H241" s="38">
        <f t="shared" si="31"/>
        <v>0.20018459274592446</v>
      </c>
      <c r="I241" s="32">
        <f t="shared" si="36"/>
        <v>129246.27651828184</v>
      </c>
      <c r="J241" s="47">
        <v>0</v>
      </c>
      <c r="K241" s="19">
        <v>3.3700000000000001E-2</v>
      </c>
      <c r="L241" s="38">
        <f t="shared" si="32"/>
        <v>0.24303970276081494</v>
      </c>
      <c r="M241" s="31">
        <f t="shared" si="37"/>
        <v>156915.05623419076</v>
      </c>
      <c r="N241" s="47">
        <v>0</v>
      </c>
      <c r="O241" s="21">
        <v>-1.8E-3</v>
      </c>
      <c r="P241" s="38">
        <f t="shared" si="33"/>
        <v>0.1893985945410786</v>
      </c>
      <c r="Q241" s="32">
        <f t="shared" si="39"/>
        <v>122282.4533419471</v>
      </c>
      <c r="R241" s="47">
        <v>0</v>
      </c>
      <c r="S241" s="37">
        <f t="shared" si="34"/>
        <v>645635.48445669853</v>
      </c>
      <c r="T241" s="40">
        <f t="shared" si="38"/>
        <v>1.6347574119680575E-2</v>
      </c>
    </row>
    <row r="242" spans="2:20" x14ac:dyDescent="0.35">
      <c r="B242" s="10" t="s">
        <v>236</v>
      </c>
      <c r="C242" s="18">
        <v>1.4999999999999999E-2</v>
      </c>
      <c r="D242" s="38">
        <f t="shared" si="30"/>
        <v>0.37404526803667448</v>
      </c>
      <c r="E242" s="32">
        <f t="shared" si="35"/>
        <v>240749.57383771302</v>
      </c>
      <c r="F242" s="47">
        <v>0</v>
      </c>
      <c r="G242" s="17">
        <v>-1.9199999999999998E-2</v>
      </c>
      <c r="H242" s="38">
        <f t="shared" si="31"/>
        <v>0.19695052161811652</v>
      </c>
      <c r="I242" s="32">
        <f t="shared" si="36"/>
        <v>126764.74800913082</v>
      </c>
      <c r="J242" s="47">
        <v>0</v>
      </c>
      <c r="K242" s="17">
        <v>-3.5099999999999999E-2</v>
      </c>
      <c r="L242" s="38">
        <f t="shared" si="32"/>
        <v>0.23523696151368079</v>
      </c>
      <c r="M242" s="31">
        <f t="shared" si="37"/>
        <v>151407.33776037066</v>
      </c>
      <c r="N242" s="47">
        <v>0</v>
      </c>
      <c r="O242" s="18">
        <v>1.9900000000000001E-2</v>
      </c>
      <c r="P242" s="38">
        <f t="shared" si="33"/>
        <v>0.19376724883152818</v>
      </c>
      <c r="Q242" s="32">
        <f t="shared" si="39"/>
        <v>124715.87416345184</v>
      </c>
      <c r="R242" s="47">
        <v>0</v>
      </c>
      <c r="S242" s="37">
        <f t="shared" si="34"/>
        <v>643637.53377066634</v>
      </c>
      <c r="T242" s="40">
        <f t="shared" si="38"/>
        <v>-3.0945490669761488E-3</v>
      </c>
    </row>
    <row r="243" spans="2:20" x14ac:dyDescent="0.35">
      <c r="B243" s="11" t="s">
        <v>237</v>
      </c>
      <c r="C243" s="17">
        <v>-2.1299999999999999E-2</v>
      </c>
      <c r="D243" s="38">
        <f t="shared" si="30"/>
        <v>0.37343081969745845</v>
      </c>
      <c r="E243" s="32">
        <f t="shared" si="35"/>
        <v>235621.60791496973</v>
      </c>
      <c r="F243" s="47">
        <v>0</v>
      </c>
      <c r="G243" s="17">
        <v>-3.5999999999999997E-2</v>
      </c>
      <c r="H243" s="38">
        <f t="shared" si="31"/>
        <v>0.19367366629201138</v>
      </c>
      <c r="I243" s="32">
        <f t="shared" si="36"/>
        <v>122201.21708080212</v>
      </c>
      <c r="J243" s="47">
        <v>0</v>
      </c>
      <c r="K243" s="17">
        <v>-3.3E-3</v>
      </c>
      <c r="L243" s="38">
        <f t="shared" si="32"/>
        <v>0.23916984608552214</v>
      </c>
      <c r="M243" s="31">
        <f t="shared" si="37"/>
        <v>150907.69354576143</v>
      </c>
      <c r="N243" s="47">
        <v>0</v>
      </c>
      <c r="O243" s="17">
        <v>-1.9900000000000001E-2</v>
      </c>
      <c r="P243" s="38">
        <f t="shared" si="33"/>
        <v>0.19372566792500798</v>
      </c>
      <c r="Q243" s="32">
        <f t="shared" si="39"/>
        <v>122234.02826759915</v>
      </c>
      <c r="R243" s="47">
        <v>0</v>
      </c>
      <c r="S243" s="37">
        <f t="shared" si="34"/>
        <v>630964.54680913244</v>
      </c>
      <c r="T243" s="40">
        <f t="shared" si="38"/>
        <v>-1.9689633212175872E-2</v>
      </c>
    </row>
    <row r="244" spans="2:20" x14ac:dyDescent="0.35">
      <c r="B244" s="10" t="s">
        <v>238</v>
      </c>
      <c r="C244" s="17">
        <v>-1.9300000000000001E-2</v>
      </c>
      <c r="D244" s="38">
        <f t="shared" si="30"/>
        <v>0.37089346193715689</v>
      </c>
      <c r="E244" s="32">
        <f t="shared" si="35"/>
        <v>231074.11088221081</v>
      </c>
      <c r="F244" s="47">
        <v>0</v>
      </c>
      <c r="G244" s="17">
        <v>-6.6600000000000006E-2</v>
      </c>
      <c r="H244" s="38">
        <f t="shared" si="31"/>
        <v>0.18308013118797981</v>
      </c>
      <c r="I244" s="32">
        <f t="shared" si="36"/>
        <v>114062.6160232207</v>
      </c>
      <c r="J244" s="47">
        <v>0</v>
      </c>
      <c r="K244" s="17">
        <v>-3.0300000000000001E-2</v>
      </c>
      <c r="L244" s="38">
        <f t="shared" si="32"/>
        <v>0.23488033849873194</v>
      </c>
      <c r="M244" s="31">
        <f t="shared" si="37"/>
        <v>146335.19043132485</v>
      </c>
      <c r="N244" s="47">
        <v>0</v>
      </c>
      <c r="O244" s="18">
        <v>7.6200000000000004E-2</v>
      </c>
      <c r="P244" s="38">
        <f t="shared" si="33"/>
        <v>0.21114606837613131</v>
      </c>
      <c r="Q244" s="32">
        <f t="shared" si="39"/>
        <v>131548.26122159019</v>
      </c>
      <c r="R244" s="47">
        <v>0</v>
      </c>
      <c r="S244" s="37">
        <f t="shared" si="34"/>
        <v>623020.17855834658</v>
      </c>
      <c r="T244" s="40">
        <f t="shared" si="38"/>
        <v>-1.25908314357146E-2</v>
      </c>
    </row>
    <row r="245" spans="2:20" x14ac:dyDescent="0.35">
      <c r="B245" s="11" t="s">
        <v>239</v>
      </c>
      <c r="C245" s="18">
        <v>5.8500000000000003E-2</v>
      </c>
      <c r="D245" s="38">
        <f t="shared" si="30"/>
        <v>0.3761911887955639</v>
      </c>
      <c r="E245" s="32">
        <f t="shared" si="35"/>
        <v>244591.94636882015</v>
      </c>
      <c r="F245" s="47">
        <v>0</v>
      </c>
      <c r="G245" s="19">
        <v>6.13E-2</v>
      </c>
      <c r="H245" s="38">
        <f t="shared" si="31"/>
        <v>0.18618640154989832</v>
      </c>
      <c r="I245" s="32">
        <f t="shared" si="36"/>
        <v>121054.65438544413</v>
      </c>
      <c r="J245" s="47">
        <v>0</v>
      </c>
      <c r="K245" s="19">
        <v>4.7600000000000003E-2</v>
      </c>
      <c r="L245" s="38">
        <f t="shared" si="32"/>
        <v>0.23578204657798116</v>
      </c>
      <c r="M245" s="31">
        <f t="shared" si="37"/>
        <v>153300.74549585592</v>
      </c>
      <c r="N245" s="47">
        <v>0</v>
      </c>
      <c r="O245" s="21">
        <v>-2.3999999999999998E-3</v>
      </c>
      <c r="P245" s="38">
        <f t="shared" si="33"/>
        <v>0.20184036307655667</v>
      </c>
      <c r="Q245" s="32">
        <f t="shared" si="39"/>
        <v>131232.54539465837</v>
      </c>
      <c r="R245" s="47">
        <v>0</v>
      </c>
      <c r="S245" s="37">
        <f t="shared" si="34"/>
        <v>650179.89164477855</v>
      </c>
      <c r="T245" s="40">
        <f t="shared" si="38"/>
        <v>4.3593633113583774E-2</v>
      </c>
    </row>
    <row r="246" spans="2:20" x14ac:dyDescent="0.35">
      <c r="B246" s="10" t="s">
        <v>240</v>
      </c>
      <c r="C246" s="18">
        <v>3.2800000000000003E-2</v>
      </c>
      <c r="D246" s="38">
        <f t="shared" si="30"/>
        <v>0.44870364471654356</v>
      </c>
      <c r="E246" s="32">
        <f t="shared" si="35"/>
        <v>302177.60140971746</v>
      </c>
      <c r="F246" s="49">
        <v>47989</v>
      </c>
      <c r="G246" s="19">
        <v>0.10489999999999999</v>
      </c>
      <c r="H246" s="38">
        <f t="shared" si="31"/>
        <v>0.19861031185842659</v>
      </c>
      <c r="I246" s="32">
        <f t="shared" si="36"/>
        <v>133753.28763047722</v>
      </c>
      <c r="J246" s="47">
        <v>0</v>
      </c>
      <c r="K246" s="19">
        <v>5.3E-3</v>
      </c>
      <c r="L246" s="38">
        <f t="shared" si="32"/>
        <v>0.22884281269138212</v>
      </c>
      <c r="M246" s="31">
        <f t="shared" si="37"/>
        <v>154113.23944698396</v>
      </c>
      <c r="N246" s="47">
        <v>0</v>
      </c>
      <c r="O246" s="22">
        <v>1.9E-3</v>
      </c>
      <c r="P246" s="38">
        <f t="shared" si="33"/>
        <v>0.12384323073364784</v>
      </c>
      <c r="Q246" s="32">
        <f t="shared" si="39"/>
        <v>83401.708130908228</v>
      </c>
      <c r="R246" s="48">
        <v>-47989</v>
      </c>
      <c r="S246" s="37">
        <f t="shared" si="34"/>
        <v>673445.83661808679</v>
      </c>
      <c r="T246" s="40">
        <f t="shared" si="38"/>
        <v>3.5783858086493092E-2</v>
      </c>
    </row>
    <row r="247" spans="2:20" x14ac:dyDescent="0.35">
      <c r="B247" s="9" t="s">
        <v>241</v>
      </c>
      <c r="C247" s="18">
        <v>3.73E-2</v>
      </c>
      <c r="D247" s="38">
        <f t="shared" si="30"/>
        <v>0.46323431647850932</v>
      </c>
      <c r="E247" s="32">
        <f t="shared" si="35"/>
        <v>314354.41996129998</v>
      </c>
      <c r="F247" s="49">
        <v>873.03</v>
      </c>
      <c r="G247" s="17">
        <v>-1.8800000000000001E-2</v>
      </c>
      <c r="H247" s="38">
        <f t="shared" si="31"/>
        <v>0.19474726264455949</v>
      </c>
      <c r="I247" s="32">
        <f t="shared" si="36"/>
        <v>132157.01127902424</v>
      </c>
      <c r="J247" s="49">
        <v>935.88</v>
      </c>
      <c r="K247" s="17">
        <v>-2.52E-2</v>
      </c>
      <c r="L247" s="38">
        <f t="shared" si="32"/>
        <v>0.24184624888297573</v>
      </c>
      <c r="M247" s="31">
        <f t="shared" si="37"/>
        <v>164118.75066891997</v>
      </c>
      <c r="N247" s="49">
        <v>14248.22</v>
      </c>
      <c r="O247" s="18">
        <v>9.4000000000000004E-3</v>
      </c>
      <c r="P247" s="38">
        <f t="shared" si="33"/>
        <v>0.10017217199395556</v>
      </c>
      <c r="Q247" s="32">
        <f t="shared" si="39"/>
        <v>67977.617165338757</v>
      </c>
      <c r="R247" s="48">
        <v>-16057.13</v>
      </c>
      <c r="S247" s="37">
        <f t="shared" si="34"/>
        <v>678607.79907458287</v>
      </c>
      <c r="T247" s="40">
        <f t="shared" si="38"/>
        <v>7.6650001764335673E-3</v>
      </c>
    </row>
    <row r="248" spans="2:20" x14ac:dyDescent="0.35">
      <c r="B248" s="10" t="s">
        <v>242</v>
      </c>
      <c r="C248" s="18">
        <v>5.4699999999999999E-2</v>
      </c>
      <c r="D248" s="38">
        <f t="shared" si="30"/>
        <v>0.46609404467716925</v>
      </c>
      <c r="E248" s="32">
        <f t="shared" si="35"/>
        <v>331549.60673318309</v>
      </c>
      <c r="F248" s="47">
        <v>0</v>
      </c>
      <c r="G248" s="19">
        <v>5.9299999999999999E-2</v>
      </c>
      <c r="H248" s="38">
        <f t="shared" si="31"/>
        <v>0.19680413438108199</v>
      </c>
      <c r="I248" s="32">
        <f t="shared" si="36"/>
        <v>139993.92204787038</v>
      </c>
      <c r="J248" s="47">
        <v>0</v>
      </c>
      <c r="K248" s="19">
        <v>4.4699999999999997E-2</v>
      </c>
      <c r="L248" s="38">
        <f t="shared" si="32"/>
        <v>0.24103207184033568</v>
      </c>
      <c r="M248" s="31">
        <f t="shared" si="37"/>
        <v>171454.85882382069</v>
      </c>
      <c r="N248" s="47">
        <v>0</v>
      </c>
      <c r="O248" s="22">
        <v>5.3E-3</v>
      </c>
      <c r="P248" s="38">
        <f t="shared" si="33"/>
        <v>9.6069749101413124E-2</v>
      </c>
      <c r="Q248" s="32">
        <f t="shared" si="39"/>
        <v>68337.898536315057</v>
      </c>
      <c r="R248" s="47">
        <v>0</v>
      </c>
      <c r="S248" s="37">
        <f t="shared" si="34"/>
        <v>711336.28614118916</v>
      </c>
      <c r="T248" s="40">
        <f t="shared" si="38"/>
        <v>4.8228869622833903E-2</v>
      </c>
    </row>
    <row r="249" spans="2:20" x14ac:dyDescent="0.35">
      <c r="B249" s="11" t="s">
        <v>243</v>
      </c>
      <c r="C249" s="18">
        <v>3.6400000000000002E-2</v>
      </c>
      <c r="D249" s="38">
        <f t="shared" si="30"/>
        <v>0.46376300521438907</v>
      </c>
      <c r="E249" s="32">
        <f t="shared" si="35"/>
        <v>343618.01241827093</v>
      </c>
      <c r="F249" s="47">
        <v>0</v>
      </c>
      <c r="G249" s="19">
        <v>3.7600000000000001E-2</v>
      </c>
      <c r="H249" s="38">
        <f t="shared" si="31"/>
        <v>0.19604660419807637</v>
      </c>
      <c r="I249" s="32">
        <f t="shared" si="36"/>
        <v>145257.69351687032</v>
      </c>
      <c r="J249" s="47">
        <v>0</v>
      </c>
      <c r="K249" s="19">
        <v>3.2599999999999997E-2</v>
      </c>
      <c r="L249" s="38">
        <f t="shared" si="32"/>
        <v>0.23894728370038718</v>
      </c>
      <c r="M249" s="31">
        <f t="shared" si="37"/>
        <v>177044.28722147725</v>
      </c>
      <c r="N249" s="47">
        <v>0</v>
      </c>
      <c r="O249" s="18">
        <v>9.7699999999999995E-2</v>
      </c>
      <c r="P249" s="38">
        <f t="shared" si="33"/>
        <v>0.10124310688714747</v>
      </c>
      <c r="Q249" s="32">
        <f t="shared" si="39"/>
        <v>75014.511223313035</v>
      </c>
      <c r="R249" s="47">
        <v>0</v>
      </c>
      <c r="S249" s="37">
        <f t="shared" si="34"/>
        <v>740934.50437993149</v>
      </c>
      <c r="T249" s="40">
        <f t="shared" si="38"/>
        <v>4.1609318708180743E-2</v>
      </c>
    </row>
    <row r="250" spans="2:20" x14ac:dyDescent="0.35">
      <c r="B250" s="10" t="s">
        <v>244</v>
      </c>
      <c r="C250" s="17">
        <v>-1.7500000000000002E-2</v>
      </c>
      <c r="D250" s="38">
        <f t="shared" si="30"/>
        <v>0.45860257051577058</v>
      </c>
      <c r="E250" s="32">
        <f t="shared" si="35"/>
        <v>337604.69720095117</v>
      </c>
      <c r="F250" s="47">
        <v>0</v>
      </c>
      <c r="G250" s="17">
        <v>-4.4999999999999998E-2</v>
      </c>
      <c r="H250" s="38">
        <f t="shared" si="31"/>
        <v>0.18843888233175382</v>
      </c>
      <c r="I250" s="32">
        <f t="shared" si="36"/>
        <v>138721.09730861115</v>
      </c>
      <c r="J250" s="47">
        <v>0</v>
      </c>
      <c r="K250" s="19">
        <v>2.29E-2</v>
      </c>
      <c r="L250" s="38">
        <f t="shared" si="32"/>
        <v>0.24600452780101045</v>
      </c>
      <c r="M250" s="31">
        <f t="shared" si="37"/>
        <v>181098.60139884907</v>
      </c>
      <c r="N250" s="47">
        <v>0</v>
      </c>
      <c r="O250" s="18">
        <v>4.9599999999999998E-2</v>
      </c>
      <c r="P250" s="38">
        <f t="shared" si="33"/>
        <v>0.10695401935146512</v>
      </c>
      <c r="Q250" s="32">
        <f t="shared" si="39"/>
        <v>78735.230979989356</v>
      </c>
      <c r="R250" s="47">
        <v>0</v>
      </c>
      <c r="S250" s="37">
        <f t="shared" si="34"/>
        <v>736159.62688840076</v>
      </c>
      <c r="T250" s="40">
        <f t="shared" si="38"/>
        <v>-6.4443988818237985E-3</v>
      </c>
    </row>
    <row r="251" spans="2:20" x14ac:dyDescent="0.35">
      <c r="B251" s="11" t="s">
        <v>245</v>
      </c>
      <c r="C251" s="18">
        <v>6.5600000000000006E-2</v>
      </c>
      <c r="D251" s="38">
        <f t="shared" si="30"/>
        <v>0.46291778452910159</v>
      </c>
      <c r="E251" s="32">
        <f t="shared" si="35"/>
        <v>359751.5653373336</v>
      </c>
      <c r="F251" s="47">
        <v>0</v>
      </c>
      <c r="G251" s="19">
        <v>6.8000000000000005E-2</v>
      </c>
      <c r="H251" s="38">
        <f t="shared" si="31"/>
        <v>0.19064040056509568</v>
      </c>
      <c r="I251" s="32">
        <f t="shared" si="36"/>
        <v>148154.13192559671</v>
      </c>
      <c r="J251" s="47">
        <v>0</v>
      </c>
      <c r="K251" s="19">
        <v>3.6600000000000001E-2</v>
      </c>
      <c r="L251" s="38">
        <f t="shared" si="32"/>
        <v>0.24156136470918008</v>
      </c>
      <c r="M251" s="31">
        <f t="shared" si="37"/>
        <v>187726.81021004694</v>
      </c>
      <c r="N251" s="47">
        <v>0</v>
      </c>
      <c r="O251" s="18">
        <v>3.5200000000000002E-2</v>
      </c>
      <c r="P251" s="38">
        <f t="shared" si="33"/>
        <v>0.10488045019662254</v>
      </c>
      <c r="Q251" s="32">
        <f t="shared" si="39"/>
        <v>81506.711110484976</v>
      </c>
      <c r="R251" s="47">
        <v>0</v>
      </c>
      <c r="S251" s="37">
        <f t="shared" si="34"/>
        <v>777139.21858346229</v>
      </c>
      <c r="T251" s="40">
        <f t="shared" si="38"/>
        <v>5.5666719823082467E-2</v>
      </c>
    </row>
    <row r="252" spans="2:20" x14ac:dyDescent="0.35">
      <c r="B252" s="10" t="s">
        <v>246</v>
      </c>
      <c r="C252" s="18">
        <v>9.3799999999999994E-2</v>
      </c>
      <c r="D252" s="38">
        <f t="shared" si="30"/>
        <v>0.47050164980302511</v>
      </c>
      <c r="E252" s="32">
        <f t="shared" si="35"/>
        <v>393496.26216597547</v>
      </c>
      <c r="F252" s="47">
        <v>0</v>
      </c>
      <c r="G252" s="19">
        <v>4.24E-2</v>
      </c>
      <c r="H252" s="38">
        <f t="shared" si="31"/>
        <v>0.18465824775157683</v>
      </c>
      <c r="I252" s="32">
        <f t="shared" si="36"/>
        <v>154435.867119242</v>
      </c>
      <c r="J252" s="47">
        <v>0</v>
      </c>
      <c r="K252" s="19">
        <v>7.7399999999999997E-2</v>
      </c>
      <c r="L252" s="38">
        <f t="shared" si="32"/>
        <v>0.24183759279790173</v>
      </c>
      <c r="M252" s="31">
        <f t="shared" si="37"/>
        <v>202256.86532030458</v>
      </c>
      <c r="N252" s="47">
        <v>0</v>
      </c>
      <c r="O252" s="18">
        <v>5.6899999999999999E-2</v>
      </c>
      <c r="P252" s="38">
        <f t="shared" si="33"/>
        <v>0.10300250964749622</v>
      </c>
      <c r="Q252" s="32">
        <f t="shared" si="39"/>
        <v>86144.442972671575</v>
      </c>
      <c r="R252" s="47">
        <v>0</v>
      </c>
      <c r="S252" s="37">
        <f t="shared" si="34"/>
        <v>836333.43757819373</v>
      </c>
      <c r="T252" s="40">
        <f t="shared" si="38"/>
        <v>7.616938841746812E-2</v>
      </c>
    </row>
    <row r="253" spans="2:20" x14ac:dyDescent="0.35">
      <c r="B253" s="11" t="s">
        <v>247</v>
      </c>
      <c r="C253" s="18">
        <v>3.1800000000000002E-2</v>
      </c>
      <c r="D253" s="38">
        <f t="shared" si="30"/>
        <v>0.46115037788192181</v>
      </c>
      <c r="E253" s="32">
        <f t="shared" si="35"/>
        <v>406009.4433028535</v>
      </c>
      <c r="F253" s="47">
        <v>0</v>
      </c>
      <c r="G253" s="19">
        <v>0.12570000000000001</v>
      </c>
      <c r="H253" s="38">
        <f t="shared" si="31"/>
        <v>0.19745915353443147</v>
      </c>
      <c r="I253" s="32">
        <f t="shared" si="36"/>
        <v>173848.45561613073</v>
      </c>
      <c r="J253" s="47">
        <v>0</v>
      </c>
      <c r="K253" s="19">
        <v>2.8899999999999999E-2</v>
      </c>
      <c r="L253" s="38">
        <f t="shared" si="32"/>
        <v>0.2363648393847303</v>
      </c>
      <c r="M253" s="31">
        <f t="shared" si="37"/>
        <v>208102.08872806138</v>
      </c>
      <c r="N253" s="47">
        <v>0</v>
      </c>
      <c r="O253" s="18">
        <v>7.3400000000000007E-2</v>
      </c>
      <c r="P253" s="38">
        <f t="shared" si="33"/>
        <v>0.10502562919891639</v>
      </c>
      <c r="Q253" s="32">
        <f t="shared" si="39"/>
        <v>92467.445086865671</v>
      </c>
      <c r="R253" s="47">
        <v>0</v>
      </c>
      <c r="S253" s="37">
        <f t="shared" si="34"/>
        <v>880427.43273391132</v>
      </c>
      <c r="T253" s="40">
        <f t="shared" si="38"/>
        <v>5.2722984846094834E-2</v>
      </c>
    </row>
    <row r="254" spans="2:20" x14ac:dyDescent="0.35">
      <c r="B254" s="10" t="s">
        <v>248</v>
      </c>
      <c r="C254" s="18">
        <v>2.5999999999999999E-2</v>
      </c>
      <c r="D254" s="38">
        <f t="shared" si="30"/>
        <v>0.46613716361216678</v>
      </c>
      <c r="E254" s="32">
        <f t="shared" si="35"/>
        <v>416565.6888287277</v>
      </c>
      <c r="F254" s="47">
        <v>0</v>
      </c>
      <c r="G254" s="17">
        <v>-1.38E-2</v>
      </c>
      <c r="H254" s="38">
        <f t="shared" si="31"/>
        <v>0.19185188416544791</v>
      </c>
      <c r="I254" s="32">
        <f t="shared" si="36"/>
        <v>171449.34692862813</v>
      </c>
      <c r="J254" s="47">
        <v>0</v>
      </c>
      <c r="K254" s="19">
        <v>1.29E-2</v>
      </c>
      <c r="L254" s="38">
        <f t="shared" si="32"/>
        <v>0.23587029160264078</v>
      </c>
      <c r="M254" s="31">
        <f t="shared" si="37"/>
        <v>210786.60567265339</v>
      </c>
      <c r="N254" s="47">
        <v>0</v>
      </c>
      <c r="O254" s="18">
        <v>2.58E-2</v>
      </c>
      <c r="P254" s="38">
        <f t="shared" si="33"/>
        <v>0.10614066061974466</v>
      </c>
      <c r="Q254" s="32">
        <f t="shared" si="39"/>
        <v>94853.105170106806</v>
      </c>
      <c r="R254" s="47">
        <v>0</v>
      </c>
      <c r="S254" s="37">
        <f t="shared" si="34"/>
        <v>893654.7466001159</v>
      </c>
      <c r="T254" s="40">
        <f t="shared" si="38"/>
        <v>1.5023741167549787E-2</v>
      </c>
    </row>
    <row r="255" spans="2:20" x14ac:dyDescent="0.35">
      <c r="B255" s="11" t="s">
        <v>249</v>
      </c>
      <c r="C255" s="17">
        <v>-1.52E-2</v>
      </c>
      <c r="D255" s="38">
        <f t="shared" si="30"/>
        <v>0.4620556619843022</v>
      </c>
      <c r="E255" s="32">
        <f t="shared" si="35"/>
        <v>410233.89035853103</v>
      </c>
      <c r="F255" s="47">
        <v>0</v>
      </c>
      <c r="G255" s="17">
        <v>-3.1199999999999999E-2</v>
      </c>
      <c r="H255" s="38">
        <f t="shared" si="31"/>
        <v>0.18708231104519907</v>
      </c>
      <c r="I255" s="32">
        <f t="shared" si="36"/>
        <v>166100.12730445495</v>
      </c>
      <c r="J255" s="47">
        <v>0</v>
      </c>
      <c r="K255" s="19">
        <v>2.07E-2</v>
      </c>
      <c r="L255" s="38">
        <f t="shared" si="32"/>
        <v>0.24232816071896168</v>
      </c>
      <c r="M255" s="31">
        <f t="shared" si="37"/>
        <v>215149.88841007731</v>
      </c>
      <c r="N255" s="47">
        <v>0</v>
      </c>
      <c r="O255" s="18">
        <v>1.5900000000000001E-2</v>
      </c>
      <c r="P255" s="38">
        <f t="shared" si="33"/>
        <v>0.10853386625153705</v>
      </c>
      <c r="Q255" s="32">
        <f t="shared" si="39"/>
        <v>96361.269542311507</v>
      </c>
      <c r="R255" s="47">
        <v>0</v>
      </c>
      <c r="S255" s="37">
        <f t="shared" si="34"/>
        <v>887845.17561537481</v>
      </c>
      <c r="T255" s="40">
        <f t="shared" si="38"/>
        <v>-6.5009121328380992E-3</v>
      </c>
    </row>
    <row r="256" spans="2:20" x14ac:dyDescent="0.35">
      <c r="B256" s="10" t="s">
        <v>250</v>
      </c>
      <c r="C256" s="18">
        <v>5.04E-2</v>
      </c>
      <c r="D256" s="38">
        <f t="shared" si="30"/>
        <v>0.46217506615091347</v>
      </c>
      <c r="E256" s="32">
        <f t="shared" si="35"/>
        <v>430909.67843260098</v>
      </c>
      <c r="F256" s="47">
        <v>0</v>
      </c>
      <c r="G256" s="19">
        <v>4.5900000000000003E-2</v>
      </c>
      <c r="H256" s="38">
        <f t="shared" si="31"/>
        <v>0.18632897362589568</v>
      </c>
      <c r="I256" s="32">
        <f t="shared" si="36"/>
        <v>173724.12314772944</v>
      </c>
      <c r="J256" s="47">
        <v>0</v>
      </c>
      <c r="K256" s="19">
        <v>2.8299999999999999E-2</v>
      </c>
      <c r="L256" s="38">
        <f t="shared" si="32"/>
        <v>0.23729097694863427</v>
      </c>
      <c r="M256" s="31">
        <f t="shared" si="37"/>
        <v>221238.63025208251</v>
      </c>
      <c r="N256" s="47">
        <v>0</v>
      </c>
      <c r="O256" s="18">
        <v>0.105</v>
      </c>
      <c r="P256" s="38">
        <f t="shared" si="33"/>
        <v>0.11420498327455654</v>
      </c>
      <c r="Q256" s="32">
        <f t="shared" si="39"/>
        <v>106479.20284425422</v>
      </c>
      <c r="R256" s="47">
        <v>0</v>
      </c>
      <c r="S256" s="37">
        <f t="shared" si="34"/>
        <v>932351.63467666716</v>
      </c>
      <c r="T256" s="40">
        <f t="shared" si="38"/>
        <v>5.0128626345741445E-2</v>
      </c>
    </row>
    <row r="257" spans="2:20" x14ac:dyDescent="0.35">
      <c r="B257" s="11" t="s">
        <v>251</v>
      </c>
      <c r="C257" s="18">
        <v>0.10299999999999999</v>
      </c>
      <c r="D257" s="38">
        <f t="shared" si="30"/>
        <v>0.47126957616780524</v>
      </c>
      <c r="E257" s="32">
        <f t="shared" si="35"/>
        <v>475293.37531115889</v>
      </c>
      <c r="F257" s="47">
        <v>0</v>
      </c>
      <c r="G257" s="19">
        <v>0.1588</v>
      </c>
      <c r="H257" s="38">
        <f t="shared" si="31"/>
        <v>0.19960722526993774</v>
      </c>
      <c r="I257" s="32">
        <f t="shared" si="36"/>
        <v>201311.51390358887</v>
      </c>
      <c r="J257" s="47">
        <v>0</v>
      </c>
      <c r="K257" s="19">
        <v>1.5299999999999999E-2</v>
      </c>
      <c r="L257" s="38">
        <f t="shared" si="32"/>
        <v>0.22272193439443316</v>
      </c>
      <c r="M257" s="31">
        <f t="shared" si="37"/>
        <v>224623.58129493939</v>
      </c>
      <c r="N257" s="47">
        <v>0</v>
      </c>
      <c r="O257" s="18">
        <v>7.7999999999999996E-3</v>
      </c>
      <c r="P257" s="38">
        <f t="shared" si="33"/>
        <v>0.10640126416782374</v>
      </c>
      <c r="Q257" s="32">
        <f t="shared" si="39"/>
        <v>107309.74062643941</v>
      </c>
      <c r="R257" s="47">
        <v>0</v>
      </c>
      <c r="S257" s="37">
        <f t="shared" si="34"/>
        <v>1008538.2111361267</v>
      </c>
      <c r="T257" s="40">
        <f t="shared" si="38"/>
        <v>8.1714423642192058E-2</v>
      </c>
    </row>
    <row r="258" spans="2:20" x14ac:dyDescent="0.35">
      <c r="B258" s="10" t="s">
        <v>252</v>
      </c>
      <c r="C258" s="18">
        <v>1.4E-3</v>
      </c>
      <c r="D258" s="38">
        <f t="shared" si="30"/>
        <v>0.47738514620228573</v>
      </c>
      <c r="E258" s="32">
        <f t="shared" si="35"/>
        <v>475958.78603659454</v>
      </c>
      <c r="F258" s="47">
        <v>0</v>
      </c>
      <c r="G258" s="17">
        <v>-6.1699999999999998E-2</v>
      </c>
      <c r="H258" s="38">
        <f t="shared" si="31"/>
        <v>0.18945666355503743</v>
      </c>
      <c r="I258" s="32">
        <f t="shared" si="36"/>
        <v>188890.59349573744</v>
      </c>
      <c r="J258" s="47">
        <v>0</v>
      </c>
      <c r="K258" s="17">
        <v>-7.1000000000000004E-3</v>
      </c>
      <c r="L258" s="38">
        <f t="shared" si="32"/>
        <v>0.22369712965920771</v>
      </c>
      <c r="M258" s="31">
        <f t="shared" si="37"/>
        <v>223028.75386774531</v>
      </c>
      <c r="N258" s="47">
        <v>0</v>
      </c>
      <c r="O258" s="18">
        <v>1.7000000000000001E-2</v>
      </c>
      <c r="P258" s="38">
        <f t="shared" si="33"/>
        <v>0.10946106058346922</v>
      </c>
      <c r="Q258" s="32">
        <f t="shared" si="39"/>
        <v>109134.00621708889</v>
      </c>
      <c r="R258" s="47">
        <v>0</v>
      </c>
      <c r="S258" s="37">
        <f t="shared" si="34"/>
        <v>997012.13961716613</v>
      </c>
      <c r="T258" s="40">
        <f t="shared" si="38"/>
        <v>-1.1428492635867871E-2</v>
      </c>
    </row>
    <row r="259" spans="2:20" x14ac:dyDescent="0.35">
      <c r="B259" s="9" t="s">
        <v>253</v>
      </c>
      <c r="C259" s="17">
        <v>-2.35E-2</v>
      </c>
      <c r="D259" s="38">
        <f t="shared" si="30"/>
        <v>0.44906645018933017</v>
      </c>
      <c r="E259" s="32">
        <f t="shared" si="35"/>
        <v>438112.05281973456</v>
      </c>
      <c r="F259" s="48">
        <v>-27303.33</v>
      </c>
      <c r="G259" s="17">
        <v>-2.5399999999999999E-2</v>
      </c>
      <c r="H259" s="38">
        <f t="shared" si="31"/>
        <v>0.19919675995204666</v>
      </c>
      <c r="I259" s="32">
        <f t="shared" si="36"/>
        <v>194337.6116849457</v>
      </c>
      <c r="J259" s="49">
        <v>10511.84</v>
      </c>
      <c r="K259" s="17">
        <v>-2.87E-2</v>
      </c>
      <c r="L259" s="38">
        <f t="shared" si="32"/>
        <v>0.24815285051868019</v>
      </c>
      <c r="M259" s="31">
        <f t="shared" si="37"/>
        <v>242099.48150874104</v>
      </c>
      <c r="N259" s="49">
        <v>26224.29</v>
      </c>
      <c r="O259" s="18">
        <v>1.3599999999999999E-2</v>
      </c>
      <c r="P259" s="38">
        <f t="shared" si="33"/>
        <v>0.10358393933994306</v>
      </c>
      <c r="Q259" s="32">
        <f t="shared" si="39"/>
        <v>101057.14262164129</v>
      </c>
      <c r="R259" s="48">
        <v>-9432.7999999999993</v>
      </c>
      <c r="S259" s="37">
        <f t="shared" si="34"/>
        <v>975606.28863506252</v>
      </c>
      <c r="T259" s="40">
        <f t="shared" si="38"/>
        <v>-2.1470000345555573E-2</v>
      </c>
    </row>
    <row r="260" spans="2:20" x14ac:dyDescent="0.35">
      <c r="B260" s="10" t="s">
        <v>254</v>
      </c>
      <c r="C260" s="17">
        <v>-1.9900000000000001E-2</v>
      </c>
      <c r="D260" s="38">
        <f t="shared" si="30"/>
        <v>0.44794452159430265</v>
      </c>
      <c r="E260" s="32">
        <f t="shared" si="35"/>
        <v>429393.62296862184</v>
      </c>
      <c r="F260" s="47">
        <v>0</v>
      </c>
      <c r="G260" s="17">
        <v>-5.7700000000000001E-2</v>
      </c>
      <c r="H260" s="38">
        <f t="shared" si="31"/>
        <v>0.19103576921980361</v>
      </c>
      <c r="I260" s="32">
        <f t="shared" si="36"/>
        <v>183124.33149072435</v>
      </c>
      <c r="J260" s="47">
        <v>0</v>
      </c>
      <c r="K260" s="19">
        <v>5.5999999999999999E-3</v>
      </c>
      <c r="L260" s="38">
        <f t="shared" si="32"/>
        <v>0.25397312524736271</v>
      </c>
      <c r="M260" s="31">
        <f t="shared" si="37"/>
        <v>243455.23860518998</v>
      </c>
      <c r="N260" s="47">
        <v>0</v>
      </c>
      <c r="O260" s="22">
        <v>1.54E-2</v>
      </c>
      <c r="P260" s="38">
        <f t="shared" si="33"/>
        <v>0.10704658393853105</v>
      </c>
      <c r="Q260" s="32">
        <f t="shared" si="39"/>
        <v>102613.42261801456</v>
      </c>
      <c r="R260" s="47">
        <v>0</v>
      </c>
      <c r="S260" s="37">
        <f t="shared" si="34"/>
        <v>958586.61568255071</v>
      </c>
      <c r="T260" s="40">
        <f t="shared" si="38"/>
        <v>-1.7445226779260969E-2</v>
      </c>
    </row>
    <row r="261" spans="2:20" x14ac:dyDescent="0.35">
      <c r="B261" s="11" t="s">
        <v>255</v>
      </c>
      <c r="C261" s="17">
        <v>-7.0699999999999999E-2</v>
      </c>
      <c r="D261" s="38">
        <f t="shared" si="30"/>
        <v>0.4336252589122529</v>
      </c>
      <c r="E261" s="32">
        <f t="shared" si="35"/>
        <v>399035.49382474029</v>
      </c>
      <c r="F261" s="47">
        <v>0</v>
      </c>
      <c r="G261" s="17">
        <v>-8.3599999999999994E-2</v>
      </c>
      <c r="H261" s="38">
        <f t="shared" si="31"/>
        <v>0.18236192900407627</v>
      </c>
      <c r="I261" s="32">
        <f t="shared" si="36"/>
        <v>167815.13737809978</v>
      </c>
      <c r="J261" s="47">
        <v>0</v>
      </c>
      <c r="K261" s="17">
        <v>-2.8E-3</v>
      </c>
      <c r="L261" s="38">
        <f t="shared" si="32"/>
        <v>0.26381800904535591</v>
      </c>
      <c r="M261" s="31">
        <f t="shared" si="37"/>
        <v>242773.56393709546</v>
      </c>
      <c r="N261" s="47">
        <v>0</v>
      </c>
      <c r="O261" s="18">
        <v>7.7899999999999997E-2</v>
      </c>
      <c r="P261" s="38">
        <f t="shared" si="33"/>
        <v>0.12019480303831503</v>
      </c>
      <c r="Q261" s="32">
        <f t="shared" si="39"/>
        <v>110607.0082399579</v>
      </c>
      <c r="R261" s="47">
        <v>0</v>
      </c>
      <c r="S261" s="37">
        <f t="shared" si="34"/>
        <v>920231.20337989333</v>
      </c>
      <c r="T261" s="40">
        <f t="shared" si="38"/>
        <v>-4.0012463845373936E-2</v>
      </c>
    </row>
    <row r="262" spans="2:20" x14ac:dyDescent="0.35">
      <c r="B262" s="10" t="s">
        <v>256</v>
      </c>
      <c r="C262" s="17">
        <v>-3.15E-2</v>
      </c>
      <c r="D262" s="38">
        <f t="shared" si="30"/>
        <v>0.43066144131538425</v>
      </c>
      <c r="E262" s="32">
        <f t="shared" si="35"/>
        <v>386465.87576926098</v>
      </c>
      <c r="F262" s="47">
        <v>0</v>
      </c>
      <c r="G262" s="17">
        <v>-4.6699999999999998E-2</v>
      </c>
      <c r="H262" s="38">
        <f t="shared" si="31"/>
        <v>0.17827299585832343</v>
      </c>
      <c r="I262" s="32">
        <f t="shared" si="36"/>
        <v>159978.17046254253</v>
      </c>
      <c r="J262" s="47">
        <v>0</v>
      </c>
      <c r="K262" s="17">
        <v>-2.2700000000000001E-2</v>
      </c>
      <c r="L262" s="38">
        <f t="shared" si="32"/>
        <v>0.26439554286876366</v>
      </c>
      <c r="M262" s="31">
        <f t="shared" si="37"/>
        <v>237262.6040357234</v>
      </c>
      <c r="N262" s="47">
        <v>0</v>
      </c>
      <c r="O262" s="18">
        <v>2.7699999999999999E-2</v>
      </c>
      <c r="P262" s="38">
        <f t="shared" si="33"/>
        <v>0.12667001995752861</v>
      </c>
      <c r="Q262" s="32">
        <f t="shared" si="39"/>
        <v>113670.82236820472</v>
      </c>
      <c r="R262" s="47">
        <v>0</v>
      </c>
      <c r="S262" s="37">
        <f t="shared" si="34"/>
        <v>897377.47263573168</v>
      </c>
      <c r="T262" s="40">
        <f t="shared" si="38"/>
        <v>-2.4834770501394376E-2</v>
      </c>
    </row>
    <row r="263" spans="2:20" x14ac:dyDescent="0.35">
      <c r="B263" s="11" t="s">
        <v>257</v>
      </c>
      <c r="C263" s="18">
        <v>7.0300000000000001E-2</v>
      </c>
      <c r="D263" s="38">
        <f t="shared" si="30"/>
        <v>0.43686184435953884</v>
      </c>
      <c r="E263" s="32">
        <f t="shared" si="35"/>
        <v>413634.42683584004</v>
      </c>
      <c r="F263" s="47">
        <v>0</v>
      </c>
      <c r="G263" s="19">
        <v>6.1100000000000002E-2</v>
      </c>
      <c r="H263" s="38">
        <f t="shared" si="31"/>
        <v>0.17928521541017772</v>
      </c>
      <c r="I263" s="32">
        <f t="shared" si="36"/>
        <v>169752.83667780389</v>
      </c>
      <c r="J263" s="47">
        <v>0</v>
      </c>
      <c r="K263" s="19">
        <v>4.8800000000000003E-2</v>
      </c>
      <c r="L263" s="38">
        <f t="shared" si="32"/>
        <v>0.26281455195461872</v>
      </c>
      <c r="M263" s="31">
        <f t="shared" si="37"/>
        <v>248841.01911266672</v>
      </c>
      <c r="N263" s="47">
        <v>0</v>
      </c>
      <c r="O263" s="18">
        <v>8.2000000000000007E-3</v>
      </c>
      <c r="P263" s="38">
        <f t="shared" si="33"/>
        <v>0.12103838827566481</v>
      </c>
      <c r="Q263" s="32">
        <f t="shared" si="39"/>
        <v>114602.923111624</v>
      </c>
      <c r="R263" s="47">
        <v>0</v>
      </c>
      <c r="S263" s="37">
        <f t="shared" si="34"/>
        <v>946831.20573793456</v>
      </c>
      <c r="T263" s="40">
        <f t="shared" si="38"/>
        <v>5.5109176027062334E-2</v>
      </c>
    </row>
    <row r="264" spans="2:20" x14ac:dyDescent="0.35">
      <c r="B264" s="10" t="s">
        <v>258</v>
      </c>
      <c r="C264" s="18">
        <v>1.47E-2</v>
      </c>
      <c r="D264" s="38">
        <f t="shared" si="30"/>
        <v>0.43783168161895425</v>
      </c>
      <c r="E264" s="32">
        <f t="shared" si="35"/>
        <v>419714.85291032691</v>
      </c>
      <c r="F264" s="47">
        <v>0</v>
      </c>
      <c r="G264" s="19">
        <v>1.7299999999999999E-2</v>
      </c>
      <c r="H264" s="38">
        <f t="shared" si="31"/>
        <v>0.18014363861072413</v>
      </c>
      <c r="I264" s="32">
        <f t="shared" si="36"/>
        <v>172689.56075232991</v>
      </c>
      <c r="J264" s="47">
        <v>0</v>
      </c>
      <c r="K264" s="19">
        <v>2.4500000000000001E-2</v>
      </c>
      <c r="L264" s="38">
        <f t="shared" si="32"/>
        <v>0.26594190766734893</v>
      </c>
      <c r="M264" s="31">
        <f t="shared" si="37"/>
        <v>254937.62408092705</v>
      </c>
      <c r="N264" s="47">
        <v>0</v>
      </c>
      <c r="O264" s="17">
        <v>-2.9000000000000001E-2</v>
      </c>
      <c r="P264" s="38">
        <f t="shared" si="33"/>
        <v>0.11608277210297263</v>
      </c>
      <c r="Q264" s="32">
        <f t="shared" si="39"/>
        <v>111279.43834138691</v>
      </c>
      <c r="R264" s="47">
        <v>0</v>
      </c>
      <c r="S264" s="37">
        <f t="shared" si="34"/>
        <v>958621.47608497087</v>
      </c>
      <c r="T264" s="40">
        <f t="shared" si="38"/>
        <v>1.2452346601575348E-2</v>
      </c>
    </row>
    <row r="265" spans="2:20" x14ac:dyDescent="0.35">
      <c r="B265" s="11" t="s">
        <v>259</v>
      </c>
      <c r="C265" s="18">
        <v>4.0099999999999997E-2</v>
      </c>
      <c r="D265" s="38">
        <f t="shared" si="30"/>
        <v>0.44123780002679286</v>
      </c>
      <c r="E265" s="32">
        <f t="shared" si="35"/>
        <v>436545.41851203103</v>
      </c>
      <c r="F265" s="47">
        <v>0</v>
      </c>
      <c r="G265" s="19">
        <v>3.5000000000000003E-2</v>
      </c>
      <c r="H265" s="38">
        <f t="shared" si="31"/>
        <v>0.18065488536873986</v>
      </c>
      <c r="I265" s="32">
        <f t="shared" si="36"/>
        <v>178733.69537866145</v>
      </c>
      <c r="J265" s="47">
        <v>0</v>
      </c>
      <c r="K265" s="19">
        <v>2.4799999999999999E-2</v>
      </c>
      <c r="L265" s="38">
        <f t="shared" si="32"/>
        <v>0.26406833468327467</v>
      </c>
      <c r="M265" s="31">
        <f t="shared" si="37"/>
        <v>261260.07715813405</v>
      </c>
      <c r="N265" s="47">
        <v>0</v>
      </c>
      <c r="O265" s="18">
        <v>1.3899999999999999E-2</v>
      </c>
      <c r="P265" s="38">
        <f t="shared" si="33"/>
        <v>0.11403897992119254</v>
      </c>
      <c r="Q265" s="32">
        <f t="shared" si="39"/>
        <v>112826.22253433219</v>
      </c>
      <c r="R265" s="47">
        <v>0</v>
      </c>
      <c r="S265" s="37">
        <f t="shared" si="34"/>
        <v>989365.41358315875</v>
      </c>
      <c r="T265" s="40">
        <f t="shared" si="38"/>
        <v>3.2070987626676928E-2</v>
      </c>
    </row>
    <row r="266" spans="2:20" x14ac:dyDescent="0.35">
      <c r="B266" s="10" t="s">
        <v>260</v>
      </c>
      <c r="C266" s="17">
        <v>-1.0200000000000001E-2</v>
      </c>
      <c r="D266" s="38">
        <f t="shared" si="30"/>
        <v>0.43488982287995093</v>
      </c>
      <c r="E266" s="32">
        <f t="shared" si="35"/>
        <v>432092.65524320828</v>
      </c>
      <c r="F266" s="47">
        <v>0</v>
      </c>
      <c r="G266" s="19">
        <v>4.1200000000000001E-2</v>
      </c>
      <c r="H266" s="38">
        <f t="shared" si="31"/>
        <v>0.18730223276657879</v>
      </c>
      <c r="I266" s="32">
        <f t="shared" si="36"/>
        <v>186097.52362826231</v>
      </c>
      <c r="J266" s="47">
        <v>0</v>
      </c>
      <c r="K266" s="17">
        <v>-2.7000000000000001E-3</v>
      </c>
      <c r="L266" s="38">
        <f t="shared" si="32"/>
        <v>0.26224138518551193</v>
      </c>
      <c r="M266" s="31">
        <f t="shared" si="37"/>
        <v>260554.67494980709</v>
      </c>
      <c r="N266" s="47">
        <v>0</v>
      </c>
      <c r="O266" s="18">
        <v>1.77E-2</v>
      </c>
      <c r="P266" s="38">
        <f t="shared" si="33"/>
        <v>0.11556655916795835</v>
      </c>
      <c r="Q266" s="32">
        <f t="shared" si="39"/>
        <v>114823.24667318987</v>
      </c>
      <c r="R266" s="47">
        <v>0</v>
      </c>
      <c r="S266" s="37">
        <f t="shared" si="34"/>
        <v>993568.10049446754</v>
      </c>
      <c r="T266" s="40">
        <f t="shared" si="38"/>
        <v>4.2478611578788961E-3</v>
      </c>
    </row>
    <row r="267" spans="2:20" x14ac:dyDescent="0.35">
      <c r="B267" s="11" t="s">
        <v>261</v>
      </c>
      <c r="C267" s="18">
        <v>1.7500000000000002E-2</v>
      </c>
      <c r="D267" s="38">
        <f t="shared" si="30"/>
        <v>0.42752607511504742</v>
      </c>
      <c r="E267" s="32">
        <f t="shared" si="35"/>
        <v>439654.27670996444</v>
      </c>
      <c r="F267" s="47">
        <v>0</v>
      </c>
      <c r="G267" s="19">
        <v>1.11E-2</v>
      </c>
      <c r="H267" s="38">
        <f t="shared" si="31"/>
        <v>0.1829725792827793</v>
      </c>
      <c r="I267" s="32">
        <f t="shared" si="36"/>
        <v>188163.20614053603</v>
      </c>
      <c r="J267" s="47">
        <v>0</v>
      </c>
      <c r="K267" s="19">
        <v>5.2499999999999998E-2</v>
      </c>
      <c r="L267" s="38">
        <f t="shared" si="32"/>
        <v>0.26666884507996097</v>
      </c>
      <c r="M267" s="31">
        <f t="shared" si="37"/>
        <v>274233.79538467195</v>
      </c>
      <c r="N267" s="47">
        <v>0</v>
      </c>
      <c r="O267" s="18">
        <v>0.10009999999999999</v>
      </c>
      <c r="P267" s="38">
        <f t="shared" si="33"/>
        <v>0.12283250052221233</v>
      </c>
      <c r="Q267" s="32">
        <f t="shared" si="39"/>
        <v>126317.05366517618</v>
      </c>
      <c r="R267" s="47">
        <v>0</v>
      </c>
      <c r="S267" s="37">
        <f t="shared" si="34"/>
        <v>1028368.3319003485</v>
      </c>
      <c r="T267" s="40">
        <f t="shared" si="38"/>
        <v>3.502551197906012E-2</v>
      </c>
    </row>
    <row r="268" spans="2:20" x14ac:dyDescent="0.35">
      <c r="B268" s="10" t="s">
        <v>262</v>
      </c>
      <c r="C268" s="18">
        <v>3.4099999999999998E-2</v>
      </c>
      <c r="D268" s="38">
        <f t="shared" si="30"/>
        <v>0.42572956342616891</v>
      </c>
      <c r="E268" s="32">
        <f t="shared" si="35"/>
        <v>454646.4875457742</v>
      </c>
      <c r="F268" s="47">
        <v>0</v>
      </c>
      <c r="G268" s="19">
        <v>2.9000000000000001E-2</v>
      </c>
      <c r="H268" s="38">
        <f t="shared" si="31"/>
        <v>0.18130511157477885</v>
      </c>
      <c r="I268" s="32">
        <f t="shared" si="36"/>
        <v>193619.93911861157</v>
      </c>
      <c r="J268" s="47">
        <v>0</v>
      </c>
      <c r="K268" s="19">
        <v>4.7100000000000003E-2</v>
      </c>
      <c r="L268" s="38">
        <f t="shared" si="32"/>
        <v>0.26888656500231217</v>
      </c>
      <c r="M268" s="31">
        <f t="shared" si="37"/>
        <v>287150.20714729</v>
      </c>
      <c r="N268" s="47">
        <v>0</v>
      </c>
      <c r="O268" s="18">
        <v>4.9000000000000002E-2</v>
      </c>
      <c r="P268" s="38">
        <f t="shared" si="33"/>
        <v>0.12407875999674012</v>
      </c>
      <c r="Q268" s="32">
        <f t="shared" si="39"/>
        <v>132506.5892947698</v>
      </c>
      <c r="R268" s="47">
        <v>0</v>
      </c>
      <c r="S268" s="37">
        <f t="shared" si="34"/>
        <v>1067923.2231064455</v>
      </c>
      <c r="T268" s="40">
        <f t="shared" si="38"/>
        <v>3.8463739089478199E-2</v>
      </c>
    </row>
    <row r="269" spans="2:20" x14ac:dyDescent="0.35">
      <c r="B269" s="11" t="s">
        <v>263</v>
      </c>
      <c r="C269" s="17">
        <v>-3.5999999999999999E-3</v>
      </c>
      <c r="D269" s="38">
        <f t="shared" si="30"/>
        <v>0.42443742900119946</v>
      </c>
      <c r="E269" s="32">
        <f t="shared" si="35"/>
        <v>453009.76019060944</v>
      </c>
      <c r="F269" s="47">
        <v>0</v>
      </c>
      <c r="G269" s="19">
        <v>5.3E-3</v>
      </c>
      <c r="H269" s="38">
        <f t="shared" si="31"/>
        <v>0.18236936161965731</v>
      </c>
      <c r="I269" s="32">
        <f t="shared" si="36"/>
        <v>194646.12479594021</v>
      </c>
      <c r="J269" s="47">
        <v>0</v>
      </c>
      <c r="K269" s="17">
        <v>-2.2499999999999999E-2</v>
      </c>
      <c r="L269" s="38">
        <f t="shared" si="32"/>
        <v>0.26298562851340784</v>
      </c>
      <c r="M269" s="31">
        <f t="shared" si="37"/>
        <v>280689.32748647599</v>
      </c>
      <c r="N269" s="47">
        <v>0</v>
      </c>
      <c r="O269" s="18">
        <v>4.8800000000000003E-2</v>
      </c>
      <c r="P269" s="38">
        <f t="shared" si="33"/>
        <v>0.13020758086573558</v>
      </c>
      <c r="Q269" s="32">
        <f t="shared" si="39"/>
        <v>138972.91085235457</v>
      </c>
      <c r="R269" s="47">
        <v>0</v>
      </c>
      <c r="S269" s="37">
        <f t="shared" si="34"/>
        <v>1067318.12332538</v>
      </c>
      <c r="T269" s="40">
        <f t="shared" si="38"/>
        <v>-5.6661356169906973E-4</v>
      </c>
    </row>
    <row r="270" spans="2:20" x14ac:dyDescent="0.35">
      <c r="B270" s="10" t="s">
        <v>264</v>
      </c>
      <c r="C270" s="18">
        <v>2.1999999999999999E-2</v>
      </c>
      <c r="D270" s="38">
        <f t="shared" si="30"/>
        <v>0.42301409732460626</v>
      </c>
      <c r="E270" s="32">
        <f t="shared" si="35"/>
        <v>462975.97491480282</v>
      </c>
      <c r="F270" s="47">
        <v>0</v>
      </c>
      <c r="G270" s="19">
        <v>1.1900000000000001E-2</v>
      </c>
      <c r="H270" s="38">
        <f t="shared" si="31"/>
        <v>0.17996155771469816</v>
      </c>
      <c r="I270" s="32">
        <f t="shared" si="36"/>
        <v>196962.41368101191</v>
      </c>
      <c r="J270" s="47">
        <v>0</v>
      </c>
      <c r="K270" s="19">
        <v>2.9899999999999999E-2</v>
      </c>
      <c r="L270" s="38">
        <f t="shared" si="32"/>
        <v>0.26412976448390502</v>
      </c>
      <c r="M270" s="31">
        <f t="shared" si="37"/>
        <v>289081.93837832165</v>
      </c>
      <c r="N270" s="47">
        <v>0</v>
      </c>
      <c r="O270" s="18">
        <v>4.6600000000000003E-2</v>
      </c>
      <c r="P270" s="38">
        <f t="shared" si="33"/>
        <v>0.13289458047679042</v>
      </c>
      <c r="Q270" s="32">
        <f t="shared" si="39"/>
        <v>145449.04849807429</v>
      </c>
      <c r="R270" s="47">
        <v>0</v>
      </c>
      <c r="S270" s="37">
        <f t="shared" si="34"/>
        <v>1094469.3754722108</v>
      </c>
      <c r="T270" s="40">
        <f t="shared" si="38"/>
        <v>2.5438762402194781E-2</v>
      </c>
    </row>
    <row r="271" spans="2:20" x14ac:dyDescent="0.35">
      <c r="B271" s="9" t="s">
        <v>265</v>
      </c>
      <c r="C271" s="17">
        <v>-3.95E-2</v>
      </c>
      <c r="D271" s="38">
        <f t="shared" si="30"/>
        <v>0.43420279510656473</v>
      </c>
      <c r="E271" s="32">
        <f t="shared" si="35"/>
        <v>473057.03153066809</v>
      </c>
      <c r="F271" s="49">
        <v>29535.25</v>
      </c>
      <c r="G271" s="17">
        <v>-5.0000000000000001E-4</v>
      </c>
      <c r="H271" s="38">
        <f t="shared" si="31"/>
        <v>0.20081471709781576</v>
      </c>
      <c r="I271" s="32">
        <f t="shared" si="36"/>
        <v>218784.43673917142</v>
      </c>
      <c r="J271" s="49">
        <v>21931.47</v>
      </c>
      <c r="K271" s="19">
        <v>2.3599999999999999E-2</v>
      </c>
      <c r="L271" s="38">
        <f t="shared" si="32"/>
        <v>0.25707095076776254</v>
      </c>
      <c r="M271" s="31">
        <f t="shared" si="37"/>
        <v>280074.70756405004</v>
      </c>
      <c r="N271" s="48">
        <v>-15464.6</v>
      </c>
      <c r="O271" s="18">
        <v>7.4200000000000002E-2</v>
      </c>
      <c r="P271" s="38">
        <f t="shared" si="33"/>
        <v>0.10791153702785695</v>
      </c>
      <c r="Q271" s="32">
        <f t="shared" si="39"/>
        <v>117567.90133463142</v>
      </c>
      <c r="R271" s="48">
        <v>-36002.11</v>
      </c>
      <c r="S271" s="37">
        <f t="shared" si="34"/>
        <v>1089484.077168521</v>
      </c>
      <c r="T271" s="40">
        <f t="shared" si="38"/>
        <v>-4.5549911358084838E-3</v>
      </c>
    </row>
    <row r="272" spans="2:20" x14ac:dyDescent="0.35">
      <c r="B272" s="10" t="s">
        <v>266</v>
      </c>
      <c r="C272" s="17">
        <v>-1.8800000000000001E-2</v>
      </c>
      <c r="D272" s="38">
        <f t="shared" si="30"/>
        <v>0.4214991883394591</v>
      </c>
      <c r="E272" s="32">
        <f t="shared" si="35"/>
        <v>464163.55933789152</v>
      </c>
      <c r="F272" s="47">
        <v>0</v>
      </c>
      <c r="G272" s="17">
        <v>-3.5000000000000001E-3</v>
      </c>
      <c r="H272" s="38">
        <f t="shared" si="31"/>
        <v>0.19797913804171985</v>
      </c>
      <c r="I272" s="32">
        <f t="shared" si="36"/>
        <v>218018.69121058431</v>
      </c>
      <c r="J272" s="47">
        <v>0</v>
      </c>
      <c r="K272" s="19">
        <v>4.8099999999999997E-2</v>
      </c>
      <c r="L272" s="38">
        <f t="shared" si="32"/>
        <v>0.26656450107188928</v>
      </c>
      <c r="M272" s="31">
        <f t="shared" si="37"/>
        <v>293546.30099788087</v>
      </c>
      <c r="N272" s="47">
        <v>0</v>
      </c>
      <c r="O272" s="18">
        <v>6.7400000000000002E-2</v>
      </c>
      <c r="P272" s="38">
        <f t="shared" si="33"/>
        <v>0.1139571725469319</v>
      </c>
      <c r="Q272" s="32">
        <f t="shared" si="39"/>
        <v>125491.97788458558</v>
      </c>
      <c r="R272" s="47">
        <v>0</v>
      </c>
      <c r="S272" s="37">
        <f t="shared" si="34"/>
        <v>1101220.5294309421</v>
      </c>
      <c r="T272" s="40">
        <f t="shared" si="38"/>
        <v>1.0772486269760906E-2</v>
      </c>
    </row>
    <row r="273" spans="2:20" x14ac:dyDescent="0.35">
      <c r="B273" s="11" t="s">
        <v>267</v>
      </c>
      <c r="C273" s="17">
        <v>-2.9700000000000001E-2</v>
      </c>
      <c r="D273" s="38">
        <f t="shared" si="30"/>
        <v>0.42985483538469804</v>
      </c>
      <c r="E273" s="32">
        <f t="shared" si="35"/>
        <v>450377.90162555617</v>
      </c>
      <c r="F273" s="47">
        <v>0</v>
      </c>
      <c r="G273" s="17">
        <v>-3.0099999999999998E-2</v>
      </c>
      <c r="H273" s="38">
        <f t="shared" si="31"/>
        <v>0.20182057111493892</v>
      </c>
      <c r="I273" s="32">
        <f t="shared" si="36"/>
        <v>211456.32860514571</v>
      </c>
      <c r="J273" s="47">
        <v>0</v>
      </c>
      <c r="K273" s="17">
        <v>-7.22E-2</v>
      </c>
      <c r="L273" s="38">
        <f t="shared" si="32"/>
        <v>0.25994156159747228</v>
      </c>
      <c r="M273" s="31">
        <f t="shared" si="37"/>
        <v>272352.25806583388</v>
      </c>
      <c r="N273" s="47">
        <v>0</v>
      </c>
      <c r="O273" s="17">
        <v>-9.5100000000000004E-2</v>
      </c>
      <c r="P273" s="38">
        <f t="shared" si="33"/>
        <v>0.10838303190289077</v>
      </c>
      <c r="Q273" s="32">
        <f t="shared" si="39"/>
        <v>113557.69078776149</v>
      </c>
      <c r="R273" s="47">
        <v>0</v>
      </c>
      <c r="S273" s="37">
        <f t="shared" si="34"/>
        <v>1047744.1790842973</v>
      </c>
      <c r="T273" s="40">
        <f t="shared" si="38"/>
        <v>-4.8560982035341205E-2</v>
      </c>
    </row>
    <row r="274" spans="2:20" x14ac:dyDescent="0.35">
      <c r="B274" s="10" t="s">
        <v>268</v>
      </c>
      <c r="C274" s="18">
        <v>0.05</v>
      </c>
      <c r="D274" s="38">
        <f t="shared" si="30"/>
        <v>0.43115945813098128</v>
      </c>
      <c r="E274" s="32">
        <f t="shared" si="35"/>
        <v>472896.79670683399</v>
      </c>
      <c r="F274" s="47">
        <v>0</v>
      </c>
      <c r="G274" s="19">
        <v>6.5799999999999997E-2</v>
      </c>
      <c r="H274" s="38">
        <f t="shared" si="31"/>
        <v>0.20547923901614659</v>
      </c>
      <c r="I274" s="32">
        <f t="shared" si="36"/>
        <v>225370.15502736429</v>
      </c>
      <c r="J274" s="47">
        <v>0</v>
      </c>
      <c r="K274" s="19">
        <v>7.1499999999999994E-2</v>
      </c>
      <c r="L274" s="38">
        <f t="shared" si="32"/>
        <v>0.26606925951545018</v>
      </c>
      <c r="M274" s="31">
        <f t="shared" si="37"/>
        <v>291825.44451754098</v>
      </c>
      <c r="N274" s="47">
        <v>0</v>
      </c>
      <c r="O274" s="17">
        <v>-6.0299999999999999E-2</v>
      </c>
      <c r="P274" s="38">
        <f t="shared" si="33"/>
        <v>9.7292043337422057E-2</v>
      </c>
      <c r="Q274" s="32">
        <f t="shared" si="39"/>
        <v>106710.16203325948</v>
      </c>
      <c r="R274" s="47">
        <v>0</v>
      </c>
      <c r="S274" s="37">
        <f t="shared" si="34"/>
        <v>1096802.5582849986</v>
      </c>
      <c r="T274" s="40">
        <f t="shared" si="38"/>
        <v>4.6822860179072778E-2</v>
      </c>
    </row>
    <row r="275" spans="2:20" x14ac:dyDescent="0.35">
      <c r="B275" s="11" t="s">
        <v>269</v>
      </c>
      <c r="C275" s="18">
        <v>6.1699999999999998E-2</v>
      </c>
      <c r="D275" s="38">
        <f t="shared" si="30"/>
        <v>0.43220377778495367</v>
      </c>
      <c r="E275" s="32">
        <f t="shared" si="35"/>
        <v>502074.52906364563</v>
      </c>
      <c r="F275" s="47">
        <v>0</v>
      </c>
      <c r="G275" s="19">
        <v>5.5E-2</v>
      </c>
      <c r="H275" s="38">
        <f t="shared" si="31"/>
        <v>0.20467708922938635</v>
      </c>
      <c r="I275" s="32">
        <f t="shared" si="36"/>
        <v>237765.51355386933</v>
      </c>
      <c r="J275" s="47">
        <v>0</v>
      </c>
      <c r="K275" s="19">
        <v>8.2500000000000004E-2</v>
      </c>
      <c r="L275" s="38">
        <f t="shared" si="32"/>
        <v>0.27193895843264909</v>
      </c>
      <c r="M275" s="31">
        <f t="shared" si="37"/>
        <v>315901.04369023809</v>
      </c>
      <c r="N275" s="47">
        <v>0</v>
      </c>
      <c r="O275" s="17">
        <v>-7.4000000000000003E-3</v>
      </c>
      <c r="P275" s="38">
        <f t="shared" si="33"/>
        <v>9.1180174553011029E-2</v>
      </c>
      <c r="Q275" s="32">
        <f t="shared" si="39"/>
        <v>105920.50683421336</v>
      </c>
      <c r="R275" s="47">
        <v>0</v>
      </c>
      <c r="S275" s="37">
        <f t="shared" si="34"/>
        <v>1161661.5931419663</v>
      </c>
      <c r="T275" s="40">
        <f t="shared" si="38"/>
        <v>5.9134649501897174E-2</v>
      </c>
    </row>
    <row r="276" spans="2:20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</sheetData>
  <mergeCells count="21">
    <mergeCell ref="K28:N28"/>
    <mergeCell ref="S28:S29"/>
    <mergeCell ref="T28:T29"/>
    <mergeCell ref="B24:L24"/>
    <mergeCell ref="B25:L25"/>
    <mergeCell ref="B27:L27"/>
    <mergeCell ref="B28:B29"/>
    <mergeCell ref="O28:R28"/>
    <mergeCell ref="C28:F28"/>
    <mergeCell ref="G28:J28"/>
    <mergeCell ref="B18:L18"/>
    <mergeCell ref="B19:L19"/>
    <mergeCell ref="B20:L20"/>
    <mergeCell ref="B21:L21"/>
    <mergeCell ref="B22:L22"/>
    <mergeCell ref="B17:L17"/>
    <mergeCell ref="B2:L2"/>
    <mergeCell ref="C3:L3"/>
    <mergeCell ref="B5:L5"/>
    <mergeCell ref="B15:L15"/>
    <mergeCell ref="B16:L16"/>
  </mergeCells>
  <conditionalFormatting sqref="T30:T275">
    <cfRule type="colorScale" priority="1">
      <colorScale>
        <cfvo type="num" val="0"/>
        <cfvo type="num" val="0"/>
        <color rgb="FFFF0000"/>
        <color theme="9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3A51-DF83-4346-AC5B-9442A5D9F7B0}">
  <dimension ref="A1:AL343"/>
  <sheetViews>
    <sheetView topLeftCell="F253" zoomScale="80" zoomScaleNormal="80" workbookViewId="0">
      <selection activeCell="L265" sqref="L265"/>
    </sheetView>
  </sheetViews>
  <sheetFormatPr defaultRowHeight="14.5" x14ac:dyDescent="0.35"/>
  <cols>
    <col min="1" max="1" width="3" style="1" customWidth="1"/>
    <col min="2" max="2" width="48.453125" bestFit="1" customWidth="1"/>
    <col min="3" max="4" width="14" customWidth="1"/>
    <col min="5" max="5" width="14.54296875" bestFit="1" customWidth="1"/>
    <col min="6" max="6" width="14" customWidth="1"/>
    <col min="7" max="7" width="13" customWidth="1"/>
    <col min="8" max="8" width="15" customWidth="1"/>
    <col min="9" max="9" width="14" customWidth="1"/>
    <col min="10" max="10" width="16" customWidth="1"/>
    <col min="11" max="11" width="14" customWidth="1"/>
    <col min="13" max="13" width="14.26953125" bestFit="1" customWidth="1"/>
    <col min="14" max="14" width="13.453125" bestFit="1" customWidth="1"/>
    <col min="15" max="15" width="11.90625" bestFit="1" customWidth="1"/>
    <col min="17" max="17" width="14.26953125" bestFit="1" customWidth="1"/>
    <col min="18" max="18" width="13.453125" bestFit="1" customWidth="1"/>
    <col min="19" max="19" width="15.26953125" bestFit="1" customWidth="1"/>
    <col min="20" max="20" width="11.90625" bestFit="1" customWidth="1"/>
    <col min="21" max="38" width="8.7265625" style="1"/>
  </cols>
  <sheetData>
    <row r="1" spans="2:11" s="1" customFormat="1" x14ac:dyDescent="0.35"/>
    <row r="2" spans="2:11" s="1" customFormat="1" ht="20" x14ac:dyDescent="0.35">
      <c r="B2" s="115" t="s">
        <v>380</v>
      </c>
      <c r="C2" s="114"/>
      <c r="D2" s="114"/>
      <c r="E2" s="114"/>
      <c r="F2" s="114"/>
      <c r="G2" s="114"/>
      <c r="H2" s="114"/>
      <c r="I2" s="114"/>
      <c r="J2" s="114"/>
      <c r="K2" s="114"/>
    </row>
    <row r="3" spans="2:11" s="1" customFormat="1" x14ac:dyDescent="0.35">
      <c r="B3" s="53" t="s">
        <v>341</v>
      </c>
      <c r="C3" s="116" t="s">
        <v>381</v>
      </c>
      <c r="D3" s="114"/>
      <c r="E3" s="114"/>
      <c r="F3" s="114"/>
      <c r="G3" s="114"/>
      <c r="H3" s="114"/>
      <c r="I3" s="114"/>
      <c r="J3" s="114"/>
      <c r="K3" s="114"/>
    </row>
    <row r="4" spans="2:11" s="1" customFormat="1" x14ac:dyDescent="0.35"/>
    <row r="5" spans="2:11" s="1" customFormat="1" ht="36.5" customHeight="1" x14ac:dyDescent="0.35">
      <c r="B5" s="117" t="s">
        <v>382</v>
      </c>
      <c r="C5" s="114"/>
      <c r="D5" s="114"/>
      <c r="E5" s="114"/>
      <c r="F5" s="114"/>
      <c r="G5" s="114"/>
      <c r="H5" s="114"/>
      <c r="I5" s="114"/>
      <c r="J5" s="114"/>
      <c r="K5" s="114"/>
    </row>
    <row r="6" spans="2:11" s="1" customFormat="1" x14ac:dyDescent="0.35"/>
    <row r="7" spans="2:11" s="1" customFormat="1" x14ac:dyDescent="0.35">
      <c r="B7" s="110" t="s">
        <v>2</v>
      </c>
    </row>
    <row r="8" spans="2:11" s="1" customFormat="1" x14ac:dyDescent="0.35">
      <c r="B8" s="111" t="s">
        <v>3</v>
      </c>
      <c r="C8" s="111" t="s">
        <v>4</v>
      </c>
      <c r="D8" s="111" t="s">
        <v>5</v>
      </c>
      <c r="E8" s="111" t="s">
        <v>6</v>
      </c>
      <c r="F8" s="111" t="s">
        <v>7</v>
      </c>
    </row>
    <row r="9" spans="2:11" s="1" customFormat="1" x14ac:dyDescent="0.35">
      <c r="B9" s="54" t="s">
        <v>383</v>
      </c>
      <c r="C9" s="55">
        <v>0.4</v>
      </c>
      <c r="D9" s="56">
        <v>0.28000000000000003</v>
      </c>
      <c r="E9" s="56">
        <v>0.55000000000000004</v>
      </c>
      <c r="F9" s="57" t="s">
        <v>384</v>
      </c>
    </row>
    <row r="10" spans="2:11" s="1" customFormat="1" x14ac:dyDescent="0.35">
      <c r="B10" s="54" t="s">
        <v>385</v>
      </c>
      <c r="C10" s="55">
        <v>0.25</v>
      </c>
      <c r="D10" s="56">
        <v>0.18</v>
      </c>
      <c r="E10" s="56">
        <v>0.35</v>
      </c>
      <c r="F10" s="57" t="s">
        <v>386</v>
      </c>
    </row>
    <row r="11" spans="2:11" s="1" customFormat="1" x14ac:dyDescent="0.35">
      <c r="B11" s="54" t="s">
        <v>387</v>
      </c>
      <c r="C11" s="55">
        <v>0.2</v>
      </c>
      <c r="D11" s="56">
        <v>0.12</v>
      </c>
      <c r="E11" s="56">
        <v>0.3</v>
      </c>
      <c r="F11" s="57" t="s">
        <v>388</v>
      </c>
    </row>
    <row r="12" spans="2:11" s="1" customFormat="1" x14ac:dyDescent="0.35">
      <c r="B12" s="54" t="s">
        <v>389</v>
      </c>
      <c r="C12" s="55">
        <v>0.15</v>
      </c>
      <c r="D12" s="56">
        <v>0.08</v>
      </c>
      <c r="E12" s="56">
        <v>0.22</v>
      </c>
      <c r="F12" s="57" t="s">
        <v>390</v>
      </c>
    </row>
    <row r="13" spans="2:11" s="1" customFormat="1" x14ac:dyDescent="0.35"/>
    <row r="14" spans="2:11" s="1" customFormat="1" x14ac:dyDescent="0.35"/>
    <row r="15" spans="2:11" s="1" customFormat="1" x14ac:dyDescent="0.35">
      <c r="B15" s="118" t="s">
        <v>16</v>
      </c>
      <c r="C15" s="114"/>
      <c r="D15" s="114"/>
      <c r="E15" s="114"/>
      <c r="F15" s="114"/>
      <c r="G15" s="114"/>
      <c r="H15" s="114"/>
      <c r="I15" s="114"/>
      <c r="J15" s="114"/>
      <c r="K15" s="114"/>
    </row>
    <row r="16" spans="2:11" s="1" customFormat="1" x14ac:dyDescent="0.35">
      <c r="B16" s="113" t="s">
        <v>391</v>
      </c>
      <c r="C16" s="114"/>
      <c r="D16" s="114"/>
      <c r="E16" s="114"/>
      <c r="F16" s="114"/>
      <c r="G16" s="114"/>
      <c r="H16" s="114"/>
      <c r="I16" s="114"/>
      <c r="J16" s="114"/>
      <c r="K16" s="114"/>
    </row>
    <row r="17" spans="2:20" s="1" customFormat="1" x14ac:dyDescent="0.35">
      <c r="B17" s="113" t="s">
        <v>392</v>
      </c>
      <c r="C17" s="114"/>
      <c r="D17" s="114"/>
      <c r="E17" s="114"/>
      <c r="F17" s="114"/>
      <c r="G17" s="114"/>
      <c r="H17" s="114"/>
      <c r="I17" s="114"/>
      <c r="J17" s="114"/>
      <c r="K17" s="114"/>
    </row>
    <row r="18" spans="2:20" s="1" customFormat="1" x14ac:dyDescent="0.35">
      <c r="B18" s="113" t="s">
        <v>393</v>
      </c>
      <c r="C18" s="114"/>
      <c r="D18" s="114"/>
      <c r="E18" s="114"/>
      <c r="F18" s="114"/>
      <c r="G18" s="114"/>
      <c r="H18" s="114"/>
      <c r="I18" s="114"/>
      <c r="J18" s="114"/>
      <c r="K18" s="114"/>
    </row>
    <row r="19" spans="2:20" s="1" customFormat="1" x14ac:dyDescent="0.35">
      <c r="B19" s="113" t="s">
        <v>394</v>
      </c>
      <c r="C19" s="114"/>
      <c r="D19" s="114"/>
      <c r="E19" s="114"/>
      <c r="F19" s="114"/>
      <c r="G19" s="114"/>
      <c r="H19" s="114"/>
      <c r="I19" s="114"/>
      <c r="J19" s="114"/>
      <c r="K19" s="114"/>
    </row>
    <row r="20" spans="2:20" s="1" customFormat="1" x14ac:dyDescent="0.35">
      <c r="B20" s="113" t="s">
        <v>395</v>
      </c>
      <c r="C20" s="114"/>
      <c r="D20" s="114"/>
      <c r="E20" s="114"/>
      <c r="F20" s="114"/>
      <c r="G20" s="114"/>
      <c r="H20" s="114"/>
      <c r="I20" s="114"/>
      <c r="J20" s="114"/>
      <c r="K20" s="114"/>
    </row>
    <row r="21" spans="2:20" s="1" customFormat="1" x14ac:dyDescent="0.35">
      <c r="B21" s="113" t="s">
        <v>396</v>
      </c>
      <c r="C21" s="114"/>
      <c r="D21" s="114"/>
      <c r="E21" s="114"/>
      <c r="F21" s="114"/>
      <c r="G21" s="114"/>
      <c r="H21" s="114"/>
      <c r="I21" s="114"/>
      <c r="J21" s="114"/>
      <c r="K21" s="114"/>
    </row>
    <row r="22" spans="2:20" s="1" customFormat="1" x14ac:dyDescent="0.35">
      <c r="B22" s="113" t="s">
        <v>397</v>
      </c>
      <c r="C22" s="114"/>
      <c r="D22" s="114"/>
      <c r="E22" s="114"/>
      <c r="F22" s="114"/>
      <c r="G22" s="114"/>
      <c r="H22" s="114"/>
      <c r="I22" s="114"/>
      <c r="J22" s="114"/>
      <c r="K22" s="114"/>
    </row>
    <row r="23" spans="2:20" s="1" customFormat="1" x14ac:dyDescent="0.35">
      <c r="B23" s="113" t="s">
        <v>398</v>
      </c>
      <c r="C23" s="114"/>
      <c r="D23" s="114"/>
      <c r="E23" s="114"/>
      <c r="F23" s="114"/>
      <c r="G23" s="114"/>
      <c r="H23" s="114"/>
      <c r="I23" s="114"/>
      <c r="J23" s="114"/>
      <c r="K23" s="114"/>
    </row>
    <row r="24" spans="2:20" s="1" customFormat="1" x14ac:dyDescent="0.35"/>
    <row r="25" spans="2:20" s="1" customFormat="1" x14ac:dyDescent="0.35">
      <c r="B25" s="122" t="s">
        <v>325</v>
      </c>
      <c r="C25" s="114"/>
      <c r="D25" s="114"/>
      <c r="E25" s="114"/>
      <c r="F25" s="114"/>
      <c r="G25" s="114"/>
      <c r="H25" s="114"/>
      <c r="I25" s="114"/>
      <c r="J25" s="114"/>
      <c r="K25" s="114"/>
    </row>
    <row r="26" spans="2:20" s="1" customFormat="1" ht="34.5" customHeight="1" x14ac:dyDescent="0.35">
      <c r="B26" s="113" t="s">
        <v>399</v>
      </c>
      <c r="C26" s="114"/>
      <c r="D26" s="114"/>
      <c r="E26" s="114"/>
      <c r="F26" s="114"/>
      <c r="G26" s="114"/>
      <c r="H26" s="114"/>
      <c r="I26" s="114"/>
      <c r="J26" s="114"/>
      <c r="K26" s="114"/>
    </row>
    <row r="27" spans="2:20" s="1" customFormat="1" x14ac:dyDescent="0.35"/>
    <row r="28" spans="2:20" s="1" customFormat="1" x14ac:dyDescent="0.35">
      <c r="B28" s="118" t="s">
        <v>379</v>
      </c>
      <c r="C28" s="114"/>
      <c r="D28" s="114"/>
      <c r="E28" s="114"/>
      <c r="F28" s="114"/>
      <c r="G28" s="114"/>
      <c r="H28" s="114"/>
      <c r="I28" s="114"/>
      <c r="J28" s="114"/>
      <c r="K28" s="114"/>
    </row>
    <row r="29" spans="2:20" x14ac:dyDescent="0.35">
      <c r="B29" s="123" t="s">
        <v>24</v>
      </c>
      <c r="C29" s="119" t="s">
        <v>400</v>
      </c>
      <c r="D29" s="119"/>
      <c r="E29" s="119"/>
      <c r="F29" s="119"/>
      <c r="G29" s="119" t="s">
        <v>271</v>
      </c>
      <c r="H29" s="119"/>
      <c r="I29" s="119"/>
      <c r="J29" s="119"/>
      <c r="K29" s="119" t="s">
        <v>270</v>
      </c>
      <c r="L29" s="119"/>
      <c r="M29" s="119"/>
      <c r="N29" s="119"/>
      <c r="O29" s="119" t="s">
        <v>329</v>
      </c>
      <c r="P29" s="119"/>
      <c r="Q29" s="119"/>
      <c r="R29" s="119"/>
      <c r="S29" s="120" t="s">
        <v>272</v>
      </c>
      <c r="T29" s="121" t="s">
        <v>273</v>
      </c>
    </row>
    <row r="30" spans="2:20" x14ac:dyDescent="0.35">
      <c r="B30" s="123"/>
      <c r="C30" s="14" t="s">
        <v>273</v>
      </c>
      <c r="D30" s="42" t="s">
        <v>274</v>
      </c>
      <c r="E30" s="30" t="s">
        <v>275</v>
      </c>
      <c r="F30" s="46" t="s">
        <v>276</v>
      </c>
      <c r="G30" s="13" t="s">
        <v>273</v>
      </c>
      <c r="H30" s="39" t="s">
        <v>274</v>
      </c>
      <c r="I30" s="30" t="s">
        <v>275</v>
      </c>
      <c r="J30" s="46" t="s">
        <v>276</v>
      </c>
      <c r="K30" s="14" t="s">
        <v>273</v>
      </c>
      <c r="L30" s="39" t="s">
        <v>274</v>
      </c>
      <c r="M30" s="30" t="s">
        <v>275</v>
      </c>
      <c r="N30" s="46" t="s">
        <v>276</v>
      </c>
      <c r="O30" s="14" t="s">
        <v>273</v>
      </c>
      <c r="P30" s="39" t="s">
        <v>274</v>
      </c>
      <c r="Q30" s="30" t="s">
        <v>275</v>
      </c>
      <c r="R30" s="46" t="s">
        <v>276</v>
      </c>
      <c r="S30" s="120"/>
      <c r="T30" s="121"/>
    </row>
    <row r="31" spans="2:20" x14ac:dyDescent="0.35">
      <c r="B31" s="28" t="s">
        <v>280</v>
      </c>
      <c r="C31" s="35" t="s">
        <v>277</v>
      </c>
      <c r="D31" s="38">
        <f t="shared" ref="D31:D94" si="0">E31/S31</f>
        <v>0.4</v>
      </c>
      <c r="E31" s="36">
        <v>40000</v>
      </c>
      <c r="F31" s="36">
        <v>0</v>
      </c>
      <c r="G31" s="35" t="s">
        <v>277</v>
      </c>
      <c r="H31" s="38">
        <f t="shared" ref="H31:H94" si="1">I31/S31</f>
        <v>0.25</v>
      </c>
      <c r="I31" s="36">
        <v>25000</v>
      </c>
      <c r="J31" s="36">
        <v>0</v>
      </c>
      <c r="K31" s="35" t="s">
        <v>277</v>
      </c>
      <c r="L31" s="38">
        <f t="shared" ref="L31:L94" si="2">M31/S31</f>
        <v>0.2</v>
      </c>
      <c r="M31" s="36">
        <v>20000</v>
      </c>
      <c r="N31" s="36">
        <v>0</v>
      </c>
      <c r="O31" s="35" t="s">
        <v>277</v>
      </c>
      <c r="P31" s="38">
        <f>Q31/S31</f>
        <v>0.15</v>
      </c>
      <c r="Q31" s="36">
        <v>15000</v>
      </c>
      <c r="R31" s="36">
        <v>0</v>
      </c>
      <c r="S31" s="37">
        <f t="shared" ref="S31:S94" si="3">Q31+E31+M31+I31</f>
        <v>100000</v>
      </c>
      <c r="T31" s="40">
        <v>0</v>
      </c>
    </row>
    <row r="32" spans="2:20" x14ac:dyDescent="0.35">
      <c r="B32" s="9" t="s">
        <v>25</v>
      </c>
      <c r="C32" s="19">
        <v>0.18090000000000001</v>
      </c>
      <c r="D32" s="38">
        <f t="shared" si="0"/>
        <v>0.43543510324483775</v>
      </c>
      <c r="E32" s="32">
        <f>((E31+F32)*C32)+E31+F32</f>
        <v>47236</v>
      </c>
      <c r="F32" s="47">
        <v>0</v>
      </c>
      <c r="G32" s="20">
        <v>5.2699999999999997E-2</v>
      </c>
      <c r="H32" s="38">
        <f t="shared" si="1"/>
        <v>0.24260232300884957</v>
      </c>
      <c r="I32" s="32">
        <f>((I31+J32)*G32)+I31+J32</f>
        <v>26317.5</v>
      </c>
      <c r="J32" s="47">
        <v>0</v>
      </c>
      <c r="K32" s="15">
        <v>-2.2499999999999999E-2</v>
      </c>
      <c r="L32" s="38">
        <f t="shared" si="2"/>
        <v>0.18021755162241887</v>
      </c>
      <c r="M32" s="32">
        <f>((M31+N32)*K32)+M31+N32</f>
        <v>19550</v>
      </c>
      <c r="N32" s="47">
        <v>0</v>
      </c>
      <c r="O32" s="19">
        <v>2.5100000000000001E-2</v>
      </c>
      <c r="P32" s="38">
        <f t="shared" ref="P32:P95" si="4">Q32/S32</f>
        <v>0.14174502212389381</v>
      </c>
      <c r="Q32" s="31">
        <f>((Q31+R32)*O32)+Q31+R32</f>
        <v>15376.5</v>
      </c>
      <c r="R32" s="47">
        <v>0</v>
      </c>
      <c r="S32" s="37">
        <f t="shared" si="3"/>
        <v>108480</v>
      </c>
      <c r="T32" s="40">
        <f>S32/S31-1</f>
        <v>8.4799999999999986E-2</v>
      </c>
    </row>
    <row r="33" spans="2:20" x14ac:dyDescent="0.35">
      <c r="B33" s="10" t="s">
        <v>26</v>
      </c>
      <c r="C33" s="17">
        <v>-3.85E-2</v>
      </c>
      <c r="D33" s="38">
        <f t="shared" si="0"/>
        <v>0.43477285107586744</v>
      </c>
      <c r="E33" s="32">
        <f t="shared" ref="E33:E96" si="5">((E32+F33)*C33)+E32+F33</f>
        <v>45417.413999999997</v>
      </c>
      <c r="F33" s="47">
        <v>0</v>
      </c>
      <c r="G33" s="15">
        <v>-4.7199999999999999E-2</v>
      </c>
      <c r="H33" s="38">
        <f t="shared" si="1"/>
        <v>0.24004153471623491</v>
      </c>
      <c r="I33" s="32">
        <f>((I32+J33)*G33)+I32+J33</f>
        <v>25075.313999999998</v>
      </c>
      <c r="J33" s="47">
        <v>0</v>
      </c>
      <c r="K33" s="15">
        <v>-3.5099999999999999E-2</v>
      </c>
      <c r="L33" s="38">
        <f t="shared" si="2"/>
        <v>0.18057976471889597</v>
      </c>
      <c r="M33" s="32">
        <f t="shared" ref="M33:M96" si="6">((M32+N33)*K33)+M32+N33</f>
        <v>18863.794999999998</v>
      </c>
      <c r="N33" s="47">
        <v>0</v>
      </c>
      <c r="O33" s="17">
        <v>-1.7600000000000001E-2</v>
      </c>
      <c r="P33" s="38">
        <f t="shared" si="4"/>
        <v>0.14460584948900168</v>
      </c>
      <c r="Q33" s="31">
        <f t="shared" ref="Q33:Q96" si="7">((Q32+R33)*O33)+Q32+R33</f>
        <v>15105.873600000001</v>
      </c>
      <c r="R33" s="47">
        <v>0</v>
      </c>
      <c r="S33" s="37">
        <f t="shared" si="3"/>
        <v>104462.39659999999</v>
      </c>
      <c r="T33" s="40">
        <f t="shared" ref="T33:T96" si="8">S33/S32-1</f>
        <v>-3.7035429572271461E-2</v>
      </c>
    </row>
    <row r="34" spans="2:20" x14ac:dyDescent="0.35">
      <c r="B34" s="11" t="s">
        <v>27</v>
      </c>
      <c r="C34" s="17">
        <v>-8.0999999999999996E-3</v>
      </c>
      <c r="D34" s="38">
        <f t="shared" si="0"/>
        <v>0.41984679048489693</v>
      </c>
      <c r="E34" s="32">
        <f t="shared" si="5"/>
        <v>45049.532946599997</v>
      </c>
      <c r="F34" s="47">
        <v>0</v>
      </c>
      <c r="G34" s="20">
        <v>6.2600000000000003E-2</v>
      </c>
      <c r="H34" s="38">
        <f t="shared" si="1"/>
        <v>0.24832287999585007</v>
      </c>
      <c r="I34" s="32">
        <f t="shared" ref="I34:I97" si="9">((I33+J34)*G34)+I33+J34</f>
        <v>26645.028656399998</v>
      </c>
      <c r="J34" s="47">
        <v>0</v>
      </c>
      <c r="K34" s="20">
        <v>3.4500000000000003E-2</v>
      </c>
      <c r="L34" s="38">
        <f t="shared" si="2"/>
        <v>0.18186959845915276</v>
      </c>
      <c r="M34" s="32">
        <f t="shared" si="6"/>
        <v>19514.595927499999</v>
      </c>
      <c r="N34" s="47">
        <v>0</v>
      </c>
      <c r="O34" s="19">
        <v>6.5199999999999994E-2</v>
      </c>
      <c r="P34" s="38">
        <f t="shared" si="4"/>
        <v>0.14996073106010024</v>
      </c>
      <c r="Q34" s="31">
        <f t="shared" si="7"/>
        <v>16090.776558720001</v>
      </c>
      <c r="R34" s="47">
        <v>0</v>
      </c>
      <c r="S34" s="37">
        <f t="shared" si="3"/>
        <v>107299.93408922</v>
      </c>
      <c r="T34" s="40">
        <f t="shared" si="8"/>
        <v>2.7163243249006541E-2</v>
      </c>
    </row>
    <row r="35" spans="2:20" x14ac:dyDescent="0.35">
      <c r="B35" s="10" t="s">
        <v>28</v>
      </c>
      <c r="C35" s="19">
        <v>6.6500000000000004E-2</v>
      </c>
      <c r="D35" s="38">
        <f t="shared" si="0"/>
        <v>0.43359502598769623</v>
      </c>
      <c r="E35" s="32">
        <f t="shared" si="5"/>
        <v>48045.326887548894</v>
      </c>
      <c r="F35" s="47">
        <v>0</v>
      </c>
      <c r="G35" s="20">
        <v>0.08</v>
      </c>
      <c r="H35" s="38">
        <f t="shared" si="1"/>
        <v>0.25970067959648752</v>
      </c>
      <c r="I35" s="32">
        <f t="shared" si="9"/>
        <v>28776.630948911999</v>
      </c>
      <c r="J35" s="47">
        <v>0</v>
      </c>
      <c r="K35" s="15">
        <v>-2.5399999999999999E-2</v>
      </c>
      <c r="L35" s="38">
        <f t="shared" si="2"/>
        <v>0.17164023842996146</v>
      </c>
      <c r="M35" s="32">
        <f t="shared" si="6"/>
        <v>19018.9251909415</v>
      </c>
      <c r="N35" s="47">
        <v>0</v>
      </c>
      <c r="O35" s="17">
        <v>-6.9900000000000004E-2</v>
      </c>
      <c r="P35" s="38">
        <f t="shared" si="4"/>
        <v>0.13506405598585478</v>
      </c>
      <c r="Q35" s="31">
        <f t="shared" si="7"/>
        <v>14966.031277265472</v>
      </c>
      <c r="R35" s="47">
        <v>0</v>
      </c>
      <c r="S35" s="37">
        <f t="shared" si="3"/>
        <v>110806.91430466787</v>
      </c>
      <c r="T35" s="40">
        <f t="shared" si="8"/>
        <v>3.2683899064950062E-2</v>
      </c>
    </row>
    <row r="36" spans="2:20" x14ac:dyDescent="0.35">
      <c r="B36" s="11" t="s">
        <v>29</v>
      </c>
      <c r="C36" s="17">
        <v>-8.43E-2</v>
      </c>
      <c r="D36" s="38">
        <f t="shared" si="0"/>
        <v>0.39571340521085607</v>
      </c>
      <c r="E36" s="32">
        <f t="shared" si="5"/>
        <v>43995.105830928522</v>
      </c>
      <c r="F36" s="47">
        <v>0</v>
      </c>
      <c r="G36" s="20">
        <v>7.7399999999999997E-2</v>
      </c>
      <c r="H36" s="38">
        <f t="shared" si="1"/>
        <v>0.27886455334101867</v>
      </c>
      <c r="I36" s="32">
        <f t="shared" si="9"/>
        <v>31003.942184357787</v>
      </c>
      <c r="J36" s="47">
        <v>0</v>
      </c>
      <c r="K36" s="20">
        <v>6.2700000000000006E-2</v>
      </c>
      <c r="L36" s="38">
        <f t="shared" si="2"/>
        <v>0.18179127965724728</v>
      </c>
      <c r="M36" s="32">
        <f t="shared" si="6"/>
        <v>20211.411800413531</v>
      </c>
      <c r="N36" s="47">
        <v>0</v>
      </c>
      <c r="O36" s="19">
        <v>6.7000000000000004E-2</v>
      </c>
      <c r="P36" s="38">
        <f t="shared" si="4"/>
        <v>0.14363076179087805</v>
      </c>
      <c r="Q36" s="31">
        <f t="shared" si="7"/>
        <v>15968.755372842259</v>
      </c>
      <c r="R36" s="47">
        <v>0</v>
      </c>
      <c r="S36" s="37">
        <f t="shared" si="3"/>
        <v>111179.21518854209</v>
      </c>
      <c r="T36" s="40">
        <f t="shared" si="8"/>
        <v>3.3599066106160258E-3</v>
      </c>
    </row>
    <row r="37" spans="2:20" x14ac:dyDescent="0.35">
      <c r="B37" s="10" t="s">
        <v>30</v>
      </c>
      <c r="C37" s="17">
        <v>-3.8E-3</v>
      </c>
      <c r="D37" s="38">
        <f t="shared" si="0"/>
        <v>0.41220289411675054</v>
      </c>
      <c r="E37" s="32">
        <f t="shared" si="5"/>
        <v>43827.924428770995</v>
      </c>
      <c r="F37" s="47">
        <v>0</v>
      </c>
      <c r="G37" s="15">
        <v>-0.10100000000000001</v>
      </c>
      <c r="H37" s="38">
        <f t="shared" si="1"/>
        <v>0.26214208093867913</v>
      </c>
      <c r="I37" s="32">
        <f t="shared" si="9"/>
        <v>27872.54402373765</v>
      </c>
      <c r="J37" s="47">
        <v>0</v>
      </c>
      <c r="K37" s="15">
        <v>-5.8900000000000001E-2</v>
      </c>
      <c r="L37" s="38">
        <f t="shared" si="2"/>
        <v>0.17889267440536549</v>
      </c>
      <c r="M37" s="32">
        <f t="shared" si="6"/>
        <v>19020.959645369174</v>
      </c>
      <c r="N37" s="47">
        <v>0</v>
      </c>
      <c r="O37" s="17">
        <v>-2.2800000000000001E-2</v>
      </c>
      <c r="P37" s="38">
        <f t="shared" si="4"/>
        <v>0.14676235053920492</v>
      </c>
      <c r="Q37" s="31">
        <f t="shared" si="7"/>
        <v>15604.667750341456</v>
      </c>
      <c r="R37" s="47">
        <v>0</v>
      </c>
      <c r="S37" s="37">
        <f t="shared" si="3"/>
        <v>106326.09584821927</v>
      </c>
      <c r="T37" s="40">
        <f t="shared" si="8"/>
        <v>-4.3651318567888064E-2</v>
      </c>
    </row>
    <row r="38" spans="2:20" x14ac:dyDescent="0.35">
      <c r="B38" s="11" t="s">
        <v>31</v>
      </c>
      <c r="C38" s="19">
        <v>9.4000000000000004E-3</v>
      </c>
      <c r="D38" s="38">
        <f t="shared" si="0"/>
        <v>0.40787747646154859</v>
      </c>
      <c r="E38" s="32">
        <f t="shared" si="5"/>
        <v>44239.906918401444</v>
      </c>
      <c r="F38" s="47">
        <v>0</v>
      </c>
      <c r="G38" s="20">
        <v>3.61E-2</v>
      </c>
      <c r="H38" s="38">
        <f t="shared" si="1"/>
        <v>0.26625256658125457</v>
      </c>
      <c r="I38" s="32">
        <f t="shared" si="9"/>
        <v>28878.742862994579</v>
      </c>
      <c r="J38" s="47">
        <v>0</v>
      </c>
      <c r="K38" s="20">
        <v>5.4999999999999997E-3</v>
      </c>
      <c r="L38" s="38">
        <f t="shared" si="2"/>
        <v>0.17633154721660463</v>
      </c>
      <c r="M38" s="32">
        <f>((M37+N38)*K38)+M37+N38</f>
        <v>19125.574923418706</v>
      </c>
      <c r="N38" s="47">
        <v>0</v>
      </c>
      <c r="O38" s="19">
        <v>3.9399999999999998E-2</v>
      </c>
      <c r="P38" s="38">
        <f t="shared" si="4"/>
        <v>0.14953840974059215</v>
      </c>
      <c r="Q38" s="31">
        <f t="shared" si="7"/>
        <v>16219.491659704909</v>
      </c>
      <c r="R38" s="47">
        <v>0</v>
      </c>
      <c r="S38" s="37">
        <f t="shared" si="3"/>
        <v>108463.71636451964</v>
      </c>
      <c r="T38" s="40">
        <f t="shared" si="8"/>
        <v>2.0104382647058161E-2</v>
      </c>
    </row>
    <row r="39" spans="2:20" x14ac:dyDescent="0.35">
      <c r="B39" s="10" t="s">
        <v>32</v>
      </c>
      <c r="C39" s="17">
        <v>-2.5700000000000001E-2</v>
      </c>
      <c r="D39" s="38">
        <f t="shared" si="0"/>
        <v>0.40425079807837422</v>
      </c>
      <c r="E39" s="32">
        <f t="shared" si="5"/>
        <v>43102.94131059853</v>
      </c>
      <c r="F39" s="47">
        <v>0</v>
      </c>
      <c r="G39" s="15">
        <v>-3.5099999999999999E-2</v>
      </c>
      <c r="H39" s="38">
        <f t="shared" si="1"/>
        <v>0.26133920707322156</v>
      </c>
      <c r="I39" s="32">
        <f t="shared" si="9"/>
        <v>27865.098988503469</v>
      </c>
      <c r="J39" s="47">
        <v>0</v>
      </c>
      <c r="K39" s="20">
        <v>2.7000000000000001E-3</v>
      </c>
      <c r="L39" s="38">
        <f t="shared" si="2"/>
        <v>0.17985788948224452</v>
      </c>
      <c r="M39" s="32">
        <f t="shared" si="6"/>
        <v>19177.213975711937</v>
      </c>
      <c r="N39" s="47">
        <v>0</v>
      </c>
      <c r="O39" s="19">
        <v>1.6E-2</v>
      </c>
      <c r="P39" s="38">
        <f t="shared" si="4"/>
        <v>0.15455210536615976</v>
      </c>
      <c r="Q39" s="31">
        <f t="shared" si="7"/>
        <v>16479.003526260189</v>
      </c>
      <c r="R39" s="47">
        <v>0</v>
      </c>
      <c r="S39" s="37">
        <f t="shared" si="3"/>
        <v>106624.25780107411</v>
      </c>
      <c r="T39" s="40">
        <f t="shared" si="8"/>
        <v>-1.6959206498729618E-2</v>
      </c>
    </row>
    <row r="40" spans="2:20" x14ac:dyDescent="0.35">
      <c r="B40" s="11" t="s">
        <v>33</v>
      </c>
      <c r="C40" s="19">
        <v>1.1999999999999999E-3</v>
      </c>
      <c r="D40" s="38">
        <f t="shared" si="0"/>
        <v>0.36411081240982601</v>
      </c>
      <c r="E40" s="32">
        <f t="shared" si="5"/>
        <v>39027.53822417125</v>
      </c>
      <c r="F40" s="48">
        <v>-4122.18</v>
      </c>
      <c r="G40" s="15">
        <v>-2.5000000000000001E-2</v>
      </c>
      <c r="H40" s="38">
        <f t="shared" si="1"/>
        <v>0.29096739898312662</v>
      </c>
      <c r="I40" s="32">
        <f t="shared" si="9"/>
        <v>31187.597013790881</v>
      </c>
      <c r="J40" s="49">
        <v>4122.18</v>
      </c>
      <c r="K40" s="20">
        <v>4.4400000000000002E-2</v>
      </c>
      <c r="L40" s="38">
        <f t="shared" si="2"/>
        <v>0.18685933335608282</v>
      </c>
      <c r="M40" s="32">
        <f t="shared" si="6"/>
        <v>20028.682276233547</v>
      </c>
      <c r="N40" s="47">
        <v>0</v>
      </c>
      <c r="O40" s="19">
        <v>2.81E-2</v>
      </c>
      <c r="P40" s="38">
        <f t="shared" si="4"/>
        <v>0.15806245525096457</v>
      </c>
      <c r="Q40" s="31">
        <f t="shared" si="7"/>
        <v>16942.063525348101</v>
      </c>
      <c r="R40" s="47">
        <v>0</v>
      </c>
      <c r="S40" s="37">
        <f t="shared" si="3"/>
        <v>107185.88103954378</v>
      </c>
      <c r="T40" s="40">
        <f t="shared" si="8"/>
        <v>5.2673120549873165E-3</v>
      </c>
    </row>
    <row r="41" spans="2:20" x14ac:dyDescent="0.35">
      <c r="B41" s="112" t="s">
        <v>34</v>
      </c>
      <c r="C41" s="19">
        <v>7.4800000000000005E-2</v>
      </c>
      <c r="D41" s="38">
        <f t="shared" si="0"/>
        <v>0.37742691576636006</v>
      </c>
      <c r="E41" s="32">
        <f t="shared" si="5"/>
        <v>41946.798083339258</v>
      </c>
      <c r="F41" s="47">
        <v>0</v>
      </c>
      <c r="G41" s="15">
        <v>-2E-3</v>
      </c>
      <c r="H41" s="38">
        <f t="shared" si="1"/>
        <v>0.28005704870815951</v>
      </c>
      <c r="I41" s="32">
        <f t="shared" si="9"/>
        <v>31125.221819763297</v>
      </c>
      <c r="J41" s="47">
        <v>0</v>
      </c>
      <c r="K41" s="20">
        <v>1.5900000000000001E-2</v>
      </c>
      <c r="L41" s="38">
        <f t="shared" si="2"/>
        <v>0.1830785188228635</v>
      </c>
      <c r="M41" s="32">
        <f t="shared" si="6"/>
        <v>20347.138324425661</v>
      </c>
      <c r="N41" s="47">
        <v>0</v>
      </c>
      <c r="O41" s="19">
        <v>4.5900000000000003E-2</v>
      </c>
      <c r="P41" s="38">
        <f t="shared" si="4"/>
        <v>0.15943751670261697</v>
      </c>
      <c r="Q41" s="31">
        <f t="shared" si="7"/>
        <v>17719.70424116158</v>
      </c>
      <c r="R41" s="47">
        <v>0</v>
      </c>
      <c r="S41" s="37">
        <f t="shared" si="3"/>
        <v>111138.8624686898</v>
      </c>
      <c r="T41" s="40">
        <f t="shared" si="8"/>
        <v>3.6879684066669638E-2</v>
      </c>
    </row>
    <row r="42" spans="2:20" x14ac:dyDescent="0.35">
      <c r="B42" s="11" t="s">
        <v>35</v>
      </c>
      <c r="C42" s="19">
        <v>7.0199999999999999E-2</v>
      </c>
      <c r="D42" s="38">
        <f t="shared" si="0"/>
        <v>0.40965805018630902</v>
      </c>
      <c r="E42" s="32">
        <f t="shared" si="5"/>
        <v>48466.477110789674</v>
      </c>
      <c r="F42" s="49">
        <v>3340.51</v>
      </c>
      <c r="G42" s="20">
        <v>8.3099999999999993E-2</v>
      </c>
      <c r="H42" s="38">
        <f t="shared" si="1"/>
        <v>0.25436332469784917</v>
      </c>
      <c r="I42" s="32">
        <f t="shared" si="9"/>
        <v>30093.621371985624</v>
      </c>
      <c r="J42" s="48">
        <v>-3340.51</v>
      </c>
      <c r="K42" s="20">
        <v>2.9399999999999999E-2</v>
      </c>
      <c r="L42" s="38">
        <f t="shared" si="2"/>
        <v>0.1770384268330305</v>
      </c>
      <c r="M42" s="32">
        <f t="shared" si="6"/>
        <v>20945.344191163775</v>
      </c>
      <c r="N42" s="47">
        <v>0</v>
      </c>
      <c r="O42" s="19">
        <v>6.1199999999999997E-2</v>
      </c>
      <c r="P42" s="38">
        <f t="shared" si="4"/>
        <v>0.15894019828281114</v>
      </c>
      <c r="Q42" s="31">
        <f t="shared" si="7"/>
        <v>18804.150140720671</v>
      </c>
      <c r="R42" s="47">
        <v>0</v>
      </c>
      <c r="S42" s="37">
        <f t="shared" si="3"/>
        <v>118309.59281465976</v>
      </c>
      <c r="T42" s="40">
        <f t="shared" si="8"/>
        <v>6.4520458340934672E-2</v>
      </c>
    </row>
    <row r="43" spans="2:20" x14ac:dyDescent="0.35">
      <c r="B43" s="10" t="s">
        <v>36</v>
      </c>
      <c r="C43" s="19">
        <v>3.9600000000000003E-2</v>
      </c>
      <c r="D43" s="38">
        <f t="shared" si="0"/>
        <v>0.42640034996222975</v>
      </c>
      <c r="E43" s="32">
        <f t="shared" si="5"/>
        <v>50385.749604376942</v>
      </c>
      <c r="F43" s="47">
        <v>0</v>
      </c>
      <c r="G43" s="15">
        <v>-3.3599999999999998E-2</v>
      </c>
      <c r="H43" s="38">
        <f t="shared" si="1"/>
        <v>0.24611676736003507</v>
      </c>
      <c r="I43" s="32">
        <f t="shared" si="9"/>
        <v>29082.475693886907</v>
      </c>
      <c r="J43" s="47">
        <v>0</v>
      </c>
      <c r="K43" s="15">
        <v>-3.2000000000000002E-3</v>
      </c>
      <c r="L43" s="38">
        <f t="shared" si="2"/>
        <v>0.17668731013024419</v>
      </c>
      <c r="M43" s="32">
        <f t="shared" si="6"/>
        <v>20878.319089752051</v>
      </c>
      <c r="N43" s="47">
        <v>0</v>
      </c>
      <c r="O43" s="17">
        <v>-5.2400000000000002E-2</v>
      </c>
      <c r="P43" s="38">
        <f t="shared" si="4"/>
        <v>0.15079557254749096</v>
      </c>
      <c r="Q43" s="31">
        <f t="shared" si="7"/>
        <v>17818.812673346907</v>
      </c>
      <c r="R43" s="47">
        <v>0</v>
      </c>
      <c r="S43" s="37">
        <f t="shared" si="3"/>
        <v>118165.35706136281</v>
      </c>
      <c r="T43" s="40">
        <f t="shared" si="8"/>
        <v>-1.2191382783550697E-3</v>
      </c>
    </row>
    <row r="44" spans="2:20" x14ac:dyDescent="0.35">
      <c r="B44" s="9" t="s">
        <v>37</v>
      </c>
      <c r="C44" s="19">
        <v>5.7000000000000002E-3</v>
      </c>
      <c r="D44" s="38">
        <f t="shared" si="0"/>
        <v>0.39325480868359491</v>
      </c>
      <c r="E44" s="32">
        <f t="shared" si="5"/>
        <v>47535.55660012189</v>
      </c>
      <c r="F44" s="48">
        <v>-3119.61</v>
      </c>
      <c r="G44" s="20">
        <v>2.29E-2</v>
      </c>
      <c r="H44" s="38">
        <f t="shared" si="1"/>
        <v>0.24998777131340127</v>
      </c>
      <c r="I44" s="32">
        <f t="shared" si="9"/>
        <v>30217.832281276918</v>
      </c>
      <c r="J44" s="49">
        <v>458.86</v>
      </c>
      <c r="K44" s="20">
        <v>1.12E-2</v>
      </c>
      <c r="L44" s="38">
        <f t="shared" si="2"/>
        <v>0.19770271977384793</v>
      </c>
      <c r="M44" s="32">
        <f t="shared" si="6"/>
        <v>23897.759463557275</v>
      </c>
      <c r="N44" s="49">
        <v>2754.75</v>
      </c>
      <c r="O44" s="19">
        <v>8.4699999999999998E-2</v>
      </c>
      <c r="P44" s="38">
        <f t="shared" si="4"/>
        <v>0.15905470022915591</v>
      </c>
      <c r="Q44" s="31">
        <f t="shared" si="7"/>
        <v>19226.093459779393</v>
      </c>
      <c r="R44" s="48">
        <v>-94.01</v>
      </c>
      <c r="S44" s="37">
        <f t="shared" si="3"/>
        <v>120877.24180473547</v>
      </c>
      <c r="T44" s="40">
        <f t="shared" si="8"/>
        <v>2.2949913670251121E-2</v>
      </c>
    </row>
    <row r="45" spans="2:20" x14ac:dyDescent="0.35">
      <c r="B45" s="10" t="s">
        <v>38</v>
      </c>
      <c r="C45" s="17">
        <v>-3.1E-2</v>
      </c>
      <c r="D45" s="38">
        <f t="shared" si="0"/>
        <v>0.38684604963782293</v>
      </c>
      <c r="E45" s="32">
        <f t="shared" si="5"/>
        <v>46061.954345518112</v>
      </c>
      <c r="F45" s="47">
        <v>0</v>
      </c>
      <c r="G45" s="20">
        <v>2.53E-2</v>
      </c>
      <c r="H45" s="38">
        <f t="shared" si="1"/>
        <v>0.26020166399379446</v>
      </c>
      <c r="I45" s="32">
        <f t="shared" si="9"/>
        <v>30982.343437993226</v>
      </c>
      <c r="J45" s="47">
        <v>0</v>
      </c>
      <c r="K45" s="15">
        <v>-2.2599999999999999E-2</v>
      </c>
      <c r="L45" s="38">
        <f t="shared" si="2"/>
        <v>0.19616671796046448</v>
      </c>
      <c r="M45" s="32">
        <f t="shared" si="6"/>
        <v>23357.67009968088</v>
      </c>
      <c r="N45" s="47">
        <v>0</v>
      </c>
      <c r="O45" s="17">
        <v>-2.9000000000000001E-2</v>
      </c>
      <c r="P45" s="38">
        <f t="shared" si="4"/>
        <v>0.15678556840791805</v>
      </c>
      <c r="Q45" s="31">
        <f t="shared" si="7"/>
        <v>18668.53674944579</v>
      </c>
      <c r="R45" s="47">
        <v>0</v>
      </c>
      <c r="S45" s="37">
        <f t="shared" si="3"/>
        <v>119070.50463263801</v>
      </c>
      <c r="T45" s="40">
        <f t="shared" si="8"/>
        <v>-1.4946876228496775E-2</v>
      </c>
    </row>
    <row r="46" spans="2:20" x14ac:dyDescent="0.35">
      <c r="B46" s="11" t="s">
        <v>39</v>
      </c>
      <c r="C46" s="19">
        <v>3.0099999999999998E-2</v>
      </c>
      <c r="D46" s="38">
        <f t="shared" si="0"/>
        <v>0.40571993465809686</v>
      </c>
      <c r="E46" s="32">
        <f t="shared" si="5"/>
        <v>47448.419171318208</v>
      </c>
      <c r="F46" s="47">
        <v>0</v>
      </c>
      <c r="G46" s="15">
        <v>-5.0200000000000002E-2</v>
      </c>
      <c r="H46" s="38">
        <f t="shared" si="1"/>
        <v>0.2516234010553175</v>
      </c>
      <c r="I46" s="32">
        <f t="shared" si="9"/>
        <v>29427.029797405965</v>
      </c>
      <c r="J46" s="47">
        <v>0</v>
      </c>
      <c r="K46" s="15">
        <v>-3.15E-2</v>
      </c>
      <c r="L46" s="38">
        <f t="shared" si="2"/>
        <v>0.19343441502847383</v>
      </c>
      <c r="M46" s="32">
        <f t="shared" si="6"/>
        <v>22621.903491540932</v>
      </c>
      <c r="N46" s="47">
        <v>0</v>
      </c>
      <c r="O46" s="17">
        <v>-6.5199999999999994E-2</v>
      </c>
      <c r="P46" s="38">
        <f t="shared" si="4"/>
        <v>0.14922224925811176</v>
      </c>
      <c r="Q46" s="31">
        <f t="shared" si="7"/>
        <v>17451.348153381925</v>
      </c>
      <c r="R46" s="47">
        <v>0</v>
      </c>
      <c r="S46" s="37">
        <f t="shared" si="3"/>
        <v>116948.70061364703</v>
      </c>
      <c r="T46" s="40">
        <f t="shared" si="8"/>
        <v>-1.781972811434096E-2</v>
      </c>
    </row>
    <row r="47" spans="2:20" x14ac:dyDescent="0.35">
      <c r="B47" s="10" t="s">
        <v>40</v>
      </c>
      <c r="C47" s="19">
        <v>6.5500000000000003E-2</v>
      </c>
      <c r="D47" s="38">
        <f t="shared" si="0"/>
        <v>0.41604152002649492</v>
      </c>
      <c r="E47" s="32">
        <f t="shared" si="5"/>
        <v>50556.290627039554</v>
      </c>
      <c r="F47" s="47">
        <v>0</v>
      </c>
      <c r="G47" s="20">
        <v>2.0199999999999999E-2</v>
      </c>
      <c r="H47" s="38">
        <f t="shared" si="1"/>
        <v>0.24705475716753625</v>
      </c>
      <c r="I47" s="32">
        <f t="shared" si="9"/>
        <v>30021.455799313564</v>
      </c>
      <c r="J47" s="47">
        <v>0</v>
      </c>
      <c r="K47" s="20">
        <v>4.1000000000000002E-2</v>
      </c>
      <c r="L47" s="38">
        <f t="shared" si="2"/>
        <v>0.19379445542170162</v>
      </c>
      <c r="M47" s="32">
        <f t="shared" si="6"/>
        <v>23549.401534694109</v>
      </c>
      <c r="N47" s="47">
        <v>0</v>
      </c>
      <c r="O47" s="17">
        <v>-3.5000000000000001E-3</v>
      </c>
      <c r="P47" s="38">
        <f t="shared" si="4"/>
        <v>0.14310926738426721</v>
      </c>
      <c r="Q47" s="31">
        <f t="shared" si="7"/>
        <v>17390.268434845089</v>
      </c>
      <c r="R47" s="47">
        <v>0</v>
      </c>
      <c r="S47" s="37">
        <f t="shared" si="3"/>
        <v>121517.41639589232</v>
      </c>
      <c r="T47" s="40">
        <f t="shared" si="8"/>
        <v>3.9065981565186814E-2</v>
      </c>
    </row>
    <row r="48" spans="2:20" x14ac:dyDescent="0.35">
      <c r="B48" s="11" t="s">
        <v>41</v>
      </c>
      <c r="C48" s="19">
        <v>7.7499999999999999E-2</v>
      </c>
      <c r="D48" s="38">
        <f t="shared" si="0"/>
        <v>0.44579264039348249</v>
      </c>
      <c r="E48" s="32">
        <f t="shared" si="5"/>
        <v>54474.403150635117</v>
      </c>
      <c r="F48" s="47">
        <v>0</v>
      </c>
      <c r="G48" s="15">
        <v>-6.9099999999999995E-2</v>
      </c>
      <c r="H48" s="38">
        <f t="shared" si="1"/>
        <v>0.22870475406548849</v>
      </c>
      <c r="I48" s="32">
        <f t="shared" si="9"/>
        <v>27946.973203580998</v>
      </c>
      <c r="J48" s="47">
        <v>0</v>
      </c>
      <c r="K48" s="15">
        <v>-1.37E-2</v>
      </c>
      <c r="L48" s="38">
        <f t="shared" si="2"/>
        <v>0.19007689185165713</v>
      </c>
      <c r="M48" s="32">
        <f t="shared" si="6"/>
        <v>23226.774733668801</v>
      </c>
      <c r="N48" s="47">
        <v>0</v>
      </c>
      <c r="O48" s="17">
        <v>-4.8399999999999999E-2</v>
      </c>
      <c r="P48" s="38">
        <f t="shared" si="4"/>
        <v>0.1354257136893719</v>
      </c>
      <c r="Q48" s="31">
        <f t="shared" si="7"/>
        <v>16548.579442598588</v>
      </c>
      <c r="R48" s="47">
        <v>0</v>
      </c>
      <c r="S48" s="37">
        <f t="shared" si="3"/>
        <v>122196.7305304835</v>
      </c>
      <c r="T48" s="40">
        <f t="shared" si="8"/>
        <v>5.5902615011007573E-3</v>
      </c>
    </row>
    <row r="49" spans="2:20" x14ac:dyDescent="0.35">
      <c r="B49" s="10" t="s">
        <v>42</v>
      </c>
      <c r="C49" s="19">
        <v>2.53E-2</v>
      </c>
      <c r="D49" s="38">
        <f t="shared" si="0"/>
        <v>0.46423398994950438</v>
      </c>
      <c r="E49" s="32">
        <f t="shared" si="5"/>
        <v>55852.605550346183</v>
      </c>
      <c r="F49" s="47">
        <v>0</v>
      </c>
      <c r="G49" s="15">
        <v>-2.81E-2</v>
      </c>
      <c r="H49" s="38">
        <f t="shared" si="1"/>
        <v>0.22576148745454033</v>
      </c>
      <c r="I49" s="32">
        <f t="shared" si="9"/>
        <v>27161.663256560372</v>
      </c>
      <c r="J49" s="47">
        <v>0</v>
      </c>
      <c r="K49" s="15">
        <v>-2.7900000000000001E-2</v>
      </c>
      <c r="L49" s="38">
        <f t="shared" si="2"/>
        <v>0.18766934932015397</v>
      </c>
      <c r="M49" s="32">
        <f t="shared" si="6"/>
        <v>22578.747718599443</v>
      </c>
      <c r="N49" s="47">
        <v>0</v>
      </c>
      <c r="O49" s="17">
        <v>-0.1106</v>
      </c>
      <c r="P49" s="38">
        <f t="shared" si="4"/>
        <v>0.12233517327580126</v>
      </c>
      <c r="Q49" s="31">
        <f t="shared" si="7"/>
        <v>14718.306556247184</v>
      </c>
      <c r="R49" s="47">
        <v>0</v>
      </c>
      <c r="S49" s="37">
        <f t="shared" si="3"/>
        <v>120311.32308175319</v>
      </c>
      <c r="T49" s="40">
        <f t="shared" si="8"/>
        <v>-1.5429279003990826E-2</v>
      </c>
    </row>
    <row r="50" spans="2:20" x14ac:dyDescent="0.35">
      <c r="B50" s="11" t="s">
        <v>43</v>
      </c>
      <c r="C50" s="19">
        <v>1.15E-2</v>
      </c>
      <c r="D50" s="38">
        <f t="shared" si="0"/>
        <v>0.47817887709446016</v>
      </c>
      <c r="E50" s="32">
        <f t="shared" si="5"/>
        <v>56494.910514175164</v>
      </c>
      <c r="F50" s="47">
        <v>0</v>
      </c>
      <c r="G50" s="15">
        <v>-1.9E-3</v>
      </c>
      <c r="H50" s="38">
        <f t="shared" si="1"/>
        <v>0.22946237217029938</v>
      </c>
      <c r="I50" s="32">
        <f t="shared" si="9"/>
        <v>27110.056096372908</v>
      </c>
      <c r="J50" s="47">
        <v>0</v>
      </c>
      <c r="K50" s="15">
        <v>-5.4399999999999997E-2</v>
      </c>
      <c r="L50" s="38">
        <f t="shared" si="2"/>
        <v>0.18071257628048068</v>
      </c>
      <c r="M50" s="32">
        <f t="shared" si="6"/>
        <v>21350.463842707635</v>
      </c>
      <c r="N50" s="47">
        <v>0</v>
      </c>
      <c r="O50" s="17">
        <v>-0.1038</v>
      </c>
      <c r="P50" s="38">
        <f t="shared" si="4"/>
        <v>0.11164617445475981</v>
      </c>
      <c r="Q50" s="31">
        <f t="shared" si="7"/>
        <v>13190.546335708726</v>
      </c>
      <c r="R50" s="47">
        <v>0</v>
      </c>
      <c r="S50" s="37">
        <f t="shared" si="3"/>
        <v>118145.97678896443</v>
      </c>
      <c r="T50" s="40">
        <f>S50/S49-1</f>
        <v>-1.7997859530788918E-2</v>
      </c>
    </row>
    <row r="51" spans="2:20" x14ac:dyDescent="0.35">
      <c r="B51" s="10" t="s">
        <v>44</v>
      </c>
      <c r="C51" s="19">
        <v>1.9900000000000001E-2</v>
      </c>
      <c r="D51" s="38">
        <f t="shared" si="0"/>
        <v>0.46381015561883182</v>
      </c>
      <c r="E51" s="32">
        <f t="shared" si="5"/>
        <v>57619.159233407248</v>
      </c>
      <c r="F51" s="47">
        <v>0</v>
      </c>
      <c r="G51" s="20">
        <v>6.9099999999999995E-2</v>
      </c>
      <c r="H51" s="38">
        <f t="shared" si="1"/>
        <v>0.23330394510996802</v>
      </c>
      <c r="I51" s="32">
        <f t="shared" si="9"/>
        <v>28983.360972632276</v>
      </c>
      <c r="J51" s="47">
        <v>0</v>
      </c>
      <c r="K51" s="20">
        <v>6.7400000000000002E-2</v>
      </c>
      <c r="L51" s="38">
        <f t="shared" si="2"/>
        <v>0.1834458324970176</v>
      </c>
      <c r="M51" s="32">
        <f t="shared" si="6"/>
        <v>22789.485105706131</v>
      </c>
      <c r="N51" s="47">
        <v>0</v>
      </c>
      <c r="O51" s="19">
        <v>0.1249</v>
      </c>
      <c r="P51" s="38">
        <f t="shared" si="4"/>
        <v>0.11944006677418255</v>
      </c>
      <c r="Q51" s="31">
        <f t="shared" si="7"/>
        <v>14838.045573038746</v>
      </c>
      <c r="R51" s="47">
        <v>0</v>
      </c>
      <c r="S51" s="37">
        <f t="shared" si="3"/>
        <v>124230.0508847844</v>
      </c>
      <c r="T51" s="40">
        <f t="shared" si="8"/>
        <v>5.149624440185141E-2</v>
      </c>
    </row>
    <row r="52" spans="2:20" x14ac:dyDescent="0.35">
      <c r="B52" s="11" t="s">
        <v>45</v>
      </c>
      <c r="C52" s="19">
        <v>0.1128</v>
      </c>
      <c r="D52" s="38">
        <f t="shared" si="0"/>
        <v>0.49262360799685162</v>
      </c>
      <c r="E52" s="32">
        <f t="shared" si="5"/>
        <v>64118.600394935587</v>
      </c>
      <c r="F52" s="47">
        <v>0</v>
      </c>
      <c r="G52" s="20">
        <v>2.9700000000000001E-2</v>
      </c>
      <c r="H52" s="38">
        <f t="shared" si="1"/>
        <v>0.22929292019675179</v>
      </c>
      <c r="I52" s="32">
        <f t="shared" si="9"/>
        <v>29844.166793519453</v>
      </c>
      <c r="J52" s="47">
        <v>0</v>
      </c>
      <c r="K52" s="15">
        <v>-3.5400000000000001E-2</v>
      </c>
      <c r="L52" s="38">
        <f t="shared" si="2"/>
        <v>0.16889350846571544</v>
      </c>
      <c r="M52" s="32">
        <f t="shared" si="6"/>
        <v>21982.737332964134</v>
      </c>
      <c r="N52" s="47">
        <v>0</v>
      </c>
      <c r="O52" s="17">
        <v>-4.2200000000000001E-2</v>
      </c>
      <c r="P52" s="38">
        <f t="shared" si="4"/>
        <v>0.10918996334068098</v>
      </c>
      <c r="Q52" s="31">
        <f t="shared" si="7"/>
        <v>14211.880049856511</v>
      </c>
      <c r="R52" s="47">
        <v>0</v>
      </c>
      <c r="S52" s="37">
        <f t="shared" si="3"/>
        <v>130157.3845712757</v>
      </c>
      <c r="T52" s="40">
        <f t="shared" si="8"/>
        <v>4.7712559435305391E-2</v>
      </c>
    </row>
    <row r="53" spans="2:20" x14ac:dyDescent="0.35">
      <c r="B53" s="10" t="s">
        <v>46</v>
      </c>
      <c r="C53" s="19">
        <v>0.10630000000000001</v>
      </c>
      <c r="D53" s="38">
        <f t="shared" si="0"/>
        <v>0.5205416459547435</v>
      </c>
      <c r="E53" s="32">
        <f t="shared" si="5"/>
        <v>70934.407616917248</v>
      </c>
      <c r="F53" s="47">
        <v>0</v>
      </c>
      <c r="G53" s="20">
        <v>1.6500000000000001E-2</v>
      </c>
      <c r="H53" s="38">
        <f t="shared" si="1"/>
        <v>0.22262061400806504</v>
      </c>
      <c r="I53" s="32">
        <f t="shared" si="9"/>
        <v>30336.595545612523</v>
      </c>
      <c r="J53" s="47">
        <v>0</v>
      </c>
      <c r="K53" s="15">
        <v>-3.5299999999999998E-2</v>
      </c>
      <c r="L53" s="38">
        <f t="shared" si="2"/>
        <v>0.15562257028831306</v>
      </c>
      <c r="M53" s="32">
        <f t="shared" si="6"/>
        <v>21206.746705110501</v>
      </c>
      <c r="N53" s="47">
        <v>0</v>
      </c>
      <c r="O53" s="17">
        <v>-2.9499999999999998E-2</v>
      </c>
      <c r="P53" s="38">
        <f t="shared" si="4"/>
        <v>0.1012151697488784</v>
      </c>
      <c r="Q53" s="31">
        <f t="shared" si="7"/>
        <v>13792.629588385744</v>
      </c>
      <c r="R53" s="47">
        <v>0</v>
      </c>
      <c r="S53" s="37">
        <f t="shared" si="3"/>
        <v>136270.37945602601</v>
      </c>
      <c r="T53" s="40">
        <f t="shared" si="8"/>
        <v>4.6966177945921839E-2</v>
      </c>
    </row>
    <row r="54" spans="2:20" x14ac:dyDescent="0.35">
      <c r="B54" s="11" t="s">
        <v>47</v>
      </c>
      <c r="C54" s="17">
        <v>-3.4299999999999997E-2</v>
      </c>
      <c r="D54" s="38">
        <f t="shared" si="0"/>
        <v>0.51719577184899079</v>
      </c>
      <c r="E54" s="32">
        <f t="shared" si="5"/>
        <v>68501.357435656988</v>
      </c>
      <c r="F54" s="47">
        <v>0</v>
      </c>
      <c r="G54" s="20">
        <v>5.1999999999999998E-3</v>
      </c>
      <c r="H54" s="38">
        <f t="shared" si="1"/>
        <v>0.23023699566581554</v>
      </c>
      <c r="I54" s="32">
        <f t="shared" si="9"/>
        <v>30494.345842449708</v>
      </c>
      <c r="J54" s="47">
        <v>0</v>
      </c>
      <c r="K54" s="15">
        <v>-2.3800000000000002E-2</v>
      </c>
      <c r="L54" s="38">
        <f t="shared" si="2"/>
        <v>0.15630347756284216</v>
      </c>
      <c r="M54" s="32">
        <f t="shared" si="6"/>
        <v>20702.026133528871</v>
      </c>
      <c r="N54" s="47">
        <v>0</v>
      </c>
      <c r="O54" s="17">
        <v>-7.5600000000000001E-2</v>
      </c>
      <c r="P54" s="38">
        <f t="shared" si="4"/>
        <v>9.6263754922351535E-2</v>
      </c>
      <c r="Q54" s="31">
        <f t="shared" si="7"/>
        <v>12749.906791503781</v>
      </c>
      <c r="R54" s="47">
        <v>0</v>
      </c>
      <c r="S54" s="37">
        <f t="shared" si="3"/>
        <v>132447.63620313935</v>
      </c>
      <c r="T54" s="40">
        <f t="shared" si="8"/>
        <v>-2.8052635269282811E-2</v>
      </c>
    </row>
    <row r="55" spans="2:20" x14ac:dyDescent="0.35">
      <c r="B55" s="10" t="s">
        <v>48</v>
      </c>
      <c r="C55" s="17">
        <v>-5.8999999999999999E-3</v>
      </c>
      <c r="D55" s="38">
        <f t="shared" si="0"/>
        <v>0.51293245227040263</v>
      </c>
      <c r="E55" s="32">
        <f t="shared" si="5"/>
        <v>68097.19942678661</v>
      </c>
      <c r="F55" s="47">
        <v>0</v>
      </c>
      <c r="G55" s="20">
        <v>6.1400000000000003E-2</v>
      </c>
      <c r="H55" s="38">
        <f t="shared" si="1"/>
        <v>0.24379754621525057</v>
      </c>
      <c r="I55" s="32">
        <f t="shared" si="9"/>
        <v>32366.698677176119</v>
      </c>
      <c r="J55" s="47">
        <v>0</v>
      </c>
      <c r="K55" s="15">
        <v>-1.14E-2</v>
      </c>
      <c r="L55" s="38">
        <f t="shared" si="2"/>
        <v>0.15415740253991872</v>
      </c>
      <c r="M55" s="32">
        <f t="shared" si="6"/>
        <v>20466.023035606642</v>
      </c>
      <c r="N55" s="47">
        <v>0</v>
      </c>
      <c r="O55" s="17">
        <v>-7.2099999999999997E-2</v>
      </c>
      <c r="P55" s="38">
        <f t="shared" si="4"/>
        <v>8.9112598974428095E-2</v>
      </c>
      <c r="Q55" s="31">
        <f t="shared" si="7"/>
        <v>11830.638511836358</v>
      </c>
      <c r="R55" s="47">
        <v>0</v>
      </c>
      <c r="S55" s="37">
        <f t="shared" si="3"/>
        <v>132760.55965140573</v>
      </c>
      <c r="T55" s="40">
        <f t="shared" si="8"/>
        <v>2.3626201058539742E-3</v>
      </c>
    </row>
    <row r="56" spans="2:20" x14ac:dyDescent="0.35">
      <c r="B56" s="9" t="s">
        <v>49</v>
      </c>
      <c r="C56" s="17">
        <v>-6.3899999999999998E-2</v>
      </c>
      <c r="D56" s="38">
        <f t="shared" si="0"/>
        <v>0.3817349518650639</v>
      </c>
      <c r="E56" s="32">
        <f t="shared" si="5"/>
        <v>49710.859805414948</v>
      </c>
      <c r="F56" s="48">
        <v>-14992.98</v>
      </c>
      <c r="G56" s="20">
        <v>9.6100000000000005E-2</v>
      </c>
      <c r="H56" s="38">
        <f t="shared" si="1"/>
        <v>0.27936364978109413</v>
      </c>
      <c r="I56" s="32">
        <f t="shared" si="9"/>
        <v>36379.711004052748</v>
      </c>
      <c r="J56" s="49">
        <v>823.44</v>
      </c>
      <c r="K56" s="15">
        <v>-7.2800000000000004E-2</v>
      </c>
      <c r="L56" s="38">
        <f t="shared" si="2"/>
        <v>0.18905282109551316</v>
      </c>
      <c r="M56" s="32">
        <f t="shared" si="6"/>
        <v>24619.119206614479</v>
      </c>
      <c r="N56" s="49">
        <v>6086.09</v>
      </c>
      <c r="O56" s="17">
        <v>-2.01E-2</v>
      </c>
      <c r="P56" s="38">
        <f t="shared" si="4"/>
        <v>0.14984857725832895</v>
      </c>
      <c r="Q56" s="31">
        <f t="shared" si="7"/>
        <v>19513.805533748447</v>
      </c>
      <c r="R56" s="49">
        <v>8083.44</v>
      </c>
      <c r="S56" s="37">
        <f t="shared" si="3"/>
        <v>130223.49554983061</v>
      </c>
      <c r="T56" s="40">
        <f t="shared" si="8"/>
        <v>-1.9110073867094068E-2</v>
      </c>
    </row>
    <row r="57" spans="2:20" x14ac:dyDescent="0.35">
      <c r="B57" s="10" t="s">
        <v>50</v>
      </c>
      <c r="C57" s="19">
        <v>3.7499999999999999E-2</v>
      </c>
      <c r="D57" s="38">
        <f t="shared" si="0"/>
        <v>0.40138133358895944</v>
      </c>
      <c r="E57" s="32">
        <f t="shared" si="5"/>
        <v>51575.01704811801</v>
      </c>
      <c r="F57" s="47">
        <v>0</v>
      </c>
      <c r="G57" s="20">
        <v>4.0000000000000002E-4</v>
      </c>
      <c r="H57" s="38">
        <f t="shared" si="1"/>
        <v>0.2832374783226182</v>
      </c>
      <c r="I57" s="32">
        <f t="shared" si="9"/>
        <v>36394.262888454366</v>
      </c>
      <c r="J57" s="47">
        <v>0</v>
      </c>
      <c r="K57" s="15">
        <v>-8.3000000000000004E-2</v>
      </c>
      <c r="L57" s="38">
        <f t="shared" si="2"/>
        <v>0.17569509543488196</v>
      </c>
      <c r="M57" s="32">
        <f t="shared" si="6"/>
        <v>22575.732312465479</v>
      </c>
      <c r="N57" s="47">
        <v>0</v>
      </c>
      <c r="O57" s="17">
        <v>-8.0199999999999994E-2</v>
      </c>
      <c r="P57" s="38">
        <f t="shared" si="4"/>
        <v>0.13968609265354037</v>
      </c>
      <c r="Q57" s="31">
        <f t="shared" si="7"/>
        <v>17948.798329941823</v>
      </c>
      <c r="R57" s="47">
        <v>0</v>
      </c>
      <c r="S57" s="37">
        <f t="shared" si="3"/>
        <v>128493.81057897968</v>
      </c>
      <c r="T57" s="40">
        <f t="shared" si="8"/>
        <v>-1.328243389219308E-2</v>
      </c>
    </row>
    <row r="58" spans="2:20" x14ac:dyDescent="0.35">
      <c r="B58" s="11" t="s">
        <v>51</v>
      </c>
      <c r="C58" s="17">
        <v>-3.8100000000000002E-2</v>
      </c>
      <c r="D58" s="38">
        <f t="shared" si="0"/>
        <v>0.38612831583114132</v>
      </c>
      <c r="E58" s="32">
        <f t="shared" si="5"/>
        <v>49610.008898584711</v>
      </c>
      <c r="F58" s="47">
        <v>0</v>
      </c>
      <c r="G58" s="15">
        <v>-1.9599999999999999E-2</v>
      </c>
      <c r="H58" s="38">
        <f t="shared" si="1"/>
        <v>0.27771451314738749</v>
      </c>
      <c r="I58" s="32">
        <f t="shared" si="9"/>
        <v>35680.935335840659</v>
      </c>
      <c r="J58" s="47">
        <v>0</v>
      </c>
      <c r="K58" s="20">
        <v>3.6799999999999999E-2</v>
      </c>
      <c r="L58" s="38">
        <f t="shared" si="2"/>
        <v>0.18217936385403055</v>
      </c>
      <c r="M58" s="32">
        <f t="shared" si="6"/>
        <v>23406.519261564208</v>
      </c>
      <c r="N58" s="47">
        <v>0</v>
      </c>
      <c r="O58" s="19">
        <v>0.1022</v>
      </c>
      <c r="P58" s="38">
        <f t="shared" si="4"/>
        <v>0.15397780716744075</v>
      </c>
      <c r="Q58" s="31">
        <f t="shared" si="7"/>
        <v>19783.165519261878</v>
      </c>
      <c r="R58" s="47">
        <v>0</v>
      </c>
      <c r="S58" s="37">
        <f t="shared" si="3"/>
        <v>128480.62901525144</v>
      </c>
      <c r="T58" s="40">
        <f t="shared" si="8"/>
        <v>-1.0258520366734913E-4</v>
      </c>
    </row>
    <row r="59" spans="2:20" x14ac:dyDescent="0.35">
      <c r="B59" s="10" t="s">
        <v>52</v>
      </c>
      <c r="C59" s="19">
        <v>0.14630000000000001</v>
      </c>
      <c r="D59" s="38">
        <f t="shared" si="0"/>
        <v>0.42217170475689647</v>
      </c>
      <c r="E59" s="32">
        <f t="shared" si="5"/>
        <v>56867.953200447657</v>
      </c>
      <c r="F59" s="47">
        <v>0</v>
      </c>
      <c r="G59" s="15">
        <v>-6.7000000000000004E-2</v>
      </c>
      <c r="H59" s="38">
        <f t="shared" si="1"/>
        <v>0.24713792672552684</v>
      </c>
      <c r="I59" s="32">
        <f t="shared" si="9"/>
        <v>33290.312668339335</v>
      </c>
      <c r="J59" s="47">
        <v>0</v>
      </c>
      <c r="K59" s="20">
        <v>2.41E-2</v>
      </c>
      <c r="L59" s="38">
        <f t="shared" si="2"/>
        <v>0.17795112026911941</v>
      </c>
      <c r="M59" s="32">
        <f t="shared" si="6"/>
        <v>23970.616375767906</v>
      </c>
      <c r="N59" s="47">
        <v>0</v>
      </c>
      <c r="O59" s="19">
        <v>0.04</v>
      </c>
      <c r="P59" s="38">
        <f t="shared" si="4"/>
        <v>0.15273924824845728</v>
      </c>
      <c r="Q59" s="31">
        <f t="shared" si="7"/>
        <v>20574.492140032355</v>
      </c>
      <c r="R59" s="47">
        <v>0</v>
      </c>
      <c r="S59" s="37">
        <f t="shared" si="3"/>
        <v>134703.37438458725</v>
      </c>
      <c r="T59" s="40">
        <f t="shared" si="8"/>
        <v>4.8433335180800841E-2</v>
      </c>
    </row>
    <row r="60" spans="2:20" x14ac:dyDescent="0.35">
      <c r="B60" s="11" t="s">
        <v>53</v>
      </c>
      <c r="C60" s="19">
        <v>5.5E-2</v>
      </c>
      <c r="D60" s="38">
        <f t="shared" si="0"/>
        <v>0.44314118669896646</v>
      </c>
      <c r="E60" s="32">
        <f t="shared" si="5"/>
        <v>59995.690626472278</v>
      </c>
      <c r="F60" s="47">
        <v>0</v>
      </c>
      <c r="G60" s="15">
        <v>-2.6200000000000001E-2</v>
      </c>
      <c r="H60" s="38">
        <f t="shared" si="1"/>
        <v>0.23944716736304084</v>
      </c>
      <c r="I60" s="32">
        <f t="shared" si="9"/>
        <v>32418.106476428846</v>
      </c>
      <c r="J60" s="47">
        <v>0</v>
      </c>
      <c r="K60" s="15">
        <v>-2.9600000000000001E-2</v>
      </c>
      <c r="L60" s="38">
        <f t="shared" si="2"/>
        <v>0.17181142852733475</v>
      </c>
      <c r="M60" s="32">
        <f t="shared" si="6"/>
        <v>23261.086131045176</v>
      </c>
      <c r="N60" s="47">
        <v>0</v>
      </c>
      <c r="O60" s="17">
        <v>-4.19E-2</v>
      </c>
      <c r="P60" s="38">
        <f t="shared" si="4"/>
        <v>0.14560021741065796</v>
      </c>
      <c r="Q60" s="31">
        <f t="shared" si="7"/>
        <v>19712.420919364999</v>
      </c>
      <c r="R60" s="47">
        <v>0</v>
      </c>
      <c r="S60" s="37">
        <f t="shared" si="3"/>
        <v>135387.3041533113</v>
      </c>
      <c r="T60" s="40">
        <f t="shared" si="8"/>
        <v>5.0773024198442762E-3</v>
      </c>
    </row>
    <row r="61" spans="2:20" x14ac:dyDescent="0.35">
      <c r="B61" s="10" t="s">
        <v>54</v>
      </c>
      <c r="C61" s="17">
        <v>-0.1239</v>
      </c>
      <c r="D61" s="38">
        <f t="shared" si="0"/>
        <v>0.42690942864578096</v>
      </c>
      <c r="E61" s="32">
        <f t="shared" si="5"/>
        <v>52562.224557852365</v>
      </c>
      <c r="F61" s="47">
        <v>0</v>
      </c>
      <c r="G61" s="20">
        <v>1.5699999999999999E-2</v>
      </c>
      <c r="H61" s="38">
        <f t="shared" si="1"/>
        <v>0.26743306772685566</v>
      </c>
      <c r="I61" s="32">
        <f t="shared" si="9"/>
        <v>32927.070748108781</v>
      </c>
      <c r="J61" s="47">
        <v>0</v>
      </c>
      <c r="K61" s="15">
        <v>-0.11</v>
      </c>
      <c r="L61" s="38">
        <f t="shared" si="2"/>
        <v>0.16814424418566845</v>
      </c>
      <c r="M61" s="32">
        <f t="shared" si="6"/>
        <v>20702.366656630205</v>
      </c>
      <c r="N61" s="47">
        <v>0</v>
      </c>
      <c r="O61" s="17">
        <v>-0.1411</v>
      </c>
      <c r="P61" s="38">
        <f t="shared" si="4"/>
        <v>0.13751325944169482</v>
      </c>
      <c r="Q61" s="31">
        <f t="shared" si="7"/>
        <v>16930.998327642599</v>
      </c>
      <c r="R61" s="47">
        <v>0</v>
      </c>
      <c r="S61" s="37">
        <f t="shared" si="3"/>
        <v>123122.66029023397</v>
      </c>
      <c r="T61" s="40">
        <f t="shared" si="8"/>
        <v>-9.0589320319052757E-2</v>
      </c>
    </row>
    <row r="62" spans="2:20" x14ac:dyDescent="0.35">
      <c r="B62" s="11" t="s">
        <v>55</v>
      </c>
      <c r="C62" s="17">
        <v>-0.109</v>
      </c>
      <c r="D62" s="38">
        <f t="shared" si="0"/>
        <v>0.40423222787197977</v>
      </c>
      <c r="E62" s="32">
        <f t="shared" si="5"/>
        <v>46832.942081046458</v>
      </c>
      <c r="F62" s="47">
        <v>0</v>
      </c>
      <c r="G62" s="15">
        <v>-3.2599999999999997E-2</v>
      </c>
      <c r="H62" s="38">
        <f t="shared" si="1"/>
        <v>0.274940471865254</v>
      </c>
      <c r="I62" s="32">
        <f t="shared" si="9"/>
        <v>31853.648241720435</v>
      </c>
      <c r="J62" s="47">
        <v>0</v>
      </c>
      <c r="K62" s="15">
        <v>-3.04E-2</v>
      </c>
      <c r="L62" s="38">
        <f t="shared" si="2"/>
        <v>0.17325752122078961</v>
      </c>
      <c r="M62" s="32">
        <f t="shared" si="6"/>
        <v>20073.014710268646</v>
      </c>
      <c r="N62" s="47">
        <v>0</v>
      </c>
      <c r="O62" s="19">
        <v>9.7999999999999997E-3</v>
      </c>
      <c r="P62" s="38">
        <f t="shared" si="4"/>
        <v>0.1475697790419766</v>
      </c>
      <c r="Q62" s="31">
        <f t="shared" si="7"/>
        <v>17096.922111253498</v>
      </c>
      <c r="R62" s="47">
        <v>0</v>
      </c>
      <c r="S62" s="37">
        <f t="shared" si="3"/>
        <v>115856.52714428904</v>
      </c>
      <c r="T62" s="40">
        <f t="shared" si="8"/>
        <v>-5.9015400811001428E-2</v>
      </c>
    </row>
    <row r="63" spans="2:20" x14ac:dyDescent="0.35">
      <c r="B63" s="10" t="s">
        <v>56</v>
      </c>
      <c r="C63" s="17">
        <v>-5.45E-2</v>
      </c>
      <c r="D63" s="38">
        <f t="shared" si="0"/>
        <v>0.38782127650663167</v>
      </c>
      <c r="E63" s="32">
        <f t="shared" si="5"/>
        <v>44280.546737629425</v>
      </c>
      <c r="F63" s="47">
        <v>0</v>
      </c>
      <c r="G63" s="15">
        <v>-4.8500000000000001E-2</v>
      </c>
      <c r="H63" s="38">
        <f t="shared" si="1"/>
        <v>0.26545238363480517</v>
      </c>
      <c r="I63" s="32">
        <f t="shared" si="9"/>
        <v>30308.746301996995</v>
      </c>
      <c r="J63" s="47">
        <v>0</v>
      </c>
      <c r="K63" s="20">
        <v>5.9499999999999997E-2</v>
      </c>
      <c r="L63" s="38">
        <f t="shared" si="2"/>
        <v>0.18626541350868081</v>
      </c>
      <c r="M63" s="32">
        <f t="shared" si="6"/>
        <v>21267.359085529632</v>
      </c>
      <c r="N63" s="47">
        <v>0</v>
      </c>
      <c r="O63" s="19">
        <v>7.1599999999999997E-2</v>
      </c>
      <c r="P63" s="38">
        <f t="shared" si="4"/>
        <v>0.16046092634988229</v>
      </c>
      <c r="Q63" s="31">
        <f t="shared" si="7"/>
        <v>18321.061734419247</v>
      </c>
      <c r="R63" s="47">
        <v>0</v>
      </c>
      <c r="S63" s="37">
        <f t="shared" si="3"/>
        <v>114177.71385957531</v>
      </c>
      <c r="T63" s="40">
        <f t="shared" si="8"/>
        <v>-1.4490450612445138E-2</v>
      </c>
    </row>
    <row r="64" spans="2:20" x14ac:dyDescent="0.35">
      <c r="B64" s="11" t="s">
        <v>57</v>
      </c>
      <c r="C64" s="17">
        <v>-7.9100000000000004E-2</v>
      </c>
      <c r="D64" s="38">
        <f t="shared" si="0"/>
        <v>0.37775687952469056</v>
      </c>
      <c r="E64" s="32">
        <f t="shared" si="5"/>
        <v>46035.272291682937</v>
      </c>
      <c r="F64" s="49">
        <v>5708.89</v>
      </c>
      <c r="G64" s="20">
        <v>0.2581</v>
      </c>
      <c r="H64" s="38">
        <f t="shared" si="1"/>
        <v>0.25396238592429199</v>
      </c>
      <c r="I64" s="32">
        <f t="shared" si="9"/>
        <v>30949.07921354242</v>
      </c>
      <c r="J64" s="48">
        <v>-5708.89</v>
      </c>
      <c r="K64" s="20">
        <v>9.11E-2</v>
      </c>
      <c r="L64" s="38">
        <f t="shared" si="2"/>
        <v>0.19041439870309998</v>
      </c>
      <c r="M64" s="32">
        <f t="shared" si="6"/>
        <v>23204.815498221382</v>
      </c>
      <c r="N64" s="47">
        <v>0</v>
      </c>
      <c r="O64" s="19">
        <v>0.18310000000000001</v>
      </c>
      <c r="P64" s="38">
        <f t="shared" si="4"/>
        <v>0.17786633584791742</v>
      </c>
      <c r="Q64" s="31">
        <f t="shared" si="7"/>
        <v>21675.648137991411</v>
      </c>
      <c r="R64" s="47">
        <v>0</v>
      </c>
      <c r="S64" s="37">
        <f t="shared" si="3"/>
        <v>121864.81514143816</v>
      </c>
      <c r="T64" s="40">
        <f t="shared" si="8"/>
        <v>6.7325759309886379E-2</v>
      </c>
    </row>
    <row r="65" spans="2:20" x14ac:dyDescent="0.35">
      <c r="B65" s="10" t="s">
        <v>58</v>
      </c>
      <c r="C65" s="17">
        <v>-0.28239999999999998</v>
      </c>
      <c r="D65" s="38">
        <f t="shared" si="0"/>
        <v>0.3399093055989853</v>
      </c>
      <c r="E65" s="32">
        <f t="shared" si="5"/>
        <v>33034.911396511678</v>
      </c>
      <c r="F65" s="47">
        <v>0</v>
      </c>
      <c r="G65" s="15">
        <v>-0.10829999999999999</v>
      </c>
      <c r="H65" s="38">
        <f t="shared" si="1"/>
        <v>0.28395950287763966</v>
      </c>
      <c r="I65" s="32">
        <f t="shared" si="9"/>
        <v>27597.293934715777</v>
      </c>
      <c r="J65" s="47">
        <v>0</v>
      </c>
      <c r="K65" s="15">
        <v>-0.1089</v>
      </c>
      <c r="L65" s="38">
        <f t="shared" si="2"/>
        <v>0.21276219950174177</v>
      </c>
      <c r="M65" s="32">
        <f t="shared" si="6"/>
        <v>20677.811090465075</v>
      </c>
      <c r="N65" s="47">
        <v>0</v>
      </c>
      <c r="O65" s="17">
        <v>-0.26750000000000002</v>
      </c>
      <c r="P65" s="38">
        <f t="shared" si="4"/>
        <v>0.1633689920216333</v>
      </c>
      <c r="Q65" s="31">
        <f t="shared" si="7"/>
        <v>15877.412261078709</v>
      </c>
      <c r="R65" s="47">
        <v>0</v>
      </c>
      <c r="S65" s="37">
        <f t="shared" si="3"/>
        <v>97187.428682771235</v>
      </c>
      <c r="T65" s="40">
        <f t="shared" si="8"/>
        <v>-0.20249804203145894</v>
      </c>
    </row>
    <row r="66" spans="2:20" x14ac:dyDescent="0.35">
      <c r="B66" s="11" t="s">
        <v>59</v>
      </c>
      <c r="C66" s="19">
        <v>1.7899999999999999E-2</v>
      </c>
      <c r="D66" s="38">
        <f t="shared" si="0"/>
        <v>0.32999006290142602</v>
      </c>
      <c r="E66" s="32">
        <f t="shared" si="5"/>
        <v>33626.236310509237</v>
      </c>
      <c r="F66" s="47">
        <v>0</v>
      </c>
      <c r="G66" s="20">
        <v>0.2334</v>
      </c>
      <c r="H66" s="38">
        <f t="shared" si="1"/>
        <v>0.33403582322510383</v>
      </c>
      <c r="I66" s="32">
        <f t="shared" si="9"/>
        <v>34038.502339078441</v>
      </c>
      <c r="J66" s="47">
        <v>0</v>
      </c>
      <c r="K66" s="20">
        <v>8.6999999999999994E-3</v>
      </c>
      <c r="L66" s="38">
        <f t="shared" si="2"/>
        <v>0.20468649321429441</v>
      </c>
      <c r="M66" s="32">
        <f t="shared" si="6"/>
        <v>20857.708046952121</v>
      </c>
      <c r="N66" s="47">
        <v>0</v>
      </c>
      <c r="O66" s="17">
        <v>-0.15740000000000001</v>
      </c>
      <c r="P66" s="38">
        <f t="shared" si="4"/>
        <v>0.13128762065917568</v>
      </c>
      <c r="Q66" s="31">
        <f t="shared" si="7"/>
        <v>13378.30757118492</v>
      </c>
      <c r="R66" s="47">
        <v>0</v>
      </c>
      <c r="S66" s="37">
        <f t="shared" si="3"/>
        <v>101900.75426772473</v>
      </c>
      <c r="T66" s="40">
        <f t="shared" si="8"/>
        <v>4.8497276333323125E-2</v>
      </c>
    </row>
    <row r="67" spans="2:20" x14ac:dyDescent="0.35">
      <c r="B67" s="10" t="s">
        <v>60</v>
      </c>
      <c r="C67" s="19">
        <v>9.9000000000000008E-3</v>
      </c>
      <c r="D67" s="38">
        <f t="shared" si="0"/>
        <v>0.31483949761289032</v>
      </c>
      <c r="E67" s="32">
        <f t="shared" si="5"/>
        <v>33959.136049983281</v>
      </c>
      <c r="F67" s="47">
        <v>0</v>
      </c>
      <c r="G67" s="20">
        <v>9.1200000000000003E-2</v>
      </c>
      <c r="H67" s="38">
        <f t="shared" si="1"/>
        <v>0.34435578115189652</v>
      </c>
      <c r="I67" s="32">
        <f t="shared" si="9"/>
        <v>37142.813752402391</v>
      </c>
      <c r="J67" s="47">
        <v>0</v>
      </c>
      <c r="K67" s="20">
        <v>2.2800000000000001E-2</v>
      </c>
      <c r="L67" s="38">
        <f t="shared" si="2"/>
        <v>0.19778341958800308</v>
      </c>
      <c r="M67" s="32">
        <f t="shared" si="6"/>
        <v>21333.263790422629</v>
      </c>
      <c r="N67" s="47">
        <v>0</v>
      </c>
      <c r="O67" s="19">
        <v>0.15310000000000001</v>
      </c>
      <c r="P67" s="38">
        <f t="shared" si="4"/>
        <v>0.14302130164721008</v>
      </c>
      <c r="Q67" s="31">
        <f t="shared" si="7"/>
        <v>15426.526460333331</v>
      </c>
      <c r="R67" s="47">
        <v>0</v>
      </c>
      <c r="S67" s="37">
        <f t="shared" si="3"/>
        <v>107861.74005314164</v>
      </c>
      <c r="T67" s="40">
        <f t="shared" si="8"/>
        <v>5.8497955469059226E-2</v>
      </c>
    </row>
    <row r="68" spans="2:20" x14ac:dyDescent="0.35">
      <c r="B68" s="9" t="s">
        <v>61</v>
      </c>
      <c r="C68" s="17">
        <v>-2.0000000000000001E-4</v>
      </c>
      <c r="D68" s="38">
        <f t="shared" si="0"/>
        <v>0.46886134314009403</v>
      </c>
      <c r="E68" s="32">
        <f t="shared" si="5"/>
        <v>48528.075493373282</v>
      </c>
      <c r="F68" s="49">
        <v>14578.647000000001</v>
      </c>
      <c r="G68" s="20">
        <v>3.7900000000000003E-2</v>
      </c>
      <c r="H68" s="38">
        <f t="shared" si="1"/>
        <v>0.21632385023993672</v>
      </c>
      <c r="I68" s="32">
        <f t="shared" si="9"/>
        <v>22389.945959618446</v>
      </c>
      <c r="J68" s="48">
        <v>-15570.46</v>
      </c>
      <c r="K68" s="15">
        <v>-9.9000000000000005E-2</v>
      </c>
      <c r="L68" s="38">
        <f t="shared" si="2"/>
        <v>0.18779052838394697</v>
      </c>
      <c r="M68" s="32">
        <f t="shared" si="6"/>
        <v>19436.690765170788</v>
      </c>
      <c r="N68" s="49">
        <v>239.09</v>
      </c>
      <c r="O68" s="17">
        <v>-0.18740000000000001</v>
      </c>
      <c r="P68" s="38">
        <f t="shared" si="4"/>
        <v>0.12702427823602228</v>
      </c>
      <c r="Q68" s="31">
        <f t="shared" si="7"/>
        <v>13147.263799666864</v>
      </c>
      <c r="R68" s="49">
        <v>752.73</v>
      </c>
      <c r="S68" s="37">
        <f t="shared" si="3"/>
        <v>103501.97601782938</v>
      </c>
      <c r="T68" s="40">
        <f t="shared" si="8"/>
        <v>-4.0419930488459377E-2</v>
      </c>
    </row>
    <row r="69" spans="2:20" x14ac:dyDescent="0.35">
      <c r="B69" s="10" t="s">
        <v>62</v>
      </c>
      <c r="C69" s="17">
        <v>-1.23E-2</v>
      </c>
      <c r="D69" s="38">
        <f t="shared" si="0"/>
        <v>0.48039504327974025</v>
      </c>
      <c r="E69" s="32">
        <f t="shared" si="5"/>
        <v>47931.180164804791</v>
      </c>
      <c r="F69" s="47">
        <v>0</v>
      </c>
      <c r="G69" s="20">
        <v>4.48E-2</v>
      </c>
      <c r="H69" s="38">
        <f t="shared" si="1"/>
        <v>0.23445883605356549</v>
      </c>
      <c r="I69" s="32">
        <f t="shared" si="9"/>
        <v>23393.015538609354</v>
      </c>
      <c r="J69" s="47">
        <v>0</v>
      </c>
      <c r="K69" s="15">
        <v>-8.7400000000000005E-2</v>
      </c>
      <c r="L69" s="38">
        <f t="shared" si="2"/>
        <v>0.17778011588014772</v>
      </c>
      <c r="M69" s="32">
        <f t="shared" si="6"/>
        <v>17737.923992294862</v>
      </c>
      <c r="N69" s="47">
        <v>0</v>
      </c>
      <c r="O69" s="17">
        <v>-0.1852</v>
      </c>
      <c r="P69" s="38">
        <f t="shared" si="4"/>
        <v>0.10736600478654656</v>
      </c>
      <c r="Q69" s="31">
        <f t="shared" si="7"/>
        <v>10712.39054396856</v>
      </c>
      <c r="R69" s="47">
        <v>0</v>
      </c>
      <c r="S69" s="37">
        <f t="shared" si="3"/>
        <v>99774.510239677562</v>
      </c>
      <c r="T69" s="40">
        <f t="shared" si="8"/>
        <v>-3.6013474539942303E-2</v>
      </c>
    </row>
    <row r="70" spans="2:20" x14ac:dyDescent="0.35">
      <c r="B70" s="11" t="s">
        <v>63</v>
      </c>
      <c r="C70" s="19">
        <v>9.1999999999999998E-2</v>
      </c>
      <c r="D70" s="38">
        <f t="shared" si="0"/>
        <v>0.49983883379046407</v>
      </c>
      <c r="E70" s="32">
        <f t="shared" si="5"/>
        <v>52340.84873996683</v>
      </c>
      <c r="F70" s="47">
        <v>0</v>
      </c>
      <c r="G70" s="15">
        <v>-3.7499999999999999E-2</v>
      </c>
      <c r="H70" s="38">
        <f t="shared" si="1"/>
        <v>0.21501867501920754</v>
      </c>
      <c r="I70" s="32">
        <f t="shared" si="9"/>
        <v>22515.777455911502</v>
      </c>
      <c r="J70" s="47">
        <v>0</v>
      </c>
      <c r="K70" s="20">
        <v>7.5300000000000006E-2</v>
      </c>
      <c r="L70" s="38">
        <f t="shared" si="2"/>
        <v>0.18214685175764672</v>
      </c>
      <c r="M70" s="32">
        <f t="shared" si="6"/>
        <v>19073.589668914665</v>
      </c>
      <c r="N70" s="47">
        <v>0</v>
      </c>
      <c r="O70" s="19">
        <v>6.7999999999999996E-3</v>
      </c>
      <c r="P70" s="38">
        <f t="shared" si="4"/>
        <v>0.1029956394326817</v>
      </c>
      <c r="Q70" s="31">
        <f t="shared" si="7"/>
        <v>10785.234799667547</v>
      </c>
      <c r="R70" s="47">
        <v>0</v>
      </c>
      <c r="S70" s="37">
        <f t="shared" si="3"/>
        <v>104715.45066446054</v>
      </c>
      <c r="T70" s="40">
        <f t="shared" si="8"/>
        <v>4.9521069188050992E-2</v>
      </c>
    </row>
    <row r="71" spans="2:20" x14ac:dyDescent="0.35">
      <c r="B71" s="10" t="s">
        <v>64</v>
      </c>
      <c r="C71" s="19">
        <v>0.1183</v>
      </c>
      <c r="D71" s="38">
        <f t="shared" si="0"/>
        <v>0.52480153242001437</v>
      </c>
      <c r="E71" s="32">
        <f t="shared" si="5"/>
        <v>58532.771145904902</v>
      </c>
      <c r="F71" s="47">
        <v>0</v>
      </c>
      <c r="G71" s="15">
        <v>-9.7500000000000003E-2</v>
      </c>
      <c r="H71" s="38">
        <f t="shared" si="1"/>
        <v>0.18219236230828367</v>
      </c>
      <c r="I71" s="32">
        <f t="shared" si="9"/>
        <v>20320.48915396013</v>
      </c>
      <c r="J71" s="47">
        <v>0</v>
      </c>
      <c r="K71" s="20">
        <v>2.2599999999999999E-2</v>
      </c>
      <c r="L71" s="38">
        <f t="shared" si="2"/>
        <v>0.17487761942532332</v>
      </c>
      <c r="M71" s="32">
        <f t="shared" si="6"/>
        <v>19504.652795432135</v>
      </c>
      <c r="N71" s="47">
        <v>0</v>
      </c>
      <c r="O71" s="19">
        <v>0.22159999999999999</v>
      </c>
      <c r="P71" s="38">
        <f t="shared" si="4"/>
        <v>0.1181284858463785</v>
      </c>
      <c r="Q71" s="31">
        <f t="shared" si="7"/>
        <v>13175.242831273876</v>
      </c>
      <c r="R71" s="47">
        <v>0</v>
      </c>
      <c r="S71" s="37">
        <f t="shared" si="3"/>
        <v>111533.15592657105</v>
      </c>
      <c r="T71" s="40">
        <f t="shared" si="8"/>
        <v>6.5106965771044356E-2</v>
      </c>
    </row>
    <row r="72" spans="2:20" x14ac:dyDescent="0.35">
      <c r="B72" s="11" t="s">
        <v>65</v>
      </c>
      <c r="C72" s="19">
        <v>0.12509999999999999</v>
      </c>
      <c r="D72" s="38">
        <f t="shared" si="0"/>
        <v>0.55896838781342895</v>
      </c>
      <c r="E72" s="32">
        <f t="shared" si="5"/>
        <v>65855.220816257599</v>
      </c>
      <c r="F72" s="47">
        <v>0</v>
      </c>
      <c r="G72" s="20">
        <v>1.6299999999999999E-2</v>
      </c>
      <c r="H72" s="38">
        <f t="shared" si="1"/>
        <v>0.17528837727972049</v>
      </c>
      <c r="I72" s="32">
        <f t="shared" si="9"/>
        <v>20651.713127169682</v>
      </c>
      <c r="J72" s="47">
        <v>0</v>
      </c>
      <c r="K72" s="15">
        <v>-3.2000000000000001E-2</v>
      </c>
      <c r="L72" s="38">
        <f t="shared" si="2"/>
        <v>0.16025464190417668</v>
      </c>
      <c r="M72" s="32">
        <f t="shared" si="6"/>
        <v>18880.503905978308</v>
      </c>
      <c r="N72" s="47">
        <v>0</v>
      </c>
      <c r="O72" s="17">
        <v>-5.67E-2</v>
      </c>
      <c r="P72" s="38">
        <f t="shared" si="4"/>
        <v>0.10548859300267391</v>
      </c>
      <c r="Q72" s="31">
        <f t="shared" si="7"/>
        <v>12428.206562740646</v>
      </c>
      <c r="R72" s="47">
        <v>0</v>
      </c>
      <c r="S72" s="37">
        <f t="shared" si="3"/>
        <v>117815.64441214623</v>
      </c>
      <c r="T72" s="40">
        <f t="shared" si="8"/>
        <v>5.632843824226863E-2</v>
      </c>
    </row>
    <row r="73" spans="2:20" x14ac:dyDescent="0.35">
      <c r="B73" s="10" t="s">
        <v>66</v>
      </c>
      <c r="C73" s="17">
        <v>-6.2899999999999998E-2</v>
      </c>
      <c r="D73" s="38">
        <f t="shared" si="0"/>
        <v>0.55705830800555356</v>
      </c>
      <c r="E73" s="32">
        <f t="shared" si="5"/>
        <v>61712.927426914997</v>
      </c>
      <c r="F73" s="47">
        <v>0</v>
      </c>
      <c r="G73" s="15">
        <v>-7.6499999999999999E-2</v>
      </c>
      <c r="H73" s="38">
        <f t="shared" si="1"/>
        <v>0.17215414783488051</v>
      </c>
      <c r="I73" s="32">
        <f t="shared" si="9"/>
        <v>19071.857072941202</v>
      </c>
      <c r="J73" s="47">
        <v>0</v>
      </c>
      <c r="K73" s="15">
        <v>-2.3300000000000001E-2</v>
      </c>
      <c r="L73" s="38">
        <f t="shared" si="2"/>
        <v>0.16645593184621338</v>
      </c>
      <c r="M73" s="32">
        <f t="shared" si="6"/>
        <v>18440.588164969013</v>
      </c>
      <c r="N73" s="47">
        <v>0</v>
      </c>
      <c r="O73" s="17">
        <v>-7.0000000000000007E-2</v>
      </c>
      <c r="P73" s="38">
        <f t="shared" si="4"/>
        <v>0.1043316123133525</v>
      </c>
      <c r="Q73" s="31">
        <f t="shared" si="7"/>
        <v>11558.232103348801</v>
      </c>
      <c r="R73" s="47">
        <v>0</v>
      </c>
      <c r="S73" s="37">
        <f t="shared" si="3"/>
        <v>110783.60476817402</v>
      </c>
      <c r="T73" s="40">
        <f t="shared" si="8"/>
        <v>-5.9686807121917651E-2</v>
      </c>
    </row>
    <row r="74" spans="2:20" x14ac:dyDescent="0.35">
      <c r="B74" s="11" t="s">
        <v>67</v>
      </c>
      <c r="C74" s="19">
        <v>4.6800000000000001E-2</v>
      </c>
      <c r="D74" s="38">
        <f t="shared" si="0"/>
        <v>0.56219878010904334</v>
      </c>
      <c r="E74" s="32">
        <f t="shared" si="5"/>
        <v>64601.092430494617</v>
      </c>
      <c r="F74" s="47">
        <v>0</v>
      </c>
      <c r="G74" s="15">
        <v>-8.3000000000000001E-3</v>
      </c>
      <c r="H74" s="38">
        <f t="shared" si="1"/>
        <v>0.1645975374422835</v>
      </c>
      <c r="I74" s="32">
        <f t="shared" si="9"/>
        <v>18913.560659235791</v>
      </c>
      <c r="J74" s="47">
        <v>0</v>
      </c>
      <c r="K74" s="20">
        <v>3.4000000000000002E-2</v>
      </c>
      <c r="L74" s="38">
        <f t="shared" si="2"/>
        <v>0.16593780627132476</v>
      </c>
      <c r="M74" s="32">
        <f t="shared" si="6"/>
        <v>19067.568162577958</v>
      </c>
      <c r="N74" s="47">
        <v>0</v>
      </c>
      <c r="O74" s="19">
        <v>6.6400000000000001E-2</v>
      </c>
      <c r="P74" s="38">
        <f t="shared" si="4"/>
        <v>0.10726587617734845</v>
      </c>
      <c r="Q74" s="31">
        <f t="shared" si="7"/>
        <v>12325.698715011162</v>
      </c>
      <c r="R74" s="47">
        <v>0</v>
      </c>
      <c r="S74" s="37">
        <f t="shared" si="3"/>
        <v>114907.91996731953</v>
      </c>
      <c r="T74" s="40">
        <f t="shared" si="8"/>
        <v>3.7228570128008176E-2</v>
      </c>
    </row>
    <row r="75" spans="2:20" x14ac:dyDescent="0.35">
      <c r="B75" s="10" t="s">
        <v>68</v>
      </c>
      <c r="C75" s="19">
        <v>9.4999999999999998E-3</v>
      </c>
      <c r="D75" s="38">
        <f t="shared" si="0"/>
        <v>0.55365575670287637</v>
      </c>
      <c r="E75" s="32">
        <f t="shared" si="5"/>
        <v>65214.802808584318</v>
      </c>
      <c r="F75" s="47">
        <v>0</v>
      </c>
      <c r="G75" s="15">
        <v>-5.4000000000000003E-3</v>
      </c>
      <c r="H75" s="38">
        <f t="shared" si="1"/>
        <v>0.15970385005863771</v>
      </c>
      <c r="I75" s="32">
        <f t="shared" si="9"/>
        <v>18811.427431675918</v>
      </c>
      <c r="J75" s="47">
        <v>0</v>
      </c>
      <c r="K75" s="20">
        <v>3.2500000000000001E-2</v>
      </c>
      <c r="L75" s="38">
        <f t="shared" si="2"/>
        <v>0.16713946295465767</v>
      </c>
      <c r="M75" s="32">
        <f t="shared" si="6"/>
        <v>19687.264127861741</v>
      </c>
      <c r="N75" s="47">
        <v>0</v>
      </c>
      <c r="O75" s="19">
        <v>0.14199999999999999</v>
      </c>
      <c r="P75" s="38">
        <f t="shared" si="4"/>
        <v>0.11950093028382826</v>
      </c>
      <c r="Q75" s="31">
        <f t="shared" si="7"/>
        <v>14075.947932542747</v>
      </c>
      <c r="R75" s="47">
        <v>0</v>
      </c>
      <c r="S75" s="37">
        <f t="shared" si="3"/>
        <v>117789.44230066473</v>
      </c>
      <c r="T75" s="40">
        <f t="shared" si="8"/>
        <v>2.5076794829849147E-2</v>
      </c>
    </row>
    <row r="76" spans="2:20" x14ac:dyDescent="0.35">
      <c r="B76" s="11" t="s">
        <v>69</v>
      </c>
      <c r="C76" s="19">
        <v>0.1045</v>
      </c>
      <c r="D76" s="38">
        <f t="shared" si="0"/>
        <v>0.57860493581706252</v>
      </c>
      <c r="E76" s="32">
        <f t="shared" si="5"/>
        <v>72029.749702081375</v>
      </c>
      <c r="F76" s="47">
        <v>0</v>
      </c>
      <c r="G76" s="20">
        <v>7.6E-3</v>
      </c>
      <c r="H76" s="38">
        <f t="shared" si="1"/>
        <v>0.15225800632768868</v>
      </c>
      <c r="I76" s="32">
        <f t="shared" si="9"/>
        <v>18954.394280156655</v>
      </c>
      <c r="J76" s="47">
        <v>0</v>
      </c>
      <c r="K76" s="15">
        <v>-1.55E-2</v>
      </c>
      <c r="L76" s="38">
        <f t="shared" si="2"/>
        <v>0.15569379938766689</v>
      </c>
      <c r="M76" s="32">
        <f t="shared" si="6"/>
        <v>19382.111533879885</v>
      </c>
      <c r="N76" s="47">
        <v>0</v>
      </c>
      <c r="O76" s="19">
        <v>3.3E-3</v>
      </c>
      <c r="P76" s="38">
        <f t="shared" si="4"/>
        <v>0.11344325846758194</v>
      </c>
      <c r="Q76" s="31">
        <f t="shared" si="7"/>
        <v>14122.398560720138</v>
      </c>
      <c r="R76" s="47">
        <v>0</v>
      </c>
      <c r="S76" s="37">
        <f t="shared" si="3"/>
        <v>124488.65407683805</v>
      </c>
      <c r="T76" s="40">
        <f t="shared" si="8"/>
        <v>5.6874467230035641E-2</v>
      </c>
    </row>
    <row r="77" spans="2:20" x14ac:dyDescent="0.35">
      <c r="B77" s="10" t="s">
        <v>70</v>
      </c>
      <c r="C77" s="17">
        <v>-1.3100000000000001E-2</v>
      </c>
      <c r="D77" s="38">
        <f t="shared" si="0"/>
        <v>0.58427678629570057</v>
      </c>
      <c r="E77" s="32">
        <f t="shared" si="5"/>
        <v>71086.159980984114</v>
      </c>
      <c r="F77" s="47">
        <v>0</v>
      </c>
      <c r="G77" s="20">
        <v>6.1000000000000004E-3</v>
      </c>
      <c r="H77" s="38">
        <f t="shared" si="1"/>
        <v>0.15674173025926413</v>
      </c>
      <c r="I77" s="32">
        <f t="shared" si="9"/>
        <v>19070.016085265612</v>
      </c>
      <c r="J77" s="47">
        <v>0</v>
      </c>
      <c r="K77" s="15">
        <v>-4.9399999999999999E-2</v>
      </c>
      <c r="L77" s="38">
        <f t="shared" si="2"/>
        <v>0.15143716667620052</v>
      </c>
      <c r="M77" s="32">
        <f t="shared" si="6"/>
        <v>18424.63522410622</v>
      </c>
      <c r="N77" s="47">
        <v>0</v>
      </c>
      <c r="O77" s="17">
        <v>-7.3499999999999996E-2</v>
      </c>
      <c r="P77" s="38">
        <f t="shared" si="4"/>
        <v>0.10754431676883465</v>
      </c>
      <c r="Q77" s="31">
        <f t="shared" si="7"/>
        <v>13084.402266507208</v>
      </c>
      <c r="R77" s="47">
        <v>0</v>
      </c>
      <c r="S77" s="37">
        <f t="shared" si="3"/>
        <v>121665.21355686316</v>
      </c>
      <c r="T77" s="40">
        <f t="shared" si="8"/>
        <v>-2.2680304007722474E-2</v>
      </c>
    </row>
    <row r="78" spans="2:20" x14ac:dyDescent="0.35">
      <c r="B78" s="11" t="s">
        <v>71</v>
      </c>
      <c r="C78" s="19">
        <v>0.1168</v>
      </c>
      <c r="D78" s="38">
        <f t="shared" si="0"/>
        <v>0.58966130557493479</v>
      </c>
      <c r="E78" s="32">
        <f t="shared" si="5"/>
        <v>79389.023466763058</v>
      </c>
      <c r="F78" s="47">
        <v>0</v>
      </c>
      <c r="G78" s="20">
        <v>0.1351</v>
      </c>
      <c r="H78" s="38">
        <f t="shared" si="1"/>
        <v>0.16077827057751934</v>
      </c>
      <c r="I78" s="32">
        <f t="shared" si="9"/>
        <v>21646.375258384996</v>
      </c>
      <c r="J78" s="47">
        <v>0</v>
      </c>
      <c r="K78" s="20">
        <v>6.2899999999999998E-2</v>
      </c>
      <c r="L78" s="38">
        <f t="shared" si="2"/>
        <v>0.14545661450816447</v>
      </c>
      <c r="M78" s="32">
        <f t="shared" si="6"/>
        <v>19583.544779702501</v>
      </c>
      <c r="N78" s="47">
        <v>0</v>
      </c>
      <c r="O78" s="19">
        <v>7.1199999999999999E-2</v>
      </c>
      <c r="P78" s="38">
        <f t="shared" si="4"/>
        <v>0.10410380933938143</v>
      </c>
      <c r="Q78" s="31">
        <f t="shared" si="7"/>
        <v>14016.011707882521</v>
      </c>
      <c r="R78" s="47">
        <v>0</v>
      </c>
      <c r="S78" s="37">
        <f t="shared" si="3"/>
        <v>134634.95521273307</v>
      </c>
      <c r="T78" s="40">
        <f t="shared" si="8"/>
        <v>0.1066018895352383</v>
      </c>
    </row>
    <row r="79" spans="2:20" x14ac:dyDescent="0.35">
      <c r="B79" s="10" t="s">
        <v>72</v>
      </c>
      <c r="C79" s="17">
        <v>-2.5399999999999999E-2</v>
      </c>
      <c r="D79" s="38">
        <f t="shared" si="0"/>
        <v>0.58517755624401191</v>
      </c>
      <c r="E79" s="32">
        <f t="shared" si="5"/>
        <v>77372.542270707272</v>
      </c>
      <c r="F79" s="47">
        <v>0</v>
      </c>
      <c r="G79" s="15">
        <v>-7.1599999999999997E-2</v>
      </c>
      <c r="H79" s="38">
        <f t="shared" si="1"/>
        <v>0.15199213267504935</v>
      </c>
      <c r="I79" s="32">
        <f t="shared" si="9"/>
        <v>20096.494789884629</v>
      </c>
      <c r="J79" s="47">
        <v>0</v>
      </c>
      <c r="K79" s="20">
        <v>1.66E-2</v>
      </c>
      <c r="L79" s="38">
        <f t="shared" si="2"/>
        <v>0.15057130164568347</v>
      </c>
      <c r="M79" s="32">
        <f t="shared" si="6"/>
        <v>19908.631623045563</v>
      </c>
      <c r="N79" s="47">
        <v>0</v>
      </c>
      <c r="O79" s="19">
        <v>5.8999999999999997E-2</v>
      </c>
      <c r="P79" s="38">
        <f t="shared" si="4"/>
        <v>0.11225900943525528</v>
      </c>
      <c r="Q79" s="31">
        <f t="shared" si="7"/>
        <v>14842.95639864759</v>
      </c>
      <c r="R79" s="47">
        <v>0</v>
      </c>
      <c r="S79" s="37">
        <f t="shared" si="3"/>
        <v>132220.62508228506</v>
      </c>
      <c r="T79" s="40">
        <f t="shared" si="8"/>
        <v>-1.7932416783094651E-2</v>
      </c>
    </row>
    <row r="80" spans="2:20" x14ac:dyDescent="0.35">
      <c r="B80" s="9" t="s">
        <v>73</v>
      </c>
      <c r="C80" s="17">
        <v>-7.3700000000000002E-2</v>
      </c>
      <c r="D80" s="38">
        <f t="shared" si="0"/>
        <v>0.42182007182004438</v>
      </c>
      <c r="E80" s="32">
        <f t="shared" si="5"/>
        <v>54780.717167356153</v>
      </c>
      <c r="F80" s="48">
        <v>-18233.259999999998</v>
      </c>
      <c r="G80" s="20">
        <v>5.3499999999999999E-2</v>
      </c>
      <c r="H80" s="38">
        <f t="shared" si="1"/>
        <v>0.21451784714918207</v>
      </c>
      <c r="I80" s="32">
        <f t="shared" si="9"/>
        <v>27858.896001143457</v>
      </c>
      <c r="J80" s="49">
        <v>6347.64</v>
      </c>
      <c r="K80" s="20">
        <v>2.8899999999999999E-2</v>
      </c>
      <c r="L80" s="38">
        <f t="shared" si="2"/>
        <v>0.20950867251978972</v>
      </c>
      <c r="M80" s="32">
        <f t="shared" si="6"/>
        <v>27208.367026951579</v>
      </c>
      <c r="N80" s="49">
        <v>6535.5</v>
      </c>
      <c r="O80" s="19">
        <v>9.4000000000000004E-3</v>
      </c>
      <c r="P80" s="38">
        <f t="shared" si="4"/>
        <v>0.15415340851098394</v>
      </c>
      <c r="Q80" s="31">
        <f t="shared" si="7"/>
        <v>20019.517410794877</v>
      </c>
      <c r="R80" s="49">
        <v>4990.13</v>
      </c>
      <c r="S80" s="37">
        <f t="shared" si="3"/>
        <v>129867.49760624605</v>
      </c>
      <c r="T80" s="40">
        <f t="shared" si="8"/>
        <v>-1.779697739724484E-2</v>
      </c>
    </row>
    <row r="81" spans="2:20" x14ac:dyDescent="0.35">
      <c r="B81" s="10" t="s">
        <v>74</v>
      </c>
      <c r="C81" s="19">
        <v>3.6400000000000002E-2</v>
      </c>
      <c r="D81" s="38">
        <f t="shared" si="0"/>
        <v>0.42719343135513627</v>
      </c>
      <c r="E81" s="32">
        <f t="shared" si="5"/>
        <v>56774.735272247919</v>
      </c>
      <c r="F81" s="47">
        <v>0</v>
      </c>
      <c r="G81" s="20">
        <v>3.5000000000000001E-3</v>
      </c>
      <c r="H81" s="38">
        <f t="shared" si="1"/>
        <v>0.21035397699423264</v>
      </c>
      <c r="I81" s="32">
        <f t="shared" si="9"/>
        <v>27956.402137147459</v>
      </c>
      <c r="J81" s="47">
        <v>0</v>
      </c>
      <c r="K81" s="20">
        <v>8.6E-3</v>
      </c>
      <c r="L81" s="38">
        <f t="shared" si="2"/>
        <v>0.20648613229767726</v>
      </c>
      <c r="M81" s="32">
        <f t="shared" si="6"/>
        <v>27442.358983383361</v>
      </c>
      <c r="N81" s="47">
        <v>0</v>
      </c>
      <c r="O81" s="19">
        <v>3.5400000000000001E-2</v>
      </c>
      <c r="P81" s="38">
        <f t="shared" si="4"/>
        <v>0.15596645935295383</v>
      </c>
      <c r="Q81" s="31">
        <f t="shared" si="7"/>
        <v>20728.208327137014</v>
      </c>
      <c r="R81" s="47">
        <v>0</v>
      </c>
      <c r="S81" s="37">
        <f t="shared" si="3"/>
        <v>132901.70471991575</v>
      </c>
      <c r="T81" s="40">
        <f t="shared" si="8"/>
        <v>2.3363868324230985E-2</v>
      </c>
    </row>
    <row r="82" spans="2:20" x14ac:dyDescent="0.35">
      <c r="B82" s="11" t="s">
        <v>75</v>
      </c>
      <c r="C82" s="19">
        <v>5.7000000000000002E-2</v>
      </c>
      <c r="D82" s="38">
        <f t="shared" si="0"/>
        <v>0.43363866548135288</v>
      </c>
      <c r="E82" s="32">
        <f t="shared" si="5"/>
        <v>60010.895182766049</v>
      </c>
      <c r="F82" s="47">
        <v>0</v>
      </c>
      <c r="G82" s="15">
        <v>-1.2200000000000001E-2</v>
      </c>
      <c r="H82" s="38">
        <f t="shared" si="1"/>
        <v>0.19954837466740269</v>
      </c>
      <c r="I82" s="32">
        <f t="shared" si="9"/>
        <v>27615.334031074261</v>
      </c>
      <c r="J82" s="47">
        <v>0</v>
      </c>
      <c r="K82" s="20">
        <v>3.9100000000000003E-2</v>
      </c>
      <c r="L82" s="38">
        <f t="shared" si="2"/>
        <v>0.20605192682944271</v>
      </c>
      <c r="M82" s="32">
        <f t="shared" si="6"/>
        <v>28515.35521963365</v>
      </c>
      <c r="N82" s="47">
        <v>0</v>
      </c>
      <c r="O82" s="19">
        <v>7.3300000000000004E-2</v>
      </c>
      <c r="P82" s="38">
        <f t="shared" si="4"/>
        <v>0.16076103302180181</v>
      </c>
      <c r="Q82" s="31">
        <f t="shared" si="7"/>
        <v>22247.585997516158</v>
      </c>
      <c r="R82" s="47">
        <v>0</v>
      </c>
      <c r="S82" s="37">
        <f t="shared" si="3"/>
        <v>138389.17043099011</v>
      </c>
      <c r="T82" s="40">
        <f t="shared" si="8"/>
        <v>4.1289656311323863E-2</v>
      </c>
    </row>
    <row r="83" spans="2:20" x14ac:dyDescent="0.35">
      <c r="B83" s="10" t="s">
        <v>76</v>
      </c>
      <c r="C83" s="17">
        <v>-5.1400000000000001E-2</v>
      </c>
      <c r="D83" s="38">
        <f t="shared" si="0"/>
        <v>0.41791228029456795</v>
      </c>
      <c r="E83" s="32">
        <f t="shared" si="5"/>
        <v>56926.335170371873</v>
      </c>
      <c r="F83" s="47">
        <v>0</v>
      </c>
      <c r="G83" s="20">
        <v>2.3699999999999999E-2</v>
      </c>
      <c r="H83" s="38">
        <f t="shared" si="1"/>
        <v>0.20753670226062756</v>
      </c>
      <c r="I83" s="32">
        <f t="shared" si="9"/>
        <v>28269.81744761072</v>
      </c>
      <c r="J83" s="47">
        <v>0</v>
      </c>
      <c r="K83" s="15">
        <v>-1.9E-2</v>
      </c>
      <c r="L83" s="38">
        <f t="shared" si="2"/>
        <v>0.20536181826771641</v>
      </c>
      <c r="M83" s="32">
        <f t="shared" si="6"/>
        <v>27973.563470460609</v>
      </c>
      <c r="N83" s="47">
        <v>0</v>
      </c>
      <c r="O83" s="19">
        <v>3.5900000000000001E-2</v>
      </c>
      <c r="P83" s="38">
        <f t="shared" si="4"/>
        <v>0.16918919917708813</v>
      </c>
      <c r="Q83" s="31">
        <f t="shared" si="7"/>
        <v>23046.274334826987</v>
      </c>
      <c r="R83" s="47">
        <v>0</v>
      </c>
      <c r="S83" s="37">
        <f t="shared" si="3"/>
        <v>136215.99042327018</v>
      </c>
      <c r="T83" s="40">
        <f t="shared" si="8"/>
        <v>-1.5703396450400864E-2</v>
      </c>
    </row>
    <row r="84" spans="2:20" x14ac:dyDescent="0.35">
      <c r="B84" s="11" t="s">
        <v>77</v>
      </c>
      <c r="C84" s="17">
        <v>-7.8E-2</v>
      </c>
      <c r="D84" s="38">
        <f t="shared" si="0"/>
        <v>0.39513659649874511</v>
      </c>
      <c r="E84" s="32">
        <f t="shared" si="5"/>
        <v>52486.081027082866</v>
      </c>
      <c r="F84" s="47">
        <v>0</v>
      </c>
      <c r="G84" s="20">
        <v>7.9799999999999996E-2</v>
      </c>
      <c r="H84" s="38">
        <f t="shared" si="1"/>
        <v>0.22981027125585965</v>
      </c>
      <c r="I84" s="32">
        <f t="shared" si="9"/>
        <v>30525.748879930055</v>
      </c>
      <c r="J84" s="47">
        <v>0</v>
      </c>
      <c r="K84" s="15">
        <v>-3.7100000000000001E-2</v>
      </c>
      <c r="L84" s="38">
        <f t="shared" si="2"/>
        <v>0.20278325424639559</v>
      </c>
      <c r="M84" s="32">
        <f t="shared" si="6"/>
        <v>26935.744265706522</v>
      </c>
      <c r="N84" s="47">
        <v>0</v>
      </c>
      <c r="O84" s="17">
        <v>-7.1000000000000004E-3</v>
      </c>
      <c r="P84" s="38">
        <f t="shared" si="4"/>
        <v>0.17226987799899959</v>
      </c>
      <c r="Q84" s="31">
        <f t="shared" si="7"/>
        <v>22882.645787049714</v>
      </c>
      <c r="R84" s="47">
        <v>0</v>
      </c>
      <c r="S84" s="37">
        <f t="shared" si="3"/>
        <v>132830.21995976917</v>
      </c>
      <c r="T84" s="40">
        <f t="shared" si="8"/>
        <v>-2.4855895794467675E-2</v>
      </c>
    </row>
    <row r="85" spans="2:20" x14ac:dyDescent="0.35">
      <c r="B85" s="10" t="s">
        <v>78</v>
      </c>
      <c r="C85" s="17">
        <v>-2.7699999999999999E-2</v>
      </c>
      <c r="D85" s="38">
        <f t="shared" si="0"/>
        <v>0.39512847278345659</v>
      </c>
      <c r="E85" s="32">
        <f t="shared" si="5"/>
        <v>51032.216582632667</v>
      </c>
      <c r="F85" s="47">
        <v>0</v>
      </c>
      <c r="G85" s="20">
        <v>2.2100000000000002E-2</v>
      </c>
      <c r="H85" s="38">
        <f t="shared" si="1"/>
        <v>0.24157590157916264</v>
      </c>
      <c r="I85" s="32">
        <f t="shared" si="9"/>
        <v>31200.367930176511</v>
      </c>
      <c r="J85" s="47">
        <v>0</v>
      </c>
      <c r="K85" s="15">
        <v>-5.4899999999999997E-2</v>
      </c>
      <c r="L85" s="38">
        <f t="shared" si="2"/>
        <v>0.19710635955684486</v>
      </c>
      <c r="M85" s="32">
        <f t="shared" si="6"/>
        <v>25456.971905519233</v>
      </c>
      <c r="N85" s="47">
        <v>0</v>
      </c>
      <c r="O85" s="17">
        <v>-6.2E-2</v>
      </c>
      <c r="P85" s="38">
        <f t="shared" si="4"/>
        <v>0.166189266080536</v>
      </c>
      <c r="Q85" s="31">
        <f t="shared" si="7"/>
        <v>21463.921748252633</v>
      </c>
      <c r="R85" s="47">
        <v>0</v>
      </c>
      <c r="S85" s="37">
        <f t="shared" si="3"/>
        <v>129153.47816658103</v>
      </c>
      <c r="T85" s="40">
        <f t="shared" si="8"/>
        <v>-2.768000982232599E-2</v>
      </c>
    </row>
    <row r="86" spans="2:20" x14ac:dyDescent="0.35">
      <c r="B86" s="11" t="s">
        <v>79</v>
      </c>
      <c r="C86" s="19">
        <v>0.1072</v>
      </c>
      <c r="D86" s="38">
        <f t="shared" si="0"/>
        <v>0.41944447715170896</v>
      </c>
      <c r="E86" s="32">
        <f t="shared" si="5"/>
        <v>56502.87020029089</v>
      </c>
      <c r="F86" s="47">
        <v>0</v>
      </c>
      <c r="G86" s="15">
        <v>-7.4999999999999997E-2</v>
      </c>
      <c r="H86" s="38">
        <f t="shared" si="1"/>
        <v>0.21424239723569788</v>
      </c>
      <c r="I86" s="32">
        <f t="shared" si="9"/>
        <v>28860.340335413275</v>
      </c>
      <c r="J86" s="47">
        <v>0</v>
      </c>
      <c r="K86" s="20">
        <v>3.9600000000000003E-2</v>
      </c>
      <c r="L86" s="38">
        <f t="shared" si="2"/>
        <v>0.19646128714788455</v>
      </c>
      <c r="M86" s="32">
        <f t="shared" si="6"/>
        <v>26465.067992977794</v>
      </c>
      <c r="N86" s="47">
        <v>0</v>
      </c>
      <c r="O86" s="19">
        <v>6.6000000000000003E-2</v>
      </c>
      <c r="P86" s="38">
        <f t="shared" si="4"/>
        <v>0.16985183846470864</v>
      </c>
      <c r="Q86" s="31">
        <f t="shared" si="7"/>
        <v>22880.540583637307</v>
      </c>
      <c r="R86" s="47">
        <v>0</v>
      </c>
      <c r="S86" s="37">
        <f t="shared" si="3"/>
        <v>134708.81911231927</v>
      </c>
      <c r="T86" s="40">
        <f t="shared" si="8"/>
        <v>4.3013483063715885E-2</v>
      </c>
    </row>
    <row r="87" spans="2:20" x14ac:dyDescent="0.35">
      <c r="B87" s="10" t="s">
        <v>80</v>
      </c>
      <c r="C87" s="17">
        <v>-3.9300000000000002E-2</v>
      </c>
      <c r="D87" s="38">
        <f t="shared" si="0"/>
        <v>0.40993400191703477</v>
      </c>
      <c r="E87" s="32">
        <f t="shared" si="5"/>
        <v>54282.307401419457</v>
      </c>
      <c r="F87" s="47">
        <v>0</v>
      </c>
      <c r="G87" s="20">
        <v>5.4399999999999997E-2</v>
      </c>
      <c r="H87" s="38">
        <f t="shared" si="1"/>
        <v>0.22980659484166013</v>
      </c>
      <c r="I87" s="32">
        <f t="shared" si="9"/>
        <v>30430.342849659759</v>
      </c>
      <c r="J87" s="47">
        <v>0</v>
      </c>
      <c r="K87" s="15">
        <v>-4.9299999999999997E-2</v>
      </c>
      <c r="L87" s="38">
        <f t="shared" si="2"/>
        <v>0.19000811530154435</v>
      </c>
      <c r="M87" s="32">
        <f t="shared" si="6"/>
        <v>25160.340140923989</v>
      </c>
      <c r="N87" s="47">
        <v>0</v>
      </c>
      <c r="O87" s="17">
        <v>-1.47E-2</v>
      </c>
      <c r="P87" s="38">
        <f t="shared" si="4"/>
        <v>0.17025128793976088</v>
      </c>
      <c r="Q87" s="31">
        <f t="shared" si="7"/>
        <v>22544.196637057838</v>
      </c>
      <c r="R87" s="47">
        <v>0</v>
      </c>
      <c r="S87" s="37">
        <f t="shared" si="3"/>
        <v>132417.18702906102</v>
      </c>
      <c r="T87" s="40">
        <f t="shared" si="8"/>
        <v>-1.7011745024262281E-2</v>
      </c>
    </row>
    <row r="88" spans="2:20" x14ac:dyDescent="0.35">
      <c r="B88" s="11" t="s">
        <v>81</v>
      </c>
      <c r="C88" s="19">
        <v>9.7699999999999995E-2</v>
      </c>
      <c r="D88" s="38">
        <f t="shared" si="0"/>
        <v>0.376796411666805</v>
      </c>
      <c r="E88" s="32">
        <f t="shared" si="5"/>
        <v>52317.970812538137</v>
      </c>
      <c r="F88" s="48">
        <v>-6620.86</v>
      </c>
      <c r="G88" s="20">
        <v>1.2800000000000001E-2</v>
      </c>
      <c r="H88" s="38">
        <f t="shared" si="1"/>
        <v>0.27026006157539617</v>
      </c>
      <c r="I88" s="32">
        <f t="shared" si="9"/>
        <v>37525.4582461354</v>
      </c>
      <c r="J88" s="49">
        <v>6620.86</v>
      </c>
      <c r="K88" s="20">
        <v>5.11E-2</v>
      </c>
      <c r="L88" s="38">
        <f t="shared" si="2"/>
        <v>0.19046553945415501</v>
      </c>
      <c r="M88" s="32">
        <f t="shared" si="6"/>
        <v>26446.033522125203</v>
      </c>
      <c r="N88" s="47">
        <v>0</v>
      </c>
      <c r="O88" s="19">
        <v>6.9999999999999999E-4</v>
      </c>
      <c r="P88" s="38">
        <f t="shared" si="4"/>
        <v>0.16247798730364371</v>
      </c>
      <c r="Q88" s="31">
        <f t="shared" si="7"/>
        <v>22559.977574703778</v>
      </c>
      <c r="R88" s="47">
        <v>0</v>
      </c>
      <c r="S88" s="37">
        <f t="shared" si="3"/>
        <v>138849.44015550253</v>
      </c>
      <c r="T88" s="40">
        <f t="shared" si="8"/>
        <v>4.8575666578914989E-2</v>
      </c>
    </row>
    <row r="89" spans="2:20" x14ac:dyDescent="0.35">
      <c r="B89" s="112" t="s">
        <v>82</v>
      </c>
      <c r="C89" s="19">
        <v>3.5999999999999999E-3</v>
      </c>
      <c r="D89" s="38">
        <f t="shared" si="0"/>
        <v>0.36775522103861413</v>
      </c>
      <c r="E89" s="32">
        <f t="shared" si="5"/>
        <v>52506.315507463274</v>
      </c>
      <c r="F89" s="47">
        <v>0</v>
      </c>
      <c r="G89" s="20">
        <v>4.19E-2</v>
      </c>
      <c r="H89" s="38">
        <f t="shared" si="1"/>
        <v>0.27384155084313516</v>
      </c>
      <c r="I89" s="32">
        <f t="shared" si="9"/>
        <v>39097.774946648475</v>
      </c>
      <c r="J89" s="47">
        <v>0</v>
      </c>
      <c r="K89" s="20">
        <v>3.9300000000000002E-2</v>
      </c>
      <c r="L89" s="38">
        <f t="shared" si="2"/>
        <v>0.19250799670747221</v>
      </c>
      <c r="M89" s="32">
        <f t="shared" si="6"/>
        <v>27485.362639544725</v>
      </c>
      <c r="N89" s="47">
        <v>0</v>
      </c>
      <c r="O89" s="19">
        <v>4.99E-2</v>
      </c>
      <c r="P89" s="38">
        <f t="shared" si="4"/>
        <v>0.16589523141077861</v>
      </c>
      <c r="Q89" s="31">
        <f t="shared" si="7"/>
        <v>23685.720455681498</v>
      </c>
      <c r="R89" s="47">
        <v>0</v>
      </c>
      <c r="S89" s="37">
        <f t="shared" si="3"/>
        <v>142775.17354933795</v>
      </c>
      <c r="T89" s="40">
        <f t="shared" si="8"/>
        <v>2.8273310929009643E-2</v>
      </c>
    </row>
    <row r="90" spans="2:20" x14ac:dyDescent="0.35">
      <c r="B90" s="11" t="s">
        <v>83</v>
      </c>
      <c r="C90" s="17">
        <v>-1.5299999999999999E-2</v>
      </c>
      <c r="D90" s="38">
        <f t="shared" si="0"/>
        <v>0.41039443882932075</v>
      </c>
      <c r="E90" s="32">
        <f t="shared" si="5"/>
        <v>58732.505852199087</v>
      </c>
      <c r="F90" s="49">
        <v>7138.76</v>
      </c>
      <c r="G90" s="20">
        <v>3.3399999999999999E-2</v>
      </c>
      <c r="H90" s="38">
        <f t="shared" si="1"/>
        <v>0.23077286287296908</v>
      </c>
      <c r="I90" s="32">
        <f t="shared" si="9"/>
        <v>33026.442945666531</v>
      </c>
      <c r="J90" s="48">
        <v>-7138.7629999999999</v>
      </c>
      <c r="K90" s="20">
        <v>1.12E-2</v>
      </c>
      <c r="L90" s="38">
        <f t="shared" si="2"/>
        <v>0.19420547478285052</v>
      </c>
      <c r="M90" s="32">
        <f t="shared" si="6"/>
        <v>27793.198701107627</v>
      </c>
      <c r="N90" s="47">
        <v>0</v>
      </c>
      <c r="O90" s="17">
        <v>-5.3E-3</v>
      </c>
      <c r="P90" s="38">
        <f t="shared" si="4"/>
        <v>0.16462722351485962</v>
      </c>
      <c r="Q90" s="31">
        <f t="shared" si="7"/>
        <v>23560.186137266384</v>
      </c>
      <c r="R90" s="47">
        <v>0</v>
      </c>
      <c r="S90" s="37">
        <f t="shared" si="3"/>
        <v>143112.33363623964</v>
      </c>
      <c r="T90" s="40">
        <f t="shared" si="8"/>
        <v>2.3614755879470817E-3</v>
      </c>
    </row>
    <row r="91" spans="2:20" x14ac:dyDescent="0.35">
      <c r="B91" s="10" t="s">
        <v>84</v>
      </c>
      <c r="C91" s="17">
        <v>-6.0000000000000001E-3</v>
      </c>
      <c r="D91" s="38">
        <f t="shared" si="0"/>
        <v>0.40880774642424894</v>
      </c>
      <c r="E91" s="32">
        <f t="shared" si="5"/>
        <v>58380.110817085893</v>
      </c>
      <c r="F91" s="47">
        <v>0</v>
      </c>
      <c r="G91" s="15">
        <v>-1.46E-2</v>
      </c>
      <c r="H91" s="38">
        <f t="shared" si="1"/>
        <v>0.2278917276347999</v>
      </c>
      <c r="I91" s="32">
        <f t="shared" si="9"/>
        <v>32544.256878659799</v>
      </c>
      <c r="J91" s="47">
        <v>0</v>
      </c>
      <c r="K91" s="20">
        <v>2.4E-2</v>
      </c>
      <c r="L91" s="38">
        <f t="shared" si="2"/>
        <v>0.19929329633547346</v>
      </c>
      <c r="M91" s="32">
        <f t="shared" si="6"/>
        <v>28460.23546993421</v>
      </c>
      <c r="N91" s="47">
        <v>0</v>
      </c>
      <c r="O91" s="17">
        <v>-5.8999999999999999E-3</v>
      </c>
      <c r="P91" s="38">
        <f t="shared" si="4"/>
        <v>0.16400722960547776</v>
      </c>
      <c r="Q91" s="31">
        <f t="shared" si="7"/>
        <v>23421.181039056512</v>
      </c>
      <c r="R91" s="47">
        <v>0</v>
      </c>
      <c r="S91" s="37">
        <f t="shared" si="3"/>
        <v>142805.78420473641</v>
      </c>
      <c r="T91" s="40">
        <f t="shared" si="8"/>
        <v>-2.1420196548705972E-3</v>
      </c>
    </row>
    <row r="92" spans="2:20" x14ac:dyDescent="0.35">
      <c r="B92" s="9" t="s">
        <v>85</v>
      </c>
      <c r="C92" s="17">
        <v>-4.2500000000000003E-2</v>
      </c>
      <c r="D92" s="38">
        <f t="shared" si="0"/>
        <v>0.43759424513116663</v>
      </c>
      <c r="E92" s="32">
        <f t="shared" si="5"/>
        <v>61531.440282359741</v>
      </c>
      <c r="F92" s="49">
        <v>5882.49</v>
      </c>
      <c r="G92" s="15">
        <v>-5.0599999999999999E-2</v>
      </c>
      <c r="H92" s="38">
        <f t="shared" si="1"/>
        <v>0.19284107469269815</v>
      </c>
      <c r="I92" s="32">
        <f t="shared" si="9"/>
        <v>27115.962340599614</v>
      </c>
      <c r="J92" s="48">
        <v>-3983.1</v>
      </c>
      <c r="K92" s="20">
        <v>3.5400000000000001E-2</v>
      </c>
      <c r="L92" s="38">
        <f t="shared" si="2"/>
        <v>0.21030928890729586</v>
      </c>
      <c r="M92" s="32">
        <f t="shared" si="6"/>
        <v>29572.220373569879</v>
      </c>
      <c r="N92" s="49">
        <v>100.92</v>
      </c>
      <c r="O92" s="19">
        <v>4.5400000000000003E-2</v>
      </c>
      <c r="P92" s="38">
        <f t="shared" si="4"/>
        <v>0.15925539126883925</v>
      </c>
      <c r="Q92" s="31">
        <f t="shared" si="7"/>
        <v>22393.378584229675</v>
      </c>
      <c r="R92" s="48">
        <v>-2000.31</v>
      </c>
      <c r="S92" s="37">
        <f t="shared" si="3"/>
        <v>140613.00158075892</v>
      </c>
      <c r="T92" s="40">
        <f t="shared" si="8"/>
        <v>-1.5354998652111762E-2</v>
      </c>
    </row>
    <row r="93" spans="2:20" x14ac:dyDescent="0.35">
      <c r="B93" s="10" t="s">
        <v>86</v>
      </c>
      <c r="C93" s="19">
        <v>3.3E-3</v>
      </c>
      <c r="D93" s="38">
        <f t="shared" si="0"/>
        <v>0.43021273911973068</v>
      </c>
      <c r="E93" s="32">
        <f t="shared" si="5"/>
        <v>61734.494035291529</v>
      </c>
      <c r="F93" s="47">
        <v>0</v>
      </c>
      <c r="G93" s="20">
        <v>4.7300000000000002E-2</v>
      </c>
      <c r="H93" s="38">
        <f t="shared" si="1"/>
        <v>0.19790259946871602</v>
      </c>
      <c r="I93" s="32">
        <f t="shared" si="9"/>
        <v>28398.547359309974</v>
      </c>
      <c r="J93" s="47">
        <v>0</v>
      </c>
      <c r="K93" s="20">
        <v>2.0500000000000001E-2</v>
      </c>
      <c r="L93" s="38">
        <f t="shared" si="2"/>
        <v>0.21030631615581832</v>
      </c>
      <c r="M93" s="32">
        <f t="shared" si="6"/>
        <v>30178.450891228062</v>
      </c>
      <c r="N93" s="47">
        <v>0</v>
      </c>
      <c r="O93" s="19">
        <v>3.5400000000000001E-2</v>
      </c>
      <c r="P93" s="38">
        <f t="shared" si="4"/>
        <v>0.16157834525573489</v>
      </c>
      <c r="Q93" s="31">
        <f t="shared" si="7"/>
        <v>23186.104186111406</v>
      </c>
      <c r="R93" s="47">
        <v>0</v>
      </c>
      <c r="S93" s="37">
        <f t="shared" si="3"/>
        <v>143497.59647194098</v>
      </c>
      <c r="T93" s="40">
        <f t="shared" si="8"/>
        <v>2.0514425115413903E-2</v>
      </c>
    </row>
    <row r="94" spans="2:20" x14ac:dyDescent="0.35">
      <c r="B94" s="11" t="s">
        <v>87</v>
      </c>
      <c r="C94" s="19">
        <v>2.23E-2</v>
      </c>
      <c r="D94" s="38">
        <f t="shared" si="0"/>
        <v>0.44125970338680431</v>
      </c>
      <c r="E94" s="32">
        <f t="shared" si="5"/>
        <v>63111.173252278531</v>
      </c>
      <c r="F94" s="47">
        <v>0</v>
      </c>
      <c r="G94" s="15">
        <v>-7.0000000000000001E-3</v>
      </c>
      <c r="H94" s="38">
        <f t="shared" si="1"/>
        <v>0.1971666188577042</v>
      </c>
      <c r="I94" s="32">
        <f t="shared" si="9"/>
        <v>28199.757527794805</v>
      </c>
      <c r="J94" s="47">
        <v>0</v>
      </c>
      <c r="K94" s="15">
        <v>-2.1499999999999998E-2</v>
      </c>
      <c r="L94" s="38">
        <f t="shared" si="2"/>
        <v>0.2064646896934999</v>
      </c>
      <c r="M94" s="32">
        <f t="shared" si="6"/>
        <v>29529.614197066658</v>
      </c>
      <c r="N94" s="47">
        <v>0</v>
      </c>
      <c r="O94" s="17">
        <v>-4.3200000000000002E-2</v>
      </c>
      <c r="P94" s="38">
        <f t="shared" si="4"/>
        <v>0.15510898806199153</v>
      </c>
      <c r="Q94" s="31">
        <f t="shared" si="7"/>
        <v>22184.464485271394</v>
      </c>
      <c r="R94" s="47">
        <v>0</v>
      </c>
      <c r="S94" s="37">
        <f t="shared" si="3"/>
        <v>143025.0094624114</v>
      </c>
      <c r="T94" s="40">
        <f t="shared" si="8"/>
        <v>-3.2933444263087974E-3</v>
      </c>
    </row>
    <row r="95" spans="2:20" x14ac:dyDescent="0.35">
      <c r="B95" s="10" t="s">
        <v>88</v>
      </c>
      <c r="C95" s="17">
        <v>-2.6200000000000001E-2</v>
      </c>
      <c r="D95" s="38">
        <f t="shared" ref="D95:D158" si="10">E95/S95</f>
        <v>0.42780341580400399</v>
      </c>
      <c r="E95" s="32">
        <f t="shared" si="5"/>
        <v>61457.660513068833</v>
      </c>
      <c r="F95" s="47">
        <v>0</v>
      </c>
      <c r="G95" s="20">
        <v>6.1199999999999997E-2</v>
      </c>
      <c r="H95" s="38">
        <f t="shared" ref="H95:H158" si="11">I95/S95</f>
        <v>0.20831034548315291</v>
      </c>
      <c r="I95" s="32">
        <f t="shared" si="9"/>
        <v>29925.582688495848</v>
      </c>
      <c r="J95" s="47">
        <v>0</v>
      </c>
      <c r="K95" s="15">
        <v>-1.1999999999999999E-3</v>
      </c>
      <c r="L95" s="38">
        <f t="shared" ref="L95:L158" si="12">M95/S95</f>
        <v>0.20530736561980495</v>
      </c>
      <c r="M95" s="32">
        <f t="shared" si="6"/>
        <v>29494.178660030178</v>
      </c>
      <c r="N95" s="47">
        <v>0</v>
      </c>
      <c r="O95" s="19">
        <v>2.69E-2</v>
      </c>
      <c r="P95" s="38">
        <f t="shared" si="4"/>
        <v>0.15857887309303817</v>
      </c>
      <c r="Q95" s="31">
        <f t="shared" si="7"/>
        <v>22781.226579925195</v>
      </c>
      <c r="R95" s="47">
        <v>0</v>
      </c>
      <c r="S95" s="37">
        <f t="shared" ref="S95:S158" si="13">Q95+E95+M95+I95</f>
        <v>143658.64844152005</v>
      </c>
      <c r="T95" s="40">
        <f t="shared" si="8"/>
        <v>4.4302669965925467E-3</v>
      </c>
    </row>
    <row r="96" spans="2:20" x14ac:dyDescent="0.35">
      <c r="B96" s="11" t="s">
        <v>89</v>
      </c>
      <c r="C96" s="17">
        <v>-2.7900000000000001E-2</v>
      </c>
      <c r="D96" s="38">
        <f t="shared" si="10"/>
        <v>0.42168379944152046</v>
      </c>
      <c r="E96" s="32">
        <f t="shared" si="5"/>
        <v>59742.991784754209</v>
      </c>
      <c r="F96" s="47">
        <v>0</v>
      </c>
      <c r="G96" s="15">
        <v>-1.38E-2</v>
      </c>
      <c r="H96" s="38">
        <f t="shared" si="11"/>
        <v>0.20830877389578037</v>
      </c>
      <c r="I96" s="32">
        <f t="shared" si="9"/>
        <v>29512.609647394605</v>
      </c>
      <c r="J96" s="47">
        <v>0</v>
      </c>
      <c r="K96" s="15">
        <v>-9.1000000000000004E-3</v>
      </c>
      <c r="L96" s="38">
        <f t="shared" si="12"/>
        <v>0.20628425649605164</v>
      </c>
      <c r="M96" s="32">
        <f t="shared" si="6"/>
        <v>29225.781634223902</v>
      </c>
      <c r="N96" s="47">
        <v>0</v>
      </c>
      <c r="O96" s="19">
        <v>1.8200000000000001E-2</v>
      </c>
      <c r="P96" s="38">
        <f t="shared" ref="P96:P159" si="14">Q96/S96</f>
        <v>0.16372317016664759</v>
      </c>
      <c r="Q96" s="31">
        <f t="shared" si="7"/>
        <v>23195.844903679834</v>
      </c>
      <c r="R96" s="47">
        <v>0</v>
      </c>
      <c r="S96" s="37">
        <f t="shared" si="13"/>
        <v>141677.22797005254</v>
      </c>
      <c r="T96" s="40">
        <f t="shared" si="8"/>
        <v>-1.3792559605446231E-2</v>
      </c>
    </row>
    <row r="97" spans="2:20" x14ac:dyDescent="0.35">
      <c r="B97" s="10" t="s">
        <v>90</v>
      </c>
      <c r="C97" s="17">
        <v>-3.78E-2</v>
      </c>
      <c r="D97" s="38">
        <f t="shared" si="10"/>
        <v>0.42202546570135679</v>
      </c>
      <c r="E97" s="32">
        <f t="shared" ref="E97:E160" si="15">((E96+F97)*C97)+E96+F97</f>
        <v>57484.706695290501</v>
      </c>
      <c r="F97" s="47">
        <v>0</v>
      </c>
      <c r="G97" s="15">
        <v>-3.5499999999999997E-2</v>
      </c>
      <c r="H97" s="38">
        <f t="shared" si="11"/>
        <v>0.20897589003451139</v>
      </c>
      <c r="I97" s="32">
        <f t="shared" si="9"/>
        <v>28464.912004912097</v>
      </c>
      <c r="J97" s="47">
        <v>0</v>
      </c>
      <c r="K97" s="15">
        <v>-3.1199999999999999E-2</v>
      </c>
      <c r="L97" s="38">
        <f t="shared" si="12"/>
        <v>0.20786750493384296</v>
      </c>
      <c r="M97" s="32">
        <f t="shared" ref="M97:M160" si="16">((M96+N97)*K97)+M96+N97</f>
        <v>28313.937247236117</v>
      </c>
      <c r="N97" s="47">
        <v>0</v>
      </c>
      <c r="O97" s="17">
        <v>-5.3800000000000001E-2</v>
      </c>
      <c r="P97" s="38">
        <f t="shared" si="14"/>
        <v>0.16113113933028889</v>
      </c>
      <c r="Q97" s="31">
        <f t="shared" ref="Q97:Q160" si="17">((Q96+R97)*O97)+Q96+R97</f>
        <v>21947.908447861861</v>
      </c>
      <c r="R97" s="47">
        <v>0</v>
      </c>
      <c r="S97" s="37">
        <f t="shared" si="13"/>
        <v>136211.46439530057</v>
      </c>
      <c r="T97" s="40">
        <f t="shared" ref="T97:T160" si="18">S97/S96-1</f>
        <v>-3.8578984449832099E-2</v>
      </c>
    </row>
    <row r="98" spans="2:20" x14ac:dyDescent="0.35">
      <c r="B98" s="11" t="s">
        <v>91</v>
      </c>
      <c r="C98" s="17">
        <v>-3.7900000000000003E-2</v>
      </c>
      <c r="D98" s="38">
        <f t="shared" si="10"/>
        <v>0.40616619889605443</v>
      </c>
      <c r="E98" s="32">
        <f t="shared" si="15"/>
        <v>55306.036311538992</v>
      </c>
      <c r="F98" s="47">
        <v>0</v>
      </c>
      <c r="G98" s="20">
        <v>8.43E-2</v>
      </c>
      <c r="H98" s="38">
        <f t="shared" si="11"/>
        <v>0.22666817479348136</v>
      </c>
      <c r="I98" s="32">
        <f t="shared" ref="I98:I161" si="19">((I97+J98)*G98)+I97+J98</f>
        <v>30864.504086926187</v>
      </c>
      <c r="J98" s="47">
        <v>0</v>
      </c>
      <c r="K98" s="15">
        <v>-2.1499999999999998E-2</v>
      </c>
      <c r="L98" s="38">
        <f t="shared" si="12"/>
        <v>0.20346623056392218</v>
      </c>
      <c r="M98" s="32">
        <f t="shared" si="16"/>
        <v>27705.187596420539</v>
      </c>
      <c r="N98" s="47">
        <v>0</v>
      </c>
      <c r="O98" s="19">
        <v>1.5599999999999999E-2</v>
      </c>
      <c r="P98" s="38">
        <f t="shared" si="14"/>
        <v>0.16369939574654205</v>
      </c>
      <c r="Q98" s="31">
        <f t="shared" si="17"/>
        <v>22290.295819648505</v>
      </c>
      <c r="R98" s="47">
        <v>0</v>
      </c>
      <c r="S98" s="37">
        <f t="shared" si="13"/>
        <v>136166.02381453422</v>
      </c>
      <c r="T98" s="40">
        <f t="shared" si="18"/>
        <v>-3.3360320269726351E-4</v>
      </c>
    </row>
    <row r="99" spans="2:20" x14ac:dyDescent="0.35">
      <c r="B99" s="10" t="s">
        <v>92</v>
      </c>
      <c r="C99" s="17">
        <v>-5.4699999999999999E-2</v>
      </c>
      <c r="D99" s="38">
        <f t="shared" si="10"/>
        <v>0.38564851224401597</v>
      </c>
      <c r="E99" s="32">
        <f t="shared" si="15"/>
        <v>52280.796125297806</v>
      </c>
      <c r="F99" s="47">
        <v>0</v>
      </c>
      <c r="G99" s="20">
        <v>0.14180000000000001</v>
      </c>
      <c r="H99" s="38">
        <f t="shared" si="11"/>
        <v>0.25995538000926433</v>
      </c>
      <c r="I99" s="32">
        <f t="shared" si="19"/>
        <v>35241.090766452318</v>
      </c>
      <c r="J99" s="47">
        <v>0</v>
      </c>
      <c r="K99" s="15">
        <v>-3.9300000000000002E-2</v>
      </c>
      <c r="L99" s="38">
        <f t="shared" si="12"/>
        <v>0.19633528348239243</v>
      </c>
      <c r="M99" s="32">
        <f t="shared" si="16"/>
        <v>26616.373723881214</v>
      </c>
      <c r="N99" s="47">
        <v>0</v>
      </c>
      <c r="O99" s="17">
        <v>-3.8699999999999998E-2</v>
      </c>
      <c r="P99" s="38">
        <f t="shared" si="14"/>
        <v>0.15806082426432733</v>
      </c>
      <c r="Q99" s="31">
        <f t="shared" si="17"/>
        <v>21427.661371428108</v>
      </c>
      <c r="R99" s="47">
        <v>0</v>
      </c>
      <c r="S99" s="37">
        <f t="shared" si="13"/>
        <v>135565.92198705944</v>
      </c>
      <c r="T99" s="40">
        <f t="shared" si="18"/>
        <v>-4.4071333704518434E-3</v>
      </c>
    </row>
    <row r="100" spans="2:20" x14ac:dyDescent="0.35">
      <c r="B100" s="11" t="s">
        <v>93</v>
      </c>
      <c r="C100" s="17">
        <v>-9.2100000000000001E-2</v>
      </c>
      <c r="D100" s="38">
        <f t="shared" si="10"/>
        <v>0.35624808566021438</v>
      </c>
      <c r="E100" s="32">
        <f t="shared" si="15"/>
        <v>47465.73480215788</v>
      </c>
      <c r="F100" s="47">
        <v>0</v>
      </c>
      <c r="G100" s="20">
        <v>1.83E-2</v>
      </c>
      <c r="H100" s="38">
        <f t="shared" si="11"/>
        <v>0.26933786713610952</v>
      </c>
      <c r="I100" s="32">
        <f t="shared" si="19"/>
        <v>35886.002727478393</v>
      </c>
      <c r="J100" s="47">
        <v>0</v>
      </c>
      <c r="K100" s="20">
        <v>6.1400000000000003E-2</v>
      </c>
      <c r="L100" s="38">
        <f t="shared" si="12"/>
        <v>0.21203145815692367</v>
      </c>
      <c r="M100" s="32">
        <f t="shared" si="16"/>
        <v>28250.619070527522</v>
      </c>
      <c r="N100" s="47">
        <v>0</v>
      </c>
      <c r="O100" s="19">
        <v>9.7000000000000003E-3</v>
      </c>
      <c r="P100" s="38">
        <f t="shared" si="14"/>
        <v>0.16238258904675226</v>
      </c>
      <c r="Q100" s="31">
        <f t="shared" si="17"/>
        <v>21635.509686730962</v>
      </c>
      <c r="R100" s="47">
        <v>0</v>
      </c>
      <c r="S100" s="37">
        <f t="shared" si="13"/>
        <v>133237.86628689477</v>
      </c>
      <c r="T100" s="40">
        <f t="shared" si="18"/>
        <v>-1.7172868122321328E-2</v>
      </c>
    </row>
    <row r="101" spans="2:20" x14ac:dyDescent="0.35">
      <c r="B101" s="10" t="s">
        <v>94</v>
      </c>
      <c r="C101" s="19">
        <v>9.8699999999999996E-2</v>
      </c>
      <c r="D101" s="38">
        <f t="shared" si="10"/>
        <v>0.37738543949989573</v>
      </c>
      <c r="E101" s="32">
        <f t="shared" si="15"/>
        <v>52150.602827130861</v>
      </c>
      <c r="F101" s="47">
        <v>0</v>
      </c>
      <c r="G101" s="15">
        <v>-3.27E-2</v>
      </c>
      <c r="H101" s="38">
        <f t="shared" si="11"/>
        <v>0.25119563045189514</v>
      </c>
      <c r="I101" s="32">
        <f t="shared" si="19"/>
        <v>34712.530438289847</v>
      </c>
      <c r="J101" s="47">
        <v>0</v>
      </c>
      <c r="K101" s="20">
        <v>1.49E-2</v>
      </c>
      <c r="L101" s="38">
        <f t="shared" si="12"/>
        <v>0.20748037711325867</v>
      </c>
      <c r="M101" s="32">
        <f t="shared" si="16"/>
        <v>28671.553294678382</v>
      </c>
      <c r="N101" s="47">
        <v>0</v>
      </c>
      <c r="O101" s="19">
        <v>4.7100000000000003E-2</v>
      </c>
      <c r="P101" s="38">
        <f t="shared" si="14"/>
        <v>0.16393855293495058</v>
      </c>
      <c r="Q101" s="31">
        <f t="shared" si="17"/>
        <v>22654.54219297599</v>
      </c>
      <c r="R101" s="47">
        <v>0</v>
      </c>
      <c r="S101" s="37">
        <f t="shared" si="13"/>
        <v>138189.22875307506</v>
      </c>
      <c r="T101" s="40">
        <f t="shared" si="18"/>
        <v>3.7161826469952253E-2</v>
      </c>
    </row>
    <row r="102" spans="2:20" x14ac:dyDescent="0.35">
      <c r="B102" s="11" t="s">
        <v>95</v>
      </c>
      <c r="C102" s="19">
        <v>4.3099999999999999E-2</v>
      </c>
      <c r="D102" s="38">
        <f t="shared" si="10"/>
        <v>0.36556573268743403</v>
      </c>
      <c r="E102" s="32">
        <f t="shared" si="15"/>
        <v>54398.293808980197</v>
      </c>
      <c r="F102" s="47">
        <v>0</v>
      </c>
      <c r="G102" s="20">
        <v>0.12180000000000001</v>
      </c>
      <c r="H102" s="38">
        <f t="shared" si="11"/>
        <v>0.26168685637072087</v>
      </c>
      <c r="I102" s="32">
        <f t="shared" si="19"/>
        <v>38940.516645673553</v>
      </c>
      <c r="J102" s="47">
        <v>0</v>
      </c>
      <c r="K102" s="20">
        <v>9.6699999999999994E-2</v>
      </c>
      <c r="L102" s="38">
        <f t="shared" si="12"/>
        <v>0.21130961851831651</v>
      </c>
      <c r="M102" s="32">
        <f t="shared" si="16"/>
        <v>31444.092498273782</v>
      </c>
      <c r="N102" s="47">
        <v>0</v>
      </c>
      <c r="O102" s="19">
        <v>6.0400000000000002E-2</v>
      </c>
      <c r="P102" s="38">
        <f t="shared" si="14"/>
        <v>0.16143779242352857</v>
      </c>
      <c r="Q102" s="31">
        <f t="shared" si="17"/>
        <v>24022.876541431739</v>
      </c>
      <c r="R102" s="47">
        <v>0</v>
      </c>
      <c r="S102" s="37">
        <f t="shared" si="13"/>
        <v>148805.77949435927</v>
      </c>
      <c r="T102" s="40">
        <f t="shared" si="18"/>
        <v>7.6826181295609697E-2</v>
      </c>
    </row>
    <row r="103" spans="2:20" x14ac:dyDescent="0.35">
      <c r="B103" s="10" t="s">
        <v>96</v>
      </c>
      <c r="C103" s="17">
        <v>-1.6299999999999999E-2</v>
      </c>
      <c r="D103" s="38">
        <f t="shared" si="10"/>
        <v>0.36629091810226261</v>
      </c>
      <c r="E103" s="32">
        <f t="shared" si="15"/>
        <v>53511.601619893823</v>
      </c>
      <c r="F103" s="47">
        <v>0</v>
      </c>
      <c r="G103" s="15">
        <v>-9.35E-2</v>
      </c>
      <c r="H103" s="38">
        <f t="shared" si="11"/>
        <v>0.24162825568874685</v>
      </c>
      <c r="I103" s="32">
        <f t="shared" si="19"/>
        <v>35299.578339303072</v>
      </c>
      <c r="J103" s="47">
        <v>0</v>
      </c>
      <c r="K103" s="20">
        <v>2.0199999999999999E-2</v>
      </c>
      <c r="L103" s="38">
        <f t="shared" si="12"/>
        <v>0.21958495731177119</v>
      </c>
      <c r="M103" s="32">
        <f t="shared" si="16"/>
        <v>32079.263166738911</v>
      </c>
      <c r="N103" s="47">
        <v>0</v>
      </c>
      <c r="O103" s="19">
        <v>4.9000000000000002E-2</v>
      </c>
      <c r="P103" s="38">
        <f t="shared" si="14"/>
        <v>0.17249586889721938</v>
      </c>
      <c r="Q103" s="31">
        <f t="shared" si="17"/>
        <v>25199.997491961894</v>
      </c>
      <c r="R103" s="47">
        <v>0</v>
      </c>
      <c r="S103" s="37">
        <f t="shared" si="13"/>
        <v>146090.44061789769</v>
      </c>
      <c r="T103" s="40">
        <f t="shared" si="18"/>
        <v>-1.8247536390644803E-2</v>
      </c>
    </row>
    <row r="104" spans="2:20" x14ac:dyDescent="0.35">
      <c r="B104" s="9" t="s">
        <v>97</v>
      </c>
      <c r="C104" s="19">
        <v>7.4399999999999994E-2</v>
      </c>
      <c r="D104" s="38">
        <f t="shared" si="10"/>
        <v>0.46562557934956883</v>
      </c>
      <c r="E104" s="32">
        <f t="shared" si="15"/>
        <v>70631.809820413924</v>
      </c>
      <c r="F104" s="49">
        <v>12229.1</v>
      </c>
      <c r="G104" s="20">
        <v>4.3499999999999997E-2</v>
      </c>
      <c r="H104" s="38">
        <f t="shared" si="11"/>
        <v>0.20099291426307864</v>
      </c>
      <c r="I104" s="32">
        <f t="shared" si="19"/>
        <v>30489.075182062756</v>
      </c>
      <c r="J104" s="48">
        <v>-6081.49</v>
      </c>
      <c r="K104" s="15">
        <v>-1.9099999999999999E-2</v>
      </c>
      <c r="L104" s="38">
        <f t="shared" si="12"/>
        <v>0.18893529676529611</v>
      </c>
      <c r="M104" s="32">
        <f t="shared" si="16"/>
        <v>28660.027587254197</v>
      </c>
      <c r="N104" s="48">
        <v>-2861.17</v>
      </c>
      <c r="O104" s="17">
        <v>-1E-4</v>
      </c>
      <c r="P104" s="38">
        <f t="shared" si="14"/>
        <v>0.14444620962205634</v>
      </c>
      <c r="Q104" s="31">
        <f t="shared" si="17"/>
        <v>21911.376135212697</v>
      </c>
      <c r="R104" s="48">
        <v>-3286.43</v>
      </c>
      <c r="S104" s="37">
        <f t="shared" si="13"/>
        <v>151692.28872494359</v>
      </c>
      <c r="T104" s="40">
        <f t="shared" si="18"/>
        <v>3.8345069556588118E-2</v>
      </c>
    </row>
    <row r="105" spans="2:20" x14ac:dyDescent="0.35">
      <c r="B105" s="10" t="s">
        <v>98</v>
      </c>
      <c r="C105" s="19">
        <v>1.8100000000000002E-2</v>
      </c>
      <c r="D105" s="38">
        <f t="shared" si="10"/>
        <v>0.47824322549570825</v>
      </c>
      <c r="E105" s="32">
        <f t="shared" si="15"/>
        <v>71910.24557816342</v>
      </c>
      <c r="F105" s="47">
        <v>0</v>
      </c>
      <c r="G105" s="15">
        <v>-5.7000000000000002E-2</v>
      </c>
      <c r="H105" s="38">
        <f t="shared" si="11"/>
        <v>0.19121149578095095</v>
      </c>
      <c r="I105" s="32">
        <f t="shared" si="19"/>
        <v>28751.197896685178</v>
      </c>
      <c r="J105" s="47">
        <v>0</v>
      </c>
      <c r="K105" s="20">
        <v>4.5999999999999999E-3</v>
      </c>
      <c r="L105" s="38">
        <f t="shared" si="12"/>
        <v>0.19148194613970154</v>
      </c>
      <c r="M105" s="32">
        <f t="shared" si="16"/>
        <v>28791.863714155566</v>
      </c>
      <c r="N105" s="47">
        <v>0</v>
      </c>
      <c r="O105" s="17">
        <v>-4.5699999999999998E-2</v>
      </c>
      <c r="P105" s="38">
        <f t="shared" si="14"/>
        <v>0.13906333258363929</v>
      </c>
      <c r="Q105" s="31">
        <f t="shared" si="17"/>
        <v>20910.026245833476</v>
      </c>
      <c r="R105" s="47">
        <v>0</v>
      </c>
      <c r="S105" s="37">
        <f t="shared" si="13"/>
        <v>150363.33343483764</v>
      </c>
      <c r="T105" s="40">
        <f t="shared" si="18"/>
        <v>-8.76086254137598E-3</v>
      </c>
    </row>
    <row r="106" spans="2:20" x14ac:dyDescent="0.35">
      <c r="B106" s="11" t="s">
        <v>99</v>
      </c>
      <c r="C106" s="19">
        <v>6.7000000000000002E-3</v>
      </c>
      <c r="D106" s="38">
        <f t="shared" si="10"/>
        <v>0.45723255866139029</v>
      </c>
      <c r="E106" s="32">
        <f t="shared" si="15"/>
        <v>72392.044223537116</v>
      </c>
      <c r="F106" s="47">
        <v>0</v>
      </c>
      <c r="G106" s="20">
        <v>5.8900000000000001E-2</v>
      </c>
      <c r="H106" s="38">
        <f t="shared" si="11"/>
        <v>0.19229022156735148</v>
      </c>
      <c r="I106" s="32">
        <f t="shared" si="19"/>
        <v>30444.643452799937</v>
      </c>
      <c r="J106" s="47">
        <v>0</v>
      </c>
      <c r="K106" s="20">
        <v>0.1109</v>
      </c>
      <c r="L106" s="38">
        <f t="shared" si="12"/>
        <v>0.20201845821441133</v>
      </c>
      <c r="M106" s="32">
        <f t="shared" si="16"/>
        <v>31984.881400055419</v>
      </c>
      <c r="N106" s="47">
        <v>0</v>
      </c>
      <c r="O106" s="19">
        <v>0.1241</v>
      </c>
      <c r="P106" s="38">
        <f t="shared" si="14"/>
        <v>0.14845876155684701</v>
      </c>
      <c r="Q106" s="31">
        <f t="shared" si="17"/>
        <v>23504.960502941412</v>
      </c>
      <c r="R106" s="47">
        <v>0</v>
      </c>
      <c r="S106" s="37">
        <f t="shared" si="13"/>
        <v>158326.52957933387</v>
      </c>
      <c r="T106" s="40">
        <f t="shared" si="18"/>
        <v>5.2959694112841849E-2</v>
      </c>
    </row>
    <row r="107" spans="2:20" x14ac:dyDescent="0.35">
      <c r="B107" s="10" t="s">
        <v>100</v>
      </c>
      <c r="C107" s="17">
        <v>-3.6700000000000003E-2</v>
      </c>
      <c r="D107" s="38">
        <f t="shared" si="10"/>
        <v>0.43873631033145943</v>
      </c>
      <c r="E107" s="32">
        <f t="shared" si="15"/>
        <v>69735.256200533302</v>
      </c>
      <c r="F107" s="47">
        <v>0</v>
      </c>
      <c r="G107" s="20">
        <v>3.1600000000000003E-2</v>
      </c>
      <c r="H107" s="38">
        <f t="shared" si="11"/>
        <v>0.19759384101507868</v>
      </c>
      <c r="I107" s="32">
        <f t="shared" si="19"/>
        <v>31406.694185908415</v>
      </c>
      <c r="J107" s="47">
        <v>0</v>
      </c>
      <c r="K107" s="20">
        <v>2.5899999999999999E-2</v>
      </c>
      <c r="L107" s="38">
        <f t="shared" si="12"/>
        <v>0.20644337589746245</v>
      </c>
      <c r="M107" s="32">
        <f t="shared" si="16"/>
        <v>32813.289828316854</v>
      </c>
      <c r="N107" s="47">
        <v>0</v>
      </c>
      <c r="O107" s="19">
        <v>6.3200000000000006E-2</v>
      </c>
      <c r="P107" s="38">
        <f t="shared" si="14"/>
        <v>0.15722647275599935</v>
      </c>
      <c r="Q107" s="31">
        <f t="shared" si="17"/>
        <v>24990.474006727309</v>
      </c>
      <c r="R107" s="47">
        <v>0</v>
      </c>
      <c r="S107" s="37">
        <f t="shared" si="13"/>
        <v>158945.71422148589</v>
      </c>
      <c r="T107" s="40">
        <f t="shared" si="18"/>
        <v>3.910807896801316E-3</v>
      </c>
    </row>
    <row r="108" spans="2:20" x14ac:dyDescent="0.35">
      <c r="B108" s="11" t="s">
        <v>101</v>
      </c>
      <c r="C108" s="17">
        <v>-7.5999999999999998E-2</v>
      </c>
      <c r="D108" s="38">
        <f t="shared" si="10"/>
        <v>0.41743797533199956</v>
      </c>
      <c r="E108" s="32">
        <f t="shared" si="15"/>
        <v>64435.376729292773</v>
      </c>
      <c r="F108" s="47">
        <v>0</v>
      </c>
      <c r="G108" s="20">
        <v>2.5999999999999999E-3</v>
      </c>
      <c r="H108" s="38">
        <f t="shared" si="11"/>
        <v>0.20399405422622002</v>
      </c>
      <c r="I108" s="32">
        <f t="shared" si="19"/>
        <v>31488.351590791775</v>
      </c>
      <c r="J108" s="47">
        <v>0</v>
      </c>
      <c r="K108" s="20">
        <v>2.8E-3</v>
      </c>
      <c r="L108" s="38">
        <f t="shared" si="12"/>
        <v>0.21317274770934988</v>
      </c>
      <c r="M108" s="32">
        <f t="shared" si="16"/>
        <v>32905.167039836138</v>
      </c>
      <c r="N108" s="47">
        <v>0</v>
      </c>
      <c r="O108" s="19">
        <v>2.1600000000000001E-2</v>
      </c>
      <c r="P108" s="38">
        <f t="shared" si="14"/>
        <v>0.16539522273243043</v>
      </c>
      <c r="Q108" s="31">
        <f t="shared" si="17"/>
        <v>25530.268245272619</v>
      </c>
      <c r="R108" s="47">
        <v>0</v>
      </c>
      <c r="S108" s="37">
        <f t="shared" si="13"/>
        <v>154359.16360519332</v>
      </c>
      <c r="T108" s="40">
        <f t="shared" si="18"/>
        <v>-2.8856082334509203E-2</v>
      </c>
    </row>
    <row r="109" spans="2:20" x14ac:dyDescent="0.35">
      <c r="B109" s="10" t="s">
        <v>102</v>
      </c>
      <c r="C109" s="19">
        <v>2.3400000000000001E-2</v>
      </c>
      <c r="D109" s="38">
        <f t="shared" si="10"/>
        <v>0.40723657043238498</v>
      </c>
      <c r="E109" s="32">
        <f t="shared" si="15"/>
        <v>65943.164544758227</v>
      </c>
      <c r="F109" s="47">
        <v>0</v>
      </c>
      <c r="G109" s="20">
        <v>5.4899999999999997E-2</v>
      </c>
      <c r="H109" s="38">
        <f t="shared" si="11"/>
        <v>0.20513426281601735</v>
      </c>
      <c r="I109" s="32">
        <f t="shared" si="19"/>
        <v>33217.062093126246</v>
      </c>
      <c r="J109" s="47">
        <v>0</v>
      </c>
      <c r="K109" s="20">
        <v>7.0999999999999994E-2</v>
      </c>
      <c r="L109" s="38">
        <f t="shared" si="12"/>
        <v>0.21763591082557107</v>
      </c>
      <c r="M109" s="32">
        <f t="shared" si="16"/>
        <v>35241.433899664502</v>
      </c>
      <c r="N109" s="47">
        <v>0</v>
      </c>
      <c r="O109" s="19">
        <v>7.8200000000000006E-2</v>
      </c>
      <c r="P109" s="38">
        <f t="shared" si="14"/>
        <v>0.16999325592602665</v>
      </c>
      <c r="Q109" s="31">
        <f t="shared" si="17"/>
        <v>27526.735222052936</v>
      </c>
      <c r="R109" s="47">
        <v>0</v>
      </c>
      <c r="S109" s="37">
        <f t="shared" si="13"/>
        <v>161928.3957596019</v>
      </c>
      <c r="T109" s="40">
        <f t="shared" si="18"/>
        <v>4.9036493704827988E-2</v>
      </c>
    </row>
    <row r="110" spans="2:20" x14ac:dyDescent="0.35">
      <c r="B110" s="11" t="s">
        <v>103</v>
      </c>
      <c r="C110" s="17">
        <v>-4.3E-3</v>
      </c>
      <c r="D110" s="38">
        <f t="shared" si="10"/>
        <v>0.40739107462410423</v>
      </c>
      <c r="E110" s="32">
        <f t="shared" si="15"/>
        <v>65659.608937215773</v>
      </c>
      <c r="F110" s="47">
        <v>0</v>
      </c>
      <c r="G110" s="15">
        <v>-8.6E-3</v>
      </c>
      <c r="H110" s="38">
        <f t="shared" si="11"/>
        <v>0.20432586732360469</v>
      </c>
      <c r="I110" s="32">
        <f t="shared" si="19"/>
        <v>32931.395359125359</v>
      </c>
      <c r="J110" s="47">
        <v>0</v>
      </c>
      <c r="K110" s="15">
        <v>-6.1999999999999998E-3</v>
      </c>
      <c r="L110" s="38">
        <f t="shared" si="12"/>
        <v>0.21730302960576955</v>
      </c>
      <c r="M110" s="32">
        <f t="shared" si="16"/>
        <v>35022.937009486581</v>
      </c>
      <c r="N110" s="47">
        <v>0</v>
      </c>
      <c r="O110" s="19">
        <v>1.1000000000000001E-3</v>
      </c>
      <c r="P110" s="38">
        <f t="shared" si="14"/>
        <v>0.17098002844652155</v>
      </c>
      <c r="Q110" s="31">
        <f t="shared" si="17"/>
        <v>27557.014630797195</v>
      </c>
      <c r="R110" s="47">
        <v>0</v>
      </c>
      <c r="S110" s="37">
        <f t="shared" si="13"/>
        <v>161170.9559366249</v>
      </c>
      <c r="T110" s="40">
        <f t="shared" si="18"/>
        <v>-4.6776219786768269E-3</v>
      </c>
    </row>
    <row r="111" spans="2:20" x14ac:dyDescent="0.35">
      <c r="B111" s="10" t="s">
        <v>104</v>
      </c>
      <c r="C111" s="19">
        <v>0.01</v>
      </c>
      <c r="D111" s="38">
        <f t="shared" si="10"/>
        <v>0.402956542717818</v>
      </c>
      <c r="E111" s="32">
        <f t="shared" si="15"/>
        <v>66316.205026587937</v>
      </c>
      <c r="F111" s="47">
        <v>0</v>
      </c>
      <c r="G111" s="20">
        <v>5.3199999999999997E-2</v>
      </c>
      <c r="H111" s="38">
        <f t="shared" si="11"/>
        <v>0.21074609176036688</v>
      </c>
      <c r="I111" s="32">
        <f t="shared" si="19"/>
        <v>34683.345592230828</v>
      </c>
      <c r="J111" s="47">
        <v>0</v>
      </c>
      <c r="K111" s="20">
        <v>2.47E-2</v>
      </c>
      <c r="L111" s="38">
        <f t="shared" si="12"/>
        <v>0.21806594377971295</v>
      </c>
      <c r="M111" s="32">
        <f t="shared" si="16"/>
        <v>35888.003553620896</v>
      </c>
      <c r="N111" s="47">
        <v>0</v>
      </c>
      <c r="O111" s="19">
        <v>4.7000000000000002E-3</v>
      </c>
      <c r="P111" s="38">
        <f t="shared" si="14"/>
        <v>0.16823142174210234</v>
      </c>
      <c r="Q111" s="31">
        <f t="shared" si="17"/>
        <v>27686.532599561942</v>
      </c>
      <c r="R111" s="47">
        <v>0</v>
      </c>
      <c r="S111" s="37">
        <f t="shared" si="13"/>
        <v>164574.08677200158</v>
      </c>
      <c r="T111" s="40">
        <f t="shared" si="18"/>
        <v>2.1115037852817986E-2</v>
      </c>
    </row>
    <row r="112" spans="2:20" x14ac:dyDescent="0.35">
      <c r="B112" s="11" t="s">
        <v>105</v>
      </c>
      <c r="C112" s="19">
        <v>1.54E-2</v>
      </c>
      <c r="D112" s="38">
        <f t="shared" si="10"/>
        <v>0.40466930786188798</v>
      </c>
      <c r="E112" s="32">
        <f t="shared" si="15"/>
        <v>67337.474583997391</v>
      </c>
      <c r="F112" s="47">
        <v>0</v>
      </c>
      <c r="G112" s="20">
        <v>3.7199999999999997E-2</v>
      </c>
      <c r="H112" s="38">
        <f t="shared" si="11"/>
        <v>0.21618568507369526</v>
      </c>
      <c r="I112" s="32">
        <f t="shared" si="19"/>
        <v>35973.566048261811</v>
      </c>
      <c r="J112" s="47">
        <v>0</v>
      </c>
      <c r="K112" s="20">
        <v>1.4200000000000001E-2</v>
      </c>
      <c r="L112" s="38">
        <f t="shared" si="12"/>
        <v>0.21873402639636591</v>
      </c>
      <c r="M112" s="32">
        <f t="shared" si="16"/>
        <v>36397.613204082314</v>
      </c>
      <c r="N112" s="47">
        <v>0</v>
      </c>
      <c r="O112" s="17">
        <v>-3.5900000000000001E-2</v>
      </c>
      <c r="P112" s="38">
        <f t="shared" si="14"/>
        <v>0.1604109806680509</v>
      </c>
      <c r="Q112" s="31">
        <f t="shared" si="17"/>
        <v>26692.58607923767</v>
      </c>
      <c r="R112" s="47">
        <v>0</v>
      </c>
      <c r="S112" s="37">
        <f t="shared" si="13"/>
        <v>166401.23991557918</v>
      </c>
      <c r="T112" s="40">
        <f t="shared" si="18"/>
        <v>1.1102313732470614E-2</v>
      </c>
    </row>
    <row r="113" spans="2:20" x14ac:dyDescent="0.35">
      <c r="B113" s="10" t="s">
        <v>106</v>
      </c>
      <c r="C113" s="17">
        <v>-1.23E-2</v>
      </c>
      <c r="D113" s="38">
        <f t="shared" si="10"/>
        <v>0.40644280345124179</v>
      </c>
      <c r="E113" s="32">
        <f t="shared" si="15"/>
        <v>66509.22364661422</v>
      </c>
      <c r="F113" s="47">
        <v>0</v>
      </c>
      <c r="G113" s="15">
        <v>-2.86E-2</v>
      </c>
      <c r="H113" s="38">
        <f t="shared" si="11"/>
        <v>0.21354979085403689</v>
      </c>
      <c r="I113" s="32">
        <f t="shared" si="19"/>
        <v>34944.722059281521</v>
      </c>
      <c r="J113" s="47">
        <v>0</v>
      </c>
      <c r="K113" s="15">
        <v>-1.89E-2</v>
      </c>
      <c r="L113" s="38">
        <f t="shared" si="12"/>
        <v>0.21822461754284134</v>
      </c>
      <c r="M113" s="32">
        <f t="shared" si="16"/>
        <v>35709.698314525158</v>
      </c>
      <c r="N113" s="47">
        <v>0</v>
      </c>
      <c r="O113" s="17">
        <v>-8.2000000000000007E-3</v>
      </c>
      <c r="P113" s="38">
        <f t="shared" si="14"/>
        <v>0.16178278815187999</v>
      </c>
      <c r="Q113" s="31">
        <f t="shared" si="17"/>
        <v>26473.70687338792</v>
      </c>
      <c r="R113" s="47">
        <v>0</v>
      </c>
      <c r="S113" s="37">
        <f t="shared" si="13"/>
        <v>163637.35089380882</v>
      </c>
      <c r="T113" s="40">
        <f t="shared" si="18"/>
        <v>-1.660978622017828E-2</v>
      </c>
    </row>
    <row r="114" spans="2:20" x14ac:dyDescent="0.35">
      <c r="B114" s="11" t="s">
        <v>107</v>
      </c>
      <c r="C114" s="17">
        <v>-1.6000000000000001E-3</v>
      </c>
      <c r="D114" s="38">
        <f t="shared" si="10"/>
        <v>0.39850064173494715</v>
      </c>
      <c r="E114" s="32">
        <f t="shared" si="15"/>
        <v>66402.808888779633</v>
      </c>
      <c r="F114" s="47">
        <v>0</v>
      </c>
      <c r="G114" s="20">
        <v>2.9700000000000001E-2</v>
      </c>
      <c r="H114" s="38">
        <f t="shared" si="11"/>
        <v>0.21594088537152856</v>
      </c>
      <c r="I114" s="32">
        <f t="shared" si="19"/>
        <v>35982.580304442185</v>
      </c>
      <c r="J114" s="47">
        <v>0</v>
      </c>
      <c r="K114" s="20">
        <v>3.56E-2</v>
      </c>
      <c r="L114" s="38">
        <f t="shared" si="12"/>
        <v>0.22193244477213656</v>
      </c>
      <c r="M114" s="32">
        <f t="shared" si="16"/>
        <v>36980.963574522255</v>
      </c>
      <c r="N114" s="47">
        <v>0</v>
      </c>
      <c r="O114" s="19">
        <v>2.9899999999999999E-2</v>
      </c>
      <c r="P114" s="38">
        <f t="shared" si="14"/>
        <v>0.16362602812138774</v>
      </c>
      <c r="Q114" s="31">
        <f t="shared" si="17"/>
        <v>27265.270708902219</v>
      </c>
      <c r="R114" s="47">
        <v>0</v>
      </c>
      <c r="S114" s="37">
        <f t="shared" si="13"/>
        <v>166631.62347664629</v>
      </c>
      <c r="T114" s="40">
        <f t="shared" si="18"/>
        <v>1.8298222053109159E-2</v>
      </c>
    </row>
    <row r="115" spans="2:20" x14ac:dyDescent="0.35">
      <c r="B115" s="10" t="s">
        <v>108</v>
      </c>
      <c r="C115" s="19">
        <v>5.91E-2</v>
      </c>
      <c r="D115" s="38">
        <f t="shared" si="10"/>
        <v>0.41786213739763645</v>
      </c>
      <c r="E115" s="32">
        <f t="shared" si="15"/>
        <v>70327.21489410651</v>
      </c>
      <c r="F115" s="47">
        <v>0</v>
      </c>
      <c r="G115" s="15">
        <v>-4.6100000000000002E-2</v>
      </c>
      <c r="H115" s="38">
        <f t="shared" si="11"/>
        <v>0.20394109871699601</v>
      </c>
      <c r="I115" s="32">
        <f t="shared" si="19"/>
        <v>34323.783352407401</v>
      </c>
      <c r="J115" s="47">
        <v>0</v>
      </c>
      <c r="K115" s="15">
        <v>-1.66E-2</v>
      </c>
      <c r="L115" s="38">
        <f t="shared" si="12"/>
        <v>0.21608172066460909</v>
      </c>
      <c r="M115" s="32">
        <f t="shared" si="16"/>
        <v>36367.079579185185</v>
      </c>
      <c r="N115" s="47">
        <v>0</v>
      </c>
      <c r="O115" s="19">
        <v>6.9999999999999999E-4</v>
      </c>
      <c r="P115" s="38">
        <f t="shared" si="14"/>
        <v>0.16211504322075859</v>
      </c>
      <c r="Q115" s="31">
        <f t="shared" si="17"/>
        <v>27284.35639839845</v>
      </c>
      <c r="R115" s="47">
        <v>0</v>
      </c>
      <c r="S115" s="37">
        <f t="shared" si="13"/>
        <v>168302.43422409752</v>
      </c>
      <c r="T115" s="40">
        <f t="shared" si="18"/>
        <v>1.0026972747375407E-2</v>
      </c>
    </row>
    <row r="116" spans="2:20" x14ac:dyDescent="0.35">
      <c r="B116" s="9" t="s">
        <v>109</v>
      </c>
      <c r="C116" s="17">
        <v>-1.4500000000000001E-2</v>
      </c>
      <c r="D116" s="38">
        <f t="shared" si="10"/>
        <v>0.44729264034071997</v>
      </c>
      <c r="E116" s="32">
        <f t="shared" si="15"/>
        <v>74637.921518141971</v>
      </c>
      <c r="F116" s="49">
        <v>5408.88</v>
      </c>
      <c r="G116" s="15">
        <v>-3.56E-2</v>
      </c>
      <c r="H116" s="38">
        <f t="shared" si="11"/>
        <v>0.19454044021758046</v>
      </c>
      <c r="I116" s="32">
        <f t="shared" si="19"/>
        <v>32462.179789061694</v>
      </c>
      <c r="J116" s="48">
        <v>-663.29</v>
      </c>
      <c r="K116" s="20">
        <v>0.02</v>
      </c>
      <c r="L116" s="38">
        <f t="shared" si="12"/>
        <v>0.20575614556044283</v>
      </c>
      <c r="M116" s="32">
        <f t="shared" si="16"/>
        <v>34333.699370768882</v>
      </c>
      <c r="N116" s="48">
        <v>-2706.59</v>
      </c>
      <c r="O116" s="19">
        <v>7.4000000000000003E-3</v>
      </c>
      <c r="P116" s="38">
        <f t="shared" si="14"/>
        <v>0.15241077388125668</v>
      </c>
      <c r="Q116" s="31">
        <f t="shared" si="17"/>
        <v>25432.172035746597</v>
      </c>
      <c r="R116" s="48">
        <v>-2039</v>
      </c>
      <c r="S116" s="37">
        <f t="shared" si="13"/>
        <v>166865.97271371915</v>
      </c>
      <c r="T116" s="40">
        <f t="shared" si="18"/>
        <v>-8.5350013919923695E-3</v>
      </c>
    </row>
    <row r="117" spans="2:20" x14ac:dyDescent="0.35">
      <c r="B117" s="10" t="s">
        <v>110</v>
      </c>
      <c r="C117" s="17">
        <v>-3.61E-2</v>
      </c>
      <c r="D117" s="38">
        <f t="shared" si="10"/>
        <v>0.44258933445489745</v>
      </c>
      <c r="E117" s="32">
        <f t="shared" si="15"/>
        <v>71943.49255133704</v>
      </c>
      <c r="F117" s="47">
        <v>0</v>
      </c>
      <c r="G117" s="15">
        <v>-5.74E-2</v>
      </c>
      <c r="H117" s="38">
        <f t="shared" si="11"/>
        <v>0.18824113860039257</v>
      </c>
      <c r="I117" s="32">
        <f t="shared" si="19"/>
        <v>30598.850669169555</v>
      </c>
      <c r="J117" s="47">
        <v>0</v>
      </c>
      <c r="K117" s="20">
        <v>3.5999999999999999E-3</v>
      </c>
      <c r="L117" s="38">
        <f t="shared" si="12"/>
        <v>0.2119779459963636</v>
      </c>
      <c r="M117" s="32">
        <f t="shared" si="16"/>
        <v>34457.300688503652</v>
      </c>
      <c r="N117" s="47">
        <v>0</v>
      </c>
      <c r="O117" s="19">
        <v>4.7000000000000002E-3</v>
      </c>
      <c r="P117" s="38">
        <f t="shared" si="14"/>
        <v>0.15719158094834629</v>
      </c>
      <c r="Q117" s="31">
        <f t="shared" si="17"/>
        <v>25551.703244314605</v>
      </c>
      <c r="R117" s="47">
        <v>0</v>
      </c>
      <c r="S117" s="37">
        <f t="shared" si="13"/>
        <v>162551.34715332487</v>
      </c>
      <c r="T117" s="40">
        <f t="shared" si="18"/>
        <v>-2.5856832823529574E-2</v>
      </c>
    </row>
    <row r="118" spans="2:20" x14ac:dyDescent="0.35">
      <c r="B118" s="11" t="s">
        <v>111</v>
      </c>
      <c r="C118" s="19">
        <v>1.17E-2</v>
      </c>
      <c r="D118" s="38">
        <f t="shared" si="10"/>
        <v>0.43410375827320458</v>
      </c>
      <c r="E118" s="32">
        <f t="shared" si="15"/>
        <v>72785.231414187685</v>
      </c>
      <c r="F118" s="47">
        <v>0</v>
      </c>
      <c r="G118" s="20">
        <v>3.3799999999999997E-2</v>
      </c>
      <c r="H118" s="38">
        <f t="shared" si="11"/>
        <v>0.18866525226108707</v>
      </c>
      <c r="I118" s="32">
        <f t="shared" si="19"/>
        <v>31633.091821787486</v>
      </c>
      <c r="J118" s="47">
        <v>0</v>
      </c>
      <c r="K118" s="20">
        <v>6.0600000000000001E-2</v>
      </c>
      <c r="L118" s="38">
        <f t="shared" si="12"/>
        <v>0.21796318937998155</v>
      </c>
      <c r="M118" s="32">
        <f t="shared" si="16"/>
        <v>36545.413110226975</v>
      </c>
      <c r="N118" s="47">
        <v>0</v>
      </c>
      <c r="O118" s="19">
        <v>4.5100000000000001E-2</v>
      </c>
      <c r="P118" s="38">
        <f t="shared" si="14"/>
        <v>0.1592678000857268</v>
      </c>
      <c r="Q118" s="31">
        <f t="shared" si="17"/>
        <v>26704.085060633195</v>
      </c>
      <c r="R118" s="47">
        <v>0</v>
      </c>
      <c r="S118" s="37">
        <f t="shared" si="13"/>
        <v>167667.82140683534</v>
      </c>
      <c r="T118" s="40">
        <f t="shared" si="18"/>
        <v>3.147604952596561E-2</v>
      </c>
    </row>
    <row r="119" spans="2:20" x14ac:dyDescent="0.35">
      <c r="B119" s="10" t="s">
        <v>112</v>
      </c>
      <c r="C119" s="19">
        <v>4.7999999999999996E-3</v>
      </c>
      <c r="D119" s="38">
        <f t="shared" si="10"/>
        <v>0.43691124711511575</v>
      </c>
      <c r="E119" s="32">
        <f t="shared" si="15"/>
        <v>73134.600524975787</v>
      </c>
      <c r="F119" s="47">
        <v>0</v>
      </c>
      <c r="G119" s="15">
        <v>-8.2299999999999998E-2</v>
      </c>
      <c r="H119" s="38">
        <f t="shared" si="11"/>
        <v>0.17342539995853612</v>
      </c>
      <c r="I119" s="32">
        <f t="shared" si="19"/>
        <v>29029.688364854377</v>
      </c>
      <c r="J119" s="47">
        <v>0</v>
      </c>
      <c r="K119" s="20">
        <v>1.06E-2</v>
      </c>
      <c r="L119" s="38">
        <f t="shared" si="12"/>
        <v>0.22063911177322959</v>
      </c>
      <c r="M119" s="32">
        <f t="shared" si="16"/>
        <v>36932.794489195381</v>
      </c>
      <c r="N119" s="47">
        <v>0</v>
      </c>
      <c r="O119" s="19">
        <v>5.9499999999999997E-2</v>
      </c>
      <c r="P119" s="38">
        <f t="shared" si="14"/>
        <v>0.16902424115311843</v>
      </c>
      <c r="Q119" s="31">
        <f t="shared" si="17"/>
        <v>28292.978121740871</v>
      </c>
      <c r="R119" s="47">
        <v>0</v>
      </c>
      <c r="S119" s="37">
        <f t="shared" si="13"/>
        <v>167390.06150076643</v>
      </c>
      <c r="T119" s="40">
        <f t="shared" si="18"/>
        <v>-1.656608308847396E-3</v>
      </c>
    </row>
    <row r="120" spans="2:20" x14ac:dyDescent="0.35">
      <c r="B120" s="11" t="s">
        <v>113</v>
      </c>
      <c r="C120" s="17">
        <v>-2.9100000000000001E-2</v>
      </c>
      <c r="D120" s="38">
        <f t="shared" si="10"/>
        <v>0.42415257315603677</v>
      </c>
      <c r="E120" s="32">
        <f t="shared" si="15"/>
        <v>71006.383649698997</v>
      </c>
      <c r="F120" s="47">
        <v>0</v>
      </c>
      <c r="G120" s="15">
        <v>-9.7999999999999997E-3</v>
      </c>
      <c r="H120" s="38">
        <f t="shared" si="11"/>
        <v>0.1717077933618634</v>
      </c>
      <c r="I120" s="32">
        <f t="shared" si="19"/>
        <v>28745.197418878804</v>
      </c>
      <c r="J120" s="47">
        <v>0</v>
      </c>
      <c r="K120" s="20">
        <v>7.3999999999999996E-2</v>
      </c>
      <c r="L120" s="38">
        <f t="shared" si="12"/>
        <v>0.2369415156509361</v>
      </c>
      <c r="M120" s="32">
        <f t="shared" si="16"/>
        <v>39665.821281395838</v>
      </c>
      <c r="N120" s="47">
        <v>0</v>
      </c>
      <c r="O120" s="17">
        <v>-1.0699999999999999E-2</v>
      </c>
      <c r="P120" s="38">
        <f t="shared" si="14"/>
        <v>0.16719811783116378</v>
      </c>
      <c r="Q120" s="31">
        <f t="shared" si="17"/>
        <v>27990.243255838242</v>
      </c>
      <c r="R120" s="47">
        <v>0</v>
      </c>
      <c r="S120" s="37">
        <f t="shared" si="13"/>
        <v>167407.64560581188</v>
      </c>
      <c r="T120" s="40">
        <f t="shared" si="18"/>
        <v>1.0504868023697433E-4</v>
      </c>
    </row>
    <row r="121" spans="2:20" x14ac:dyDescent="0.35">
      <c r="B121" s="10" t="s">
        <v>114</v>
      </c>
      <c r="C121" s="17">
        <v>-0.10730000000000001</v>
      </c>
      <c r="D121" s="38">
        <f t="shared" si="10"/>
        <v>0.39994533191196963</v>
      </c>
      <c r="E121" s="32">
        <f t="shared" si="15"/>
        <v>63387.398684086293</v>
      </c>
      <c r="F121" s="47">
        <v>0</v>
      </c>
      <c r="G121" s="15">
        <v>-7.85E-2</v>
      </c>
      <c r="H121" s="38">
        <f t="shared" si="11"/>
        <v>0.16713151039445676</v>
      </c>
      <c r="I121" s="32">
        <f t="shared" si="19"/>
        <v>26488.699421496818</v>
      </c>
      <c r="J121" s="47">
        <v>0</v>
      </c>
      <c r="K121" s="20">
        <v>2.0199999999999999E-2</v>
      </c>
      <c r="L121" s="38">
        <f t="shared" si="12"/>
        <v>0.25532860516616396</v>
      </c>
      <c r="M121" s="32">
        <f t="shared" si="16"/>
        <v>40467.070871280033</v>
      </c>
      <c r="N121" s="47">
        <v>0</v>
      </c>
      <c r="O121" s="19">
        <v>5.5999999999999999E-3</v>
      </c>
      <c r="P121" s="38">
        <f t="shared" si="14"/>
        <v>0.17759455252740952</v>
      </c>
      <c r="Q121" s="31">
        <f t="shared" si="17"/>
        <v>28146.988618070936</v>
      </c>
      <c r="R121" s="47">
        <v>0</v>
      </c>
      <c r="S121" s="37">
        <f t="shared" si="13"/>
        <v>158490.15759493411</v>
      </c>
      <c r="T121" s="40">
        <f t="shared" si="18"/>
        <v>-5.3268104802545402E-2</v>
      </c>
    </row>
    <row r="122" spans="2:20" x14ac:dyDescent="0.35">
      <c r="B122" s="11" t="s">
        <v>115</v>
      </c>
      <c r="C122" s="19">
        <v>3.4500000000000003E-2</v>
      </c>
      <c r="D122" s="38">
        <f t="shared" si="10"/>
        <v>0.38783144166177286</v>
      </c>
      <c r="E122" s="32">
        <f t="shared" si="15"/>
        <v>65574.263938687276</v>
      </c>
      <c r="F122" s="47">
        <v>0</v>
      </c>
      <c r="G122" s="20">
        <v>0.11700000000000001</v>
      </c>
      <c r="H122" s="38">
        <f t="shared" si="11"/>
        <v>0.17499409679667663</v>
      </c>
      <c r="I122" s="32">
        <f t="shared" si="19"/>
        <v>29587.877253811945</v>
      </c>
      <c r="J122" s="47">
        <v>0</v>
      </c>
      <c r="K122" s="20">
        <v>9.4600000000000004E-2</v>
      </c>
      <c r="L122" s="38">
        <f t="shared" si="12"/>
        <v>0.26197919541011655</v>
      </c>
      <c r="M122" s="32">
        <f t="shared" si="16"/>
        <v>44295.255775703125</v>
      </c>
      <c r="N122" s="47">
        <v>0</v>
      </c>
      <c r="O122" s="19">
        <v>5.2400000000000002E-2</v>
      </c>
      <c r="P122" s="38">
        <f t="shared" si="14"/>
        <v>0.17519526613143385</v>
      </c>
      <c r="Q122" s="31">
        <f t="shared" si="17"/>
        <v>29621.890821657853</v>
      </c>
      <c r="R122" s="47">
        <v>0</v>
      </c>
      <c r="S122" s="37">
        <f t="shared" si="13"/>
        <v>169079.28778986022</v>
      </c>
      <c r="T122" s="40">
        <f t="shared" si="18"/>
        <v>6.6812541268269854E-2</v>
      </c>
    </row>
    <row r="123" spans="2:20" x14ac:dyDescent="0.35">
      <c r="B123" s="10" t="s">
        <v>116</v>
      </c>
      <c r="C123" s="19">
        <v>1.46E-2</v>
      </c>
      <c r="D123" s="38">
        <f t="shared" si="10"/>
        <v>0.38591683325188414</v>
      </c>
      <c r="E123" s="32">
        <f t="shared" si="15"/>
        <v>66531.648192192108</v>
      </c>
      <c r="F123" s="47">
        <v>0</v>
      </c>
      <c r="G123" s="20">
        <v>9.8500000000000004E-2</v>
      </c>
      <c r="H123" s="38">
        <f t="shared" si="11"/>
        <v>0.18852949735451735</v>
      </c>
      <c r="I123" s="32">
        <f t="shared" si="19"/>
        <v>32502.283163312422</v>
      </c>
      <c r="J123" s="47">
        <v>0</v>
      </c>
      <c r="K123" s="20">
        <v>8.6E-3</v>
      </c>
      <c r="L123" s="38">
        <f t="shared" si="12"/>
        <v>0.25914427426830994</v>
      </c>
      <c r="M123" s="32">
        <f t="shared" si="16"/>
        <v>44676.194975374172</v>
      </c>
      <c r="N123" s="47">
        <v>0</v>
      </c>
      <c r="O123" s="17">
        <v>-3.15E-2</v>
      </c>
      <c r="P123" s="38">
        <f t="shared" si="14"/>
        <v>0.16640939512528866</v>
      </c>
      <c r="Q123" s="31">
        <f t="shared" si="17"/>
        <v>28688.801260775632</v>
      </c>
      <c r="R123" s="47">
        <v>0</v>
      </c>
      <c r="S123" s="37">
        <f t="shared" si="13"/>
        <v>172398.92759165433</v>
      </c>
      <c r="T123" s="40">
        <f t="shared" si="18"/>
        <v>1.9633627780121232E-2</v>
      </c>
    </row>
    <row r="124" spans="2:20" x14ac:dyDescent="0.35">
      <c r="B124" s="11" t="s">
        <v>117</v>
      </c>
      <c r="C124" s="19">
        <v>7.4700000000000003E-2</v>
      </c>
      <c r="D124" s="38">
        <f t="shared" si="10"/>
        <v>0.41422824897550126</v>
      </c>
      <c r="E124" s="32">
        <f t="shared" si="15"/>
        <v>71501.562312148861</v>
      </c>
      <c r="F124" s="47">
        <v>0</v>
      </c>
      <c r="G124" s="15">
        <v>-9.5500000000000002E-2</v>
      </c>
      <c r="H124" s="38">
        <f t="shared" si="11"/>
        <v>0.1703125386593439</v>
      </c>
      <c r="I124" s="32">
        <f t="shared" si="19"/>
        <v>29398.315121216085</v>
      </c>
      <c r="J124" s="47">
        <v>0</v>
      </c>
      <c r="K124" s="15">
        <v>-2.0899999999999998E-2</v>
      </c>
      <c r="L124" s="38">
        <f t="shared" si="12"/>
        <v>0.25341213620354602</v>
      </c>
      <c r="M124" s="32">
        <f t="shared" si="16"/>
        <v>43742.46250038885</v>
      </c>
      <c r="N124" s="47">
        <v>0</v>
      </c>
      <c r="O124" s="17">
        <v>-2.5000000000000001E-2</v>
      </c>
      <c r="P124" s="38">
        <f t="shared" si="14"/>
        <v>0.16204707616160891</v>
      </c>
      <c r="Q124" s="31">
        <f t="shared" si="17"/>
        <v>27971.58122925624</v>
      </c>
      <c r="R124" s="47">
        <v>0</v>
      </c>
      <c r="S124" s="37">
        <f t="shared" si="13"/>
        <v>172613.92116301003</v>
      </c>
      <c r="T124" s="40">
        <f t="shared" si="18"/>
        <v>1.2470702362195052E-3</v>
      </c>
    </row>
    <row r="125" spans="2:20" x14ac:dyDescent="0.35">
      <c r="B125" s="10" t="s">
        <v>118</v>
      </c>
      <c r="C125" s="19">
        <v>1.32E-2</v>
      </c>
      <c r="D125" s="38">
        <f t="shared" si="10"/>
        <v>0.41797273525737411</v>
      </c>
      <c r="E125" s="32">
        <f t="shared" si="15"/>
        <v>72445.382934669222</v>
      </c>
      <c r="F125" s="47">
        <v>0</v>
      </c>
      <c r="G125" s="15">
        <v>-3.5299999999999998E-2</v>
      </c>
      <c r="H125" s="38">
        <f t="shared" si="11"/>
        <v>0.16362586680225999</v>
      </c>
      <c r="I125" s="32">
        <f t="shared" si="19"/>
        <v>28360.554597437156</v>
      </c>
      <c r="J125" s="47">
        <v>0</v>
      </c>
      <c r="K125" s="20">
        <v>1.0999999999999999E-2</v>
      </c>
      <c r="L125" s="38">
        <f t="shared" si="12"/>
        <v>0.25514768054341885</v>
      </c>
      <c r="M125" s="32">
        <f t="shared" si="16"/>
        <v>44223.629587893127</v>
      </c>
      <c r="N125" s="47">
        <v>0</v>
      </c>
      <c r="O125" s="19">
        <v>1.1599999999999999E-2</v>
      </c>
      <c r="P125" s="38">
        <f t="shared" si="14"/>
        <v>0.16325371739694705</v>
      </c>
      <c r="Q125" s="31">
        <f t="shared" si="17"/>
        <v>28296.051571515614</v>
      </c>
      <c r="R125" s="47">
        <v>0</v>
      </c>
      <c r="S125" s="37">
        <f t="shared" si="13"/>
        <v>173325.61869151512</v>
      </c>
      <c r="T125" s="40">
        <f t="shared" si="18"/>
        <v>4.123059853515354E-3</v>
      </c>
    </row>
    <row r="126" spans="2:20" x14ac:dyDescent="0.35">
      <c r="B126" s="11" t="s">
        <v>119</v>
      </c>
      <c r="C126" s="17">
        <v>-3.2000000000000002E-3</v>
      </c>
      <c r="D126" s="38">
        <f t="shared" si="10"/>
        <v>0.40628613964139626</v>
      </c>
      <c r="E126" s="32">
        <f t="shared" si="15"/>
        <v>72213.557709278277</v>
      </c>
      <c r="F126" s="47">
        <v>0</v>
      </c>
      <c r="G126" s="20">
        <v>7.3000000000000001E-3</v>
      </c>
      <c r="H126" s="38">
        <f t="shared" si="11"/>
        <v>0.16072625231954954</v>
      </c>
      <c r="I126" s="32">
        <f t="shared" si="19"/>
        <v>28567.586645998446</v>
      </c>
      <c r="J126" s="47">
        <v>0</v>
      </c>
      <c r="K126" s="20">
        <v>9.4700000000000006E-2</v>
      </c>
      <c r="L126" s="38">
        <f t="shared" si="12"/>
        <v>0.27237219258668044</v>
      </c>
      <c r="M126" s="32">
        <f t="shared" si="16"/>
        <v>48411.607309866609</v>
      </c>
      <c r="N126" s="47">
        <v>0</v>
      </c>
      <c r="O126" s="19">
        <v>8.8999999999999999E-3</v>
      </c>
      <c r="P126" s="38">
        <f t="shared" si="14"/>
        <v>0.16061541545237376</v>
      </c>
      <c r="Q126" s="31">
        <f t="shared" si="17"/>
        <v>28547.886430502102</v>
      </c>
      <c r="R126" s="47">
        <v>0</v>
      </c>
      <c r="S126" s="37">
        <f t="shared" si="13"/>
        <v>177740.63809564544</v>
      </c>
      <c r="T126" s="40">
        <f t="shared" si="18"/>
        <v>2.5472399507127541E-2</v>
      </c>
    </row>
    <row r="127" spans="2:20" x14ac:dyDescent="0.35">
      <c r="B127" s="10" t="s">
        <v>120</v>
      </c>
      <c r="C127" s="17">
        <v>-3.3300000000000003E-2</v>
      </c>
      <c r="D127" s="38">
        <f t="shared" si="10"/>
        <v>0.39511480249295622</v>
      </c>
      <c r="E127" s="32">
        <f t="shared" si="15"/>
        <v>69808.846237559308</v>
      </c>
      <c r="F127" s="47">
        <v>0</v>
      </c>
      <c r="G127" s="15">
        <v>-2.1600000000000001E-2</v>
      </c>
      <c r="H127" s="38">
        <f t="shared" si="11"/>
        <v>0.15819867339559382</v>
      </c>
      <c r="I127" s="32">
        <f t="shared" si="19"/>
        <v>27950.526774444879</v>
      </c>
      <c r="J127" s="47">
        <v>0</v>
      </c>
      <c r="K127" s="20">
        <v>3.9800000000000002E-2</v>
      </c>
      <c r="L127" s="38">
        <f t="shared" si="12"/>
        <v>0.28491292737904367</v>
      </c>
      <c r="M127" s="32">
        <f t="shared" si="16"/>
        <v>50338.389280799303</v>
      </c>
      <c r="N127" s="47">
        <v>0</v>
      </c>
      <c r="O127" s="19">
        <v>1.1999999999999999E-3</v>
      </c>
      <c r="P127" s="38">
        <f t="shared" si="14"/>
        <v>0.16177359673240629</v>
      </c>
      <c r="Q127" s="31">
        <f t="shared" si="17"/>
        <v>28582.143894218705</v>
      </c>
      <c r="R127" s="47">
        <v>0</v>
      </c>
      <c r="S127" s="37">
        <f t="shared" si="13"/>
        <v>176679.90618702219</v>
      </c>
      <c r="T127" s="40">
        <f t="shared" si="18"/>
        <v>-5.9678637366680221E-3</v>
      </c>
    </row>
    <row r="128" spans="2:20" x14ac:dyDescent="0.35">
      <c r="B128" s="9" t="s">
        <v>121</v>
      </c>
      <c r="C128" s="17">
        <v>-0.1047</v>
      </c>
      <c r="D128" s="38">
        <f t="shared" si="10"/>
        <v>0.41559599456587609</v>
      </c>
      <c r="E128" s="32">
        <f t="shared" si="15"/>
        <v>71181.682619486848</v>
      </c>
      <c r="F128" s="49">
        <v>9697.11</v>
      </c>
      <c r="G128" s="20">
        <v>5.2200000000000003E-2</v>
      </c>
      <c r="H128" s="38">
        <f t="shared" si="11"/>
        <v>0.21707934460633141</v>
      </c>
      <c r="I128" s="32">
        <f t="shared" si="19"/>
        <v>37180.514762070903</v>
      </c>
      <c r="J128" s="49">
        <v>7385.45</v>
      </c>
      <c r="K128" s="15">
        <v>-1.6799999999999999E-2</v>
      </c>
      <c r="L128" s="38">
        <f t="shared" si="12"/>
        <v>0.20284397144606206</v>
      </c>
      <c r="M128" s="32">
        <f t="shared" si="16"/>
        <v>34742.334828881882</v>
      </c>
      <c r="N128" s="48">
        <v>-15002.41</v>
      </c>
      <c r="O128" s="19">
        <v>6.3E-2</v>
      </c>
      <c r="P128" s="38">
        <f t="shared" si="14"/>
        <v>0.16448068938173041</v>
      </c>
      <c r="Q128" s="31">
        <f t="shared" si="17"/>
        <v>28171.619509554483</v>
      </c>
      <c r="R128" s="48">
        <v>-2080.15</v>
      </c>
      <c r="S128" s="37">
        <f t="shared" si="13"/>
        <v>171276.15171999412</v>
      </c>
      <c r="T128" s="40">
        <f t="shared" si="18"/>
        <v>-3.0584997375468381E-2</v>
      </c>
    </row>
    <row r="129" spans="2:20" x14ac:dyDescent="0.35">
      <c r="B129" s="10" t="s">
        <v>122</v>
      </c>
      <c r="C129" s="19">
        <v>7.4999999999999997E-3</v>
      </c>
      <c r="D129" s="38">
        <f t="shared" si="10"/>
        <v>0.41362157073395717</v>
      </c>
      <c r="E129" s="32">
        <f t="shared" si="15"/>
        <v>71715.545239133004</v>
      </c>
      <c r="F129" s="47">
        <v>0</v>
      </c>
      <c r="G129" s="20">
        <v>2.7E-2</v>
      </c>
      <c r="H129" s="38">
        <f t="shared" si="11"/>
        <v>0.22022961357497137</v>
      </c>
      <c r="I129" s="32">
        <f t="shared" si="19"/>
        <v>38184.388660646815</v>
      </c>
      <c r="J129" s="47">
        <v>0</v>
      </c>
      <c r="K129" s="20">
        <v>5.7999999999999996E-3</v>
      </c>
      <c r="L129" s="38">
        <f t="shared" si="12"/>
        <v>0.20153965355055384</v>
      </c>
      <c r="M129" s="32">
        <f t="shared" si="16"/>
        <v>34943.840370889397</v>
      </c>
      <c r="N129" s="47">
        <v>0</v>
      </c>
      <c r="O129" s="19">
        <v>1.3100000000000001E-2</v>
      </c>
      <c r="P129" s="38">
        <f t="shared" si="14"/>
        <v>0.16460916214051774</v>
      </c>
      <c r="Q129" s="31">
        <f t="shared" si="17"/>
        <v>28540.667725129646</v>
      </c>
      <c r="R129" s="47">
        <v>0</v>
      </c>
      <c r="S129" s="37">
        <f t="shared" si="13"/>
        <v>173384.44199579884</v>
      </c>
      <c r="T129" s="40">
        <f t="shared" si="18"/>
        <v>1.2309304328902648E-2</v>
      </c>
    </row>
    <row r="130" spans="2:20" x14ac:dyDescent="0.35">
      <c r="B130" s="11" t="s">
        <v>123</v>
      </c>
      <c r="C130" s="19">
        <v>7.0599999999999996E-2</v>
      </c>
      <c r="D130" s="38">
        <f t="shared" si="10"/>
        <v>0.43909601702541878</v>
      </c>
      <c r="E130" s="32">
        <f t="shared" si="15"/>
        <v>76778.662733015793</v>
      </c>
      <c r="F130" s="47">
        <v>0</v>
      </c>
      <c r="G130" s="15">
        <v>-5.7000000000000002E-2</v>
      </c>
      <c r="H130" s="38">
        <f t="shared" si="11"/>
        <v>0.20592851543838592</v>
      </c>
      <c r="I130" s="32">
        <f t="shared" si="19"/>
        <v>36007.878506989946</v>
      </c>
      <c r="J130" s="47">
        <v>0</v>
      </c>
      <c r="K130" s="15">
        <v>-1.8599999999999998E-2</v>
      </c>
      <c r="L130" s="38">
        <f t="shared" si="12"/>
        <v>0.19612621201596825</v>
      </c>
      <c r="M130" s="32">
        <f t="shared" si="16"/>
        <v>34293.88493999085</v>
      </c>
      <c r="N130" s="47">
        <v>0</v>
      </c>
      <c r="O130" s="17">
        <v>-2.6800000000000001E-2</v>
      </c>
      <c r="P130" s="38">
        <f t="shared" si="14"/>
        <v>0.15884925552022702</v>
      </c>
      <c r="Q130" s="31">
        <f t="shared" si="17"/>
        <v>27775.777830096173</v>
      </c>
      <c r="R130" s="47">
        <v>0</v>
      </c>
      <c r="S130" s="37">
        <f t="shared" si="13"/>
        <v>174856.20401009277</v>
      </c>
      <c r="T130" s="40">
        <f t="shared" si="18"/>
        <v>8.4884318186380092E-3</v>
      </c>
    </row>
    <row r="131" spans="2:20" x14ac:dyDescent="0.35">
      <c r="B131" s="10" t="s">
        <v>124</v>
      </c>
      <c r="C131" s="19">
        <v>2.8899999999999999E-2</v>
      </c>
      <c r="D131" s="38">
        <f t="shared" si="10"/>
        <v>0.44639280025663863</v>
      </c>
      <c r="E131" s="32">
        <f t="shared" si="15"/>
        <v>78997.566085999948</v>
      </c>
      <c r="F131" s="47">
        <v>0</v>
      </c>
      <c r="G131" s="15">
        <v>-7.9000000000000008E-3</v>
      </c>
      <c r="H131" s="38">
        <f t="shared" si="11"/>
        <v>0.20186287517647561</v>
      </c>
      <c r="I131" s="32">
        <f t="shared" si="19"/>
        <v>35723.416266784727</v>
      </c>
      <c r="J131" s="47">
        <v>0</v>
      </c>
      <c r="K131" s="15">
        <v>-8.8999999999999999E-3</v>
      </c>
      <c r="L131" s="38">
        <f t="shared" si="12"/>
        <v>0.19206031332518442</v>
      </c>
      <c r="M131" s="32">
        <f t="shared" si="16"/>
        <v>33988.669364024929</v>
      </c>
      <c r="N131" s="47">
        <v>0</v>
      </c>
      <c r="O131" s="19">
        <v>1.7399999999999999E-2</v>
      </c>
      <c r="P131" s="38">
        <f t="shared" si="14"/>
        <v>0.15968401124170128</v>
      </c>
      <c r="Q131" s="31">
        <f t="shared" si="17"/>
        <v>28259.076364339846</v>
      </c>
      <c r="R131" s="47">
        <v>0</v>
      </c>
      <c r="S131" s="37">
        <f t="shared" si="13"/>
        <v>176968.72808114946</v>
      </c>
      <c r="T131" s="40">
        <f t="shared" si="18"/>
        <v>1.2081493379181074E-2</v>
      </c>
    </row>
    <row r="132" spans="2:20" x14ac:dyDescent="0.35">
      <c r="B132" s="11" t="s">
        <v>125</v>
      </c>
      <c r="C132" s="17">
        <v>-1.32E-2</v>
      </c>
      <c r="D132" s="38">
        <f t="shared" si="10"/>
        <v>0.44282567872367501</v>
      </c>
      <c r="E132" s="32">
        <f t="shared" si="15"/>
        <v>77954.798213664748</v>
      </c>
      <c r="F132" s="47">
        <v>0</v>
      </c>
      <c r="G132" s="15">
        <v>-3.3000000000000002E-2</v>
      </c>
      <c r="H132" s="38">
        <f t="shared" si="11"/>
        <v>0.19623180721904349</v>
      </c>
      <c r="I132" s="32">
        <f t="shared" si="19"/>
        <v>34544.54352998083</v>
      </c>
      <c r="J132" s="47">
        <v>0</v>
      </c>
      <c r="K132" s="20">
        <v>1.9400000000000001E-2</v>
      </c>
      <c r="L132" s="38">
        <f t="shared" si="12"/>
        <v>0.19681977774143197</v>
      </c>
      <c r="M132" s="32">
        <f t="shared" si="16"/>
        <v>34648.049549687013</v>
      </c>
      <c r="N132" s="47">
        <v>0</v>
      </c>
      <c r="O132" s="19">
        <v>2.24E-2</v>
      </c>
      <c r="P132" s="38">
        <f t="shared" si="14"/>
        <v>0.16412273631584953</v>
      </c>
      <c r="Q132" s="31">
        <f t="shared" si="17"/>
        <v>28892.079674901059</v>
      </c>
      <c r="R132" s="47">
        <v>0</v>
      </c>
      <c r="S132" s="37">
        <f t="shared" si="13"/>
        <v>176039.47096823365</v>
      </c>
      <c r="T132" s="40">
        <f t="shared" si="18"/>
        <v>-5.2509679138886822E-3</v>
      </c>
    </row>
    <row r="133" spans="2:20" x14ac:dyDescent="0.35">
      <c r="B133" s="10" t="s">
        <v>126</v>
      </c>
      <c r="C133" s="19">
        <v>1.77E-2</v>
      </c>
      <c r="D133" s="38">
        <f t="shared" si="10"/>
        <v>0.44257421264275187</v>
      </c>
      <c r="E133" s="32">
        <f t="shared" si="15"/>
        <v>79334.598142046612</v>
      </c>
      <c r="F133" s="47">
        <v>0</v>
      </c>
      <c r="G133" s="20">
        <v>5.0599999999999999E-2</v>
      </c>
      <c r="H133" s="38">
        <f t="shared" si="11"/>
        <v>0.20246051347373392</v>
      </c>
      <c r="I133" s="32">
        <f t="shared" si="19"/>
        <v>36292.497432597862</v>
      </c>
      <c r="J133" s="47">
        <v>0</v>
      </c>
      <c r="K133" s="20">
        <v>9.1000000000000004E-3</v>
      </c>
      <c r="L133" s="38">
        <f t="shared" si="12"/>
        <v>0.19504574352189497</v>
      </c>
      <c r="M133" s="32">
        <f t="shared" si="16"/>
        <v>34963.346800589163</v>
      </c>
      <c r="N133" s="47">
        <v>0</v>
      </c>
      <c r="O133" s="17">
        <v>-7.7999999999999996E-3</v>
      </c>
      <c r="P133" s="38">
        <f t="shared" si="14"/>
        <v>0.15991953036161932</v>
      </c>
      <c r="Q133" s="31">
        <f t="shared" si="17"/>
        <v>28666.721453436832</v>
      </c>
      <c r="R133" s="47">
        <v>0</v>
      </c>
      <c r="S133" s="37">
        <f t="shared" si="13"/>
        <v>179257.16382867045</v>
      </c>
      <c r="T133" s="40">
        <f t="shared" si="18"/>
        <v>1.8278246592875913E-2</v>
      </c>
    </row>
    <row r="134" spans="2:20" x14ac:dyDescent="0.35">
      <c r="B134" s="11" t="s">
        <v>127</v>
      </c>
      <c r="C134" s="19">
        <v>3.5200000000000002E-2</v>
      </c>
      <c r="D134" s="38">
        <f t="shared" si="10"/>
        <v>0.45059621961909724</v>
      </c>
      <c r="E134" s="32">
        <f t="shared" si="15"/>
        <v>82127.175996646649</v>
      </c>
      <c r="F134" s="47">
        <v>0</v>
      </c>
      <c r="G134" s="15">
        <v>-1.4800000000000001E-2</v>
      </c>
      <c r="H134" s="38">
        <f t="shared" si="11"/>
        <v>0.1961742099179935</v>
      </c>
      <c r="I134" s="32">
        <f t="shared" si="19"/>
        <v>35755.368470595415</v>
      </c>
      <c r="J134" s="47">
        <v>0</v>
      </c>
      <c r="K134" s="20">
        <v>4.4999999999999997E-3</v>
      </c>
      <c r="L134" s="38">
        <f t="shared" si="12"/>
        <v>0.19269195957430943</v>
      </c>
      <c r="M134" s="32">
        <f t="shared" si="16"/>
        <v>35120.681861191813</v>
      </c>
      <c r="N134" s="47">
        <v>0</v>
      </c>
      <c r="O134" s="19">
        <v>2.07E-2</v>
      </c>
      <c r="P134" s="38">
        <f t="shared" si="14"/>
        <v>0.16053761088859977</v>
      </c>
      <c r="Q134" s="31">
        <f t="shared" si="17"/>
        <v>29260.122587522976</v>
      </c>
      <c r="R134" s="47">
        <v>0</v>
      </c>
      <c r="S134" s="37">
        <f t="shared" si="13"/>
        <v>182263.34891595686</v>
      </c>
      <c r="T134" s="40">
        <f t="shared" si="18"/>
        <v>1.6770236809947825E-2</v>
      </c>
    </row>
    <row r="135" spans="2:20" x14ac:dyDescent="0.35">
      <c r="B135" s="10" t="s">
        <v>128</v>
      </c>
      <c r="C135" s="19">
        <v>0.1037</v>
      </c>
      <c r="D135" s="38">
        <f t="shared" si="10"/>
        <v>0.47009592437693132</v>
      </c>
      <c r="E135" s="32">
        <f t="shared" si="15"/>
        <v>90643.764147498907</v>
      </c>
      <c r="F135" s="47">
        <v>0</v>
      </c>
      <c r="G135" s="20">
        <v>1E-3</v>
      </c>
      <c r="H135" s="38">
        <f t="shared" si="11"/>
        <v>0.18561962429358367</v>
      </c>
      <c r="I135" s="32">
        <f t="shared" si="19"/>
        <v>35791.123839066007</v>
      </c>
      <c r="J135" s="47">
        <v>0</v>
      </c>
      <c r="K135" s="20">
        <v>3.44E-2</v>
      </c>
      <c r="L135" s="38">
        <f t="shared" si="12"/>
        <v>0.18840828864964701</v>
      </c>
      <c r="M135" s="32">
        <f t="shared" si="16"/>
        <v>36328.833317216813</v>
      </c>
      <c r="N135" s="47">
        <v>0</v>
      </c>
      <c r="O135" s="19">
        <v>2.7199999999999998E-2</v>
      </c>
      <c r="P135" s="38">
        <f t="shared" si="14"/>
        <v>0.15587616267983792</v>
      </c>
      <c r="Q135" s="31">
        <f t="shared" si="17"/>
        <v>30055.997921903599</v>
      </c>
      <c r="R135" s="47">
        <v>0</v>
      </c>
      <c r="S135" s="37">
        <f t="shared" si="13"/>
        <v>192819.71922568535</v>
      </c>
      <c r="T135" s="40">
        <f t="shared" si="18"/>
        <v>5.7918228609944666E-2</v>
      </c>
    </row>
    <row r="136" spans="2:20" x14ac:dyDescent="0.35">
      <c r="B136" s="11" t="s">
        <v>129</v>
      </c>
      <c r="C136" s="17">
        <v>-0.1164</v>
      </c>
      <c r="D136" s="38">
        <f t="shared" si="10"/>
        <v>0.3811749151246443</v>
      </c>
      <c r="E136" s="32">
        <f t="shared" si="15"/>
        <v>71574.051236730025</v>
      </c>
      <c r="F136" s="48">
        <v>-9640.99</v>
      </c>
      <c r="G136" s="20">
        <v>2.5399999999999999E-2</v>
      </c>
      <c r="H136" s="38">
        <f t="shared" si="11"/>
        <v>0.24809897464200792</v>
      </c>
      <c r="I136" s="32">
        <f t="shared" si="19"/>
        <v>46586.089530578283</v>
      </c>
      <c r="J136" s="49">
        <v>9640.99</v>
      </c>
      <c r="K136" s="20">
        <v>7.51E-2</v>
      </c>
      <c r="L136" s="38">
        <f t="shared" si="12"/>
        <v>0.20800272528576963</v>
      </c>
      <c r="M136" s="32">
        <f t="shared" si="16"/>
        <v>39057.128699339795</v>
      </c>
      <c r="N136" s="47">
        <v>0</v>
      </c>
      <c r="O136" s="19">
        <v>1.66E-2</v>
      </c>
      <c r="P136" s="38">
        <f t="shared" si="14"/>
        <v>0.16272338494757813</v>
      </c>
      <c r="Q136" s="31">
        <f t="shared" si="17"/>
        <v>30554.9274874072</v>
      </c>
      <c r="R136" s="47">
        <v>0</v>
      </c>
      <c r="S136" s="37">
        <f t="shared" si="13"/>
        <v>187772.19695405531</v>
      </c>
      <c r="T136" s="40">
        <f t="shared" si="18"/>
        <v>-2.6177417392264646E-2</v>
      </c>
    </row>
    <row r="137" spans="2:20" x14ac:dyDescent="0.35">
      <c r="B137" s="112" t="s">
        <v>130</v>
      </c>
      <c r="C137" s="17">
        <v>-2.1600000000000001E-2</v>
      </c>
      <c r="D137" s="38">
        <f t="shared" si="10"/>
        <v>0.37490362989842579</v>
      </c>
      <c r="E137" s="32">
        <f t="shared" si="15"/>
        <v>70028.051730016654</v>
      </c>
      <c r="F137" s="47">
        <v>0</v>
      </c>
      <c r="G137" s="15">
        <v>-4.5999999999999999E-2</v>
      </c>
      <c r="H137" s="38">
        <f t="shared" si="11"/>
        <v>0.23793165922859372</v>
      </c>
      <c r="I137" s="32">
        <f t="shared" si="19"/>
        <v>44443.129412171686</v>
      </c>
      <c r="J137" s="47">
        <v>0</v>
      </c>
      <c r="K137" s="20">
        <v>6.0000000000000001E-3</v>
      </c>
      <c r="L137" s="38">
        <f t="shared" si="12"/>
        <v>0.21035163644878577</v>
      </c>
      <c r="M137" s="32">
        <f t="shared" si="16"/>
        <v>39291.471471535835</v>
      </c>
      <c r="N137" s="47">
        <v>0</v>
      </c>
      <c r="O137" s="19">
        <v>8.09E-2</v>
      </c>
      <c r="P137" s="38">
        <f t="shared" si="14"/>
        <v>0.1768130744241948</v>
      </c>
      <c r="Q137" s="31">
        <f t="shared" si="17"/>
        <v>33026.821121138441</v>
      </c>
      <c r="R137" s="47">
        <v>0</v>
      </c>
      <c r="S137" s="37">
        <f t="shared" si="13"/>
        <v>186789.47373486261</v>
      </c>
      <c r="T137" s="40">
        <f t="shared" si="18"/>
        <v>-5.2335928062510195E-3</v>
      </c>
    </row>
    <row r="138" spans="2:20" x14ac:dyDescent="0.35">
      <c r="B138" s="11" t="s">
        <v>131</v>
      </c>
      <c r="C138" s="19">
        <v>1.7299999999999999E-2</v>
      </c>
      <c r="D138" s="38">
        <f t="shared" si="10"/>
        <v>0.41366574984161303</v>
      </c>
      <c r="E138" s="32">
        <f t="shared" si="15"/>
        <v>80740.579855945936</v>
      </c>
      <c r="F138" s="49">
        <v>9339.4699999999993</v>
      </c>
      <c r="G138" s="20">
        <v>4.6199999999999998E-2</v>
      </c>
      <c r="H138" s="38">
        <f t="shared" si="11"/>
        <v>0.18815891847220551</v>
      </c>
      <c r="I138" s="32">
        <f t="shared" si="19"/>
        <v>36725.448477014019</v>
      </c>
      <c r="J138" s="48">
        <v>-9339.4699999999993</v>
      </c>
      <c r="K138" s="20">
        <v>7.6799999999999993E-2</v>
      </c>
      <c r="L138" s="38">
        <f t="shared" si="12"/>
        <v>0.21676593858186055</v>
      </c>
      <c r="M138" s="32">
        <f t="shared" si="16"/>
        <v>42309.056480549785</v>
      </c>
      <c r="N138" s="47">
        <v>0</v>
      </c>
      <c r="O138" s="19">
        <v>7.2099999999999997E-2</v>
      </c>
      <c r="P138" s="38">
        <f t="shared" si="14"/>
        <v>0.18140939310432092</v>
      </c>
      <c r="Q138" s="31">
        <f t="shared" si="17"/>
        <v>35408.054923972522</v>
      </c>
      <c r="R138" s="47">
        <v>0</v>
      </c>
      <c r="S138" s="37">
        <f t="shared" si="13"/>
        <v>195183.13973748227</v>
      </c>
      <c r="T138" s="40">
        <f t="shared" si="18"/>
        <v>4.4936504369266661E-2</v>
      </c>
    </row>
    <row r="139" spans="2:20" x14ac:dyDescent="0.35">
      <c r="B139" s="10" t="s">
        <v>132</v>
      </c>
      <c r="C139" s="17">
        <v>-8.1500000000000003E-2</v>
      </c>
      <c r="D139" s="38">
        <f t="shared" si="10"/>
        <v>0.3802606866485701</v>
      </c>
      <c r="E139" s="32">
        <f t="shared" si="15"/>
        <v>74160.222597686341</v>
      </c>
      <c r="F139" s="47">
        <v>0</v>
      </c>
      <c r="G139" s="20">
        <v>6.6299999999999998E-2</v>
      </c>
      <c r="H139" s="38">
        <f t="shared" si="11"/>
        <v>0.20079686155014387</v>
      </c>
      <c r="I139" s="32">
        <f t="shared" si="19"/>
        <v>39160.345711040049</v>
      </c>
      <c r="J139" s="47">
        <v>0</v>
      </c>
      <c r="K139" s="20">
        <v>4.6699999999999998E-2</v>
      </c>
      <c r="L139" s="38">
        <f t="shared" si="12"/>
        <v>0.22707324585137975</v>
      </c>
      <c r="M139" s="32">
        <f t="shared" si="16"/>
        <v>44284.889418191458</v>
      </c>
      <c r="N139" s="47">
        <v>0</v>
      </c>
      <c r="O139" s="19">
        <v>5.6800000000000003E-2</v>
      </c>
      <c r="P139" s="38">
        <f t="shared" si="14"/>
        <v>0.19186920594990639</v>
      </c>
      <c r="Q139" s="31">
        <f t="shared" si="17"/>
        <v>37419.23244365416</v>
      </c>
      <c r="R139" s="47">
        <v>0</v>
      </c>
      <c r="S139" s="37">
        <f t="shared" si="13"/>
        <v>195024.69017057199</v>
      </c>
      <c r="T139" s="40">
        <f t="shared" si="18"/>
        <v>-8.117994572860443E-4</v>
      </c>
    </row>
    <row r="140" spans="2:20" x14ac:dyDescent="0.35">
      <c r="B140" s="9" t="s">
        <v>133</v>
      </c>
      <c r="C140" s="17">
        <v>-7.8299999999999995E-2</v>
      </c>
      <c r="D140" s="38">
        <f t="shared" si="10"/>
        <v>0.42514928169125654</v>
      </c>
      <c r="E140" s="32">
        <f t="shared" si="15"/>
        <v>80889.417481287499</v>
      </c>
      <c r="F140" s="49">
        <v>13600.89</v>
      </c>
      <c r="G140" s="20">
        <v>6.4699999999999994E-2</v>
      </c>
      <c r="H140" s="38">
        <f t="shared" si="11"/>
        <v>0.2182712634062951</v>
      </c>
      <c r="I140" s="32">
        <f t="shared" si="19"/>
        <v>41528.555051544332</v>
      </c>
      <c r="J140" s="48">
        <v>-155.41</v>
      </c>
      <c r="K140" s="15">
        <v>-4.8000000000000001E-2</v>
      </c>
      <c r="L140" s="38">
        <f t="shared" si="12"/>
        <v>0.19516696018804308</v>
      </c>
      <c r="M140" s="32">
        <f t="shared" si="16"/>
        <v>37132.702326118269</v>
      </c>
      <c r="N140" s="48">
        <v>-5279.95</v>
      </c>
      <c r="O140" s="19">
        <v>4.9799999999999997E-2</v>
      </c>
      <c r="P140" s="38">
        <f t="shared" si="14"/>
        <v>0.1614124947144053</v>
      </c>
      <c r="Q140" s="31">
        <f t="shared" si="17"/>
        <v>30710.536825348136</v>
      </c>
      <c r="R140" s="48">
        <v>-8165.53</v>
      </c>
      <c r="S140" s="37">
        <f t="shared" si="13"/>
        <v>190261.21168429824</v>
      </c>
      <c r="T140" s="40">
        <f t="shared" si="18"/>
        <v>-2.4425002198991019E-2</v>
      </c>
    </row>
    <row r="141" spans="2:20" x14ac:dyDescent="0.35">
      <c r="B141" s="10" t="s">
        <v>134</v>
      </c>
      <c r="C141" s="19">
        <v>0.1487</v>
      </c>
      <c r="D141" s="38">
        <f t="shared" si="10"/>
        <v>0.43573914633802791</v>
      </c>
      <c r="E141" s="32">
        <f t="shared" si="15"/>
        <v>92917.673860754949</v>
      </c>
      <c r="F141" s="47">
        <v>0</v>
      </c>
      <c r="G141" s="20">
        <v>5.3100000000000001E-2</v>
      </c>
      <c r="H141" s="38">
        <f t="shared" si="11"/>
        <v>0.20509009324537336</v>
      </c>
      <c r="I141" s="32">
        <f t="shared" si="19"/>
        <v>43733.721324781334</v>
      </c>
      <c r="J141" s="47">
        <v>0</v>
      </c>
      <c r="K141" s="20">
        <v>0.17510000000000001</v>
      </c>
      <c r="L141" s="38">
        <f t="shared" si="12"/>
        <v>0.20462544252606282</v>
      </c>
      <c r="M141" s="32">
        <f t="shared" si="16"/>
        <v>43634.638503421578</v>
      </c>
      <c r="N141" s="47">
        <v>0</v>
      </c>
      <c r="O141" s="19">
        <v>7.3099999999999998E-2</v>
      </c>
      <c r="P141" s="38">
        <f t="shared" si="14"/>
        <v>0.15454531789053594</v>
      </c>
      <c r="Q141" s="31">
        <f t="shared" si="17"/>
        <v>32955.477067281085</v>
      </c>
      <c r="R141" s="47">
        <v>0</v>
      </c>
      <c r="S141" s="37">
        <f t="shared" si="13"/>
        <v>213241.51075623895</v>
      </c>
      <c r="T141" s="40">
        <f t="shared" si="18"/>
        <v>0.12078289036691348</v>
      </c>
    </row>
    <row r="142" spans="2:20" x14ac:dyDescent="0.35">
      <c r="B142" s="11" t="s">
        <v>135</v>
      </c>
      <c r="C142" s="17">
        <v>-1.5299999999999999E-2</v>
      </c>
      <c r="D142" s="38">
        <f t="shared" si="10"/>
        <v>0.40936371131023858</v>
      </c>
      <c r="E142" s="32">
        <f t="shared" si="15"/>
        <v>91496.033450685398</v>
      </c>
      <c r="F142" s="47">
        <v>0</v>
      </c>
      <c r="G142" s="20">
        <v>8.3400000000000002E-2</v>
      </c>
      <c r="H142" s="38">
        <f t="shared" si="11"/>
        <v>0.21198851810170641</v>
      </c>
      <c r="I142" s="32">
        <f t="shared" si="19"/>
        <v>47381.1136832681</v>
      </c>
      <c r="J142" s="47">
        <v>0</v>
      </c>
      <c r="K142" s="20">
        <v>9.1300000000000006E-2</v>
      </c>
      <c r="L142" s="38">
        <f t="shared" si="12"/>
        <v>0.21305052660151419</v>
      </c>
      <c r="M142" s="32">
        <f t="shared" si="16"/>
        <v>47618.480998783969</v>
      </c>
      <c r="N142" s="47">
        <v>0</v>
      </c>
      <c r="O142" s="19">
        <v>0.1231</v>
      </c>
      <c r="P142" s="38">
        <f t="shared" si="14"/>
        <v>0.16559724398654083</v>
      </c>
      <c r="Q142" s="31">
        <f t="shared" si="17"/>
        <v>37012.296294263389</v>
      </c>
      <c r="R142" s="47">
        <v>0</v>
      </c>
      <c r="S142" s="37">
        <f t="shared" si="13"/>
        <v>223507.92442700086</v>
      </c>
      <c r="T142" s="40">
        <f t="shared" si="18"/>
        <v>4.8144536372646929E-2</v>
      </c>
    </row>
    <row r="143" spans="2:20" x14ac:dyDescent="0.35">
      <c r="B143" s="10" t="s">
        <v>136</v>
      </c>
      <c r="C143" s="19">
        <v>5.6000000000000001E-2</v>
      </c>
      <c r="D143" s="38">
        <f t="shared" si="10"/>
        <v>0.44770268148015585</v>
      </c>
      <c r="E143" s="32">
        <f t="shared" si="15"/>
        <v>96619.811323923786</v>
      </c>
      <c r="F143" s="47">
        <v>0</v>
      </c>
      <c r="G143" s="15">
        <v>-8.4599999999999995E-2</v>
      </c>
      <c r="H143" s="38">
        <f t="shared" si="11"/>
        <v>0.20097391054755026</v>
      </c>
      <c r="I143" s="32">
        <f t="shared" si="19"/>
        <v>43372.671465663618</v>
      </c>
      <c r="J143" s="47">
        <v>0</v>
      </c>
      <c r="K143" s="15">
        <v>-7.7299999999999994E-2</v>
      </c>
      <c r="L143" s="38">
        <f t="shared" si="12"/>
        <v>0.20359146555492716</v>
      </c>
      <c r="M143" s="32">
        <f t="shared" si="16"/>
        <v>43937.572417577969</v>
      </c>
      <c r="N143" s="47">
        <v>0</v>
      </c>
      <c r="O143" s="17">
        <v>-0.1386</v>
      </c>
      <c r="P143" s="38">
        <f t="shared" si="14"/>
        <v>0.14773194241736667</v>
      </c>
      <c r="Q143" s="31">
        <f t="shared" si="17"/>
        <v>31882.392027878483</v>
      </c>
      <c r="R143" s="47">
        <v>0</v>
      </c>
      <c r="S143" s="37">
        <f t="shared" si="13"/>
        <v>215812.44723504386</v>
      </c>
      <c r="T143" s="40">
        <f t="shared" si="18"/>
        <v>-3.4430444520862635E-2</v>
      </c>
    </row>
    <row r="144" spans="2:20" x14ac:dyDescent="0.35">
      <c r="B144" s="11" t="s">
        <v>137</v>
      </c>
      <c r="C144" s="17">
        <v>-4.5600000000000002E-2</v>
      </c>
      <c r="D144" s="38">
        <f t="shared" si="10"/>
        <v>0.41822212523214281</v>
      </c>
      <c r="E144" s="32">
        <f t="shared" si="15"/>
        <v>92213.947927552857</v>
      </c>
      <c r="F144" s="47">
        <v>0</v>
      </c>
      <c r="G144" s="20">
        <v>7.6399999999999996E-2</v>
      </c>
      <c r="H144" s="38">
        <f t="shared" si="11"/>
        <v>0.21173870400473402</v>
      </c>
      <c r="I144" s="32">
        <f t="shared" si="19"/>
        <v>46686.343565640316</v>
      </c>
      <c r="J144" s="47">
        <v>0</v>
      </c>
      <c r="K144" s="20">
        <v>8.2199999999999995E-2</v>
      </c>
      <c r="L144" s="38">
        <f t="shared" si="12"/>
        <v>0.21565224151965082</v>
      </c>
      <c r="M144" s="32">
        <f t="shared" si="16"/>
        <v>47549.240870302878</v>
      </c>
      <c r="N144" s="47">
        <v>0</v>
      </c>
      <c r="O144" s="19">
        <v>6.7699999999999996E-2</v>
      </c>
      <c r="P144" s="38">
        <f t="shared" si="14"/>
        <v>0.15438692924347228</v>
      </c>
      <c r="Q144" s="31">
        <f t="shared" si="17"/>
        <v>34040.829968165854</v>
      </c>
      <c r="R144" s="47">
        <v>0</v>
      </c>
      <c r="S144" s="37">
        <f t="shared" si="13"/>
        <v>220490.36233166192</v>
      </c>
      <c r="T144" s="40">
        <f t="shared" si="18"/>
        <v>2.1675835460608583E-2</v>
      </c>
    </row>
    <row r="145" spans="2:20" x14ac:dyDescent="0.35">
      <c r="B145" s="10" t="s">
        <v>138</v>
      </c>
      <c r="C145" s="19">
        <v>1.1000000000000001E-3</v>
      </c>
      <c r="D145" s="38">
        <f t="shared" si="10"/>
        <v>0.42891000130890622</v>
      </c>
      <c r="E145" s="32">
        <f t="shared" si="15"/>
        <v>92315.38327027316</v>
      </c>
      <c r="F145" s="47">
        <v>0</v>
      </c>
      <c r="G145" s="15">
        <v>-2.8500000000000001E-2</v>
      </c>
      <c r="H145" s="38">
        <f t="shared" si="11"/>
        <v>0.21072922149948448</v>
      </c>
      <c r="I145" s="32">
        <f t="shared" si="19"/>
        <v>45355.782774019564</v>
      </c>
      <c r="J145" s="47">
        <v>0</v>
      </c>
      <c r="K145" s="15">
        <v>-3.49E-2</v>
      </c>
      <c r="L145" s="38">
        <f t="shared" si="12"/>
        <v>0.21321021077335867</v>
      </c>
      <c r="M145" s="32">
        <f t="shared" si="16"/>
        <v>45889.772363929311</v>
      </c>
      <c r="N145" s="47">
        <v>0</v>
      </c>
      <c r="O145" s="17">
        <v>-6.9599999999999995E-2</v>
      </c>
      <c r="P145" s="38">
        <f t="shared" si="14"/>
        <v>0.14715056641825061</v>
      </c>
      <c r="Q145" s="31">
        <f t="shared" si="17"/>
        <v>31671.58820238151</v>
      </c>
      <c r="R145" s="47">
        <v>0</v>
      </c>
      <c r="S145" s="37">
        <f t="shared" si="13"/>
        <v>215232.52661060356</v>
      </c>
      <c r="T145" s="40">
        <f t="shared" si="18"/>
        <v>-2.3846102230761113E-2</v>
      </c>
    </row>
    <row r="146" spans="2:20" x14ac:dyDescent="0.35">
      <c r="B146" s="11" t="s">
        <v>139</v>
      </c>
      <c r="C146" s="17">
        <v>-5.3400000000000003E-2</v>
      </c>
      <c r="D146" s="38">
        <f t="shared" si="10"/>
        <v>0.39723980543538145</v>
      </c>
      <c r="E146" s="32">
        <f t="shared" si="15"/>
        <v>87385.741803640572</v>
      </c>
      <c r="F146" s="47">
        <v>0</v>
      </c>
      <c r="G146" s="20">
        <v>9.4999999999999998E-3</v>
      </c>
      <c r="H146" s="38">
        <f t="shared" si="11"/>
        <v>0.2081379022618329</v>
      </c>
      <c r="I146" s="32">
        <f t="shared" si="19"/>
        <v>45786.662710372751</v>
      </c>
      <c r="J146" s="47">
        <v>0</v>
      </c>
      <c r="K146" s="20">
        <v>0.10249999999999999</v>
      </c>
      <c r="L146" s="38">
        <f t="shared" si="12"/>
        <v>0.22998879869472436</v>
      </c>
      <c r="M146" s="32">
        <f t="shared" si="16"/>
        <v>50593.474031232065</v>
      </c>
      <c r="N146" s="47">
        <v>0</v>
      </c>
      <c r="O146" s="19">
        <v>0.14349999999999999</v>
      </c>
      <c r="P146" s="38">
        <f t="shared" si="14"/>
        <v>0.16463349360806126</v>
      </c>
      <c r="Q146" s="31">
        <f t="shared" si="17"/>
        <v>36216.461109423253</v>
      </c>
      <c r="R146" s="47">
        <v>0</v>
      </c>
      <c r="S146" s="37">
        <f t="shared" si="13"/>
        <v>219982.33965466864</v>
      </c>
      <c r="T146" s="40">
        <f t="shared" si="18"/>
        <v>2.2068286419637761E-2</v>
      </c>
    </row>
    <row r="147" spans="2:20" x14ac:dyDescent="0.35">
      <c r="B147" s="10" t="s">
        <v>140</v>
      </c>
      <c r="C147" s="17">
        <v>-7.9200000000000007E-2</v>
      </c>
      <c r="D147" s="38">
        <f t="shared" si="10"/>
        <v>0.37041929180718353</v>
      </c>
      <c r="E147" s="32">
        <f t="shared" si="15"/>
        <v>80464.791052792236</v>
      </c>
      <c r="F147" s="47">
        <v>0</v>
      </c>
      <c r="G147" s="20">
        <v>0.1</v>
      </c>
      <c r="H147" s="38">
        <f t="shared" si="11"/>
        <v>0.23185655799055629</v>
      </c>
      <c r="I147" s="32">
        <f t="shared" si="19"/>
        <v>50365.328981410028</v>
      </c>
      <c r="J147" s="47">
        <v>0</v>
      </c>
      <c r="K147" s="15">
        <v>-4.5999999999999999E-3</v>
      </c>
      <c r="L147" s="38">
        <f t="shared" si="12"/>
        <v>0.23183545128327884</v>
      </c>
      <c r="M147" s="32">
        <f t="shared" si="16"/>
        <v>50360.744050688394</v>
      </c>
      <c r="N147" s="47">
        <v>0</v>
      </c>
      <c r="O147" s="17">
        <v>-5.0000000000000001E-3</v>
      </c>
      <c r="P147" s="38">
        <f t="shared" si="14"/>
        <v>0.16588869891898128</v>
      </c>
      <c r="Q147" s="31">
        <f t="shared" si="17"/>
        <v>36035.378803876134</v>
      </c>
      <c r="R147" s="47">
        <v>0</v>
      </c>
      <c r="S147" s="37">
        <f t="shared" si="13"/>
        <v>217226.24288876681</v>
      </c>
      <c r="T147" s="40">
        <f t="shared" si="18"/>
        <v>-1.2528718306334952E-2</v>
      </c>
    </row>
    <row r="148" spans="2:20" x14ac:dyDescent="0.35">
      <c r="B148" s="11" t="s">
        <v>141</v>
      </c>
      <c r="C148" s="19">
        <v>6.9999999999999999E-4</v>
      </c>
      <c r="D148" s="38">
        <f t="shared" si="10"/>
        <v>0.34414028403653585</v>
      </c>
      <c r="E148" s="32">
        <f t="shared" si="15"/>
        <v>80521.116406529196</v>
      </c>
      <c r="F148" s="47">
        <v>0</v>
      </c>
      <c r="G148" s="20">
        <v>0.1145</v>
      </c>
      <c r="H148" s="38">
        <f t="shared" si="11"/>
        <v>0.23990399109547678</v>
      </c>
      <c r="I148" s="32">
        <f t="shared" si="19"/>
        <v>56132.159149781473</v>
      </c>
      <c r="J148" s="47">
        <v>0</v>
      </c>
      <c r="K148" s="20">
        <v>0.1043</v>
      </c>
      <c r="L148" s="38">
        <f t="shared" si="12"/>
        <v>0.23768672968633792</v>
      </c>
      <c r="M148" s="32">
        <f t="shared" si="16"/>
        <v>55613.369655175193</v>
      </c>
      <c r="N148" s="47">
        <v>0</v>
      </c>
      <c r="O148" s="19">
        <v>0.1575</v>
      </c>
      <c r="P148" s="38">
        <f t="shared" si="14"/>
        <v>0.17826899518164943</v>
      </c>
      <c r="Q148" s="31">
        <f t="shared" si="17"/>
        <v>41710.950965486627</v>
      </c>
      <c r="R148" s="47">
        <v>0</v>
      </c>
      <c r="S148" s="37">
        <f t="shared" si="13"/>
        <v>233977.5961769725</v>
      </c>
      <c r="T148" s="40">
        <f t="shared" si="18"/>
        <v>7.7114777042769145E-2</v>
      </c>
    </row>
    <row r="149" spans="2:20" x14ac:dyDescent="0.35">
      <c r="B149" s="10" t="s">
        <v>142</v>
      </c>
      <c r="C149" s="17">
        <v>-1.34E-2</v>
      </c>
      <c r="D149" s="38">
        <f t="shared" si="10"/>
        <v>0.34140797340726586</v>
      </c>
      <c r="E149" s="32">
        <f t="shared" si="15"/>
        <v>79442.133446681706</v>
      </c>
      <c r="F149" s="47">
        <v>0</v>
      </c>
      <c r="G149" s="15">
        <v>-3.0099999999999998E-2</v>
      </c>
      <c r="H149" s="38">
        <f t="shared" si="11"/>
        <v>0.23397069658454062</v>
      </c>
      <c r="I149" s="32">
        <f t="shared" si="19"/>
        <v>54442.581159373054</v>
      </c>
      <c r="J149" s="47">
        <v>0</v>
      </c>
      <c r="K149" s="20">
        <v>2.5499999999999998E-2</v>
      </c>
      <c r="L149" s="38">
        <f t="shared" si="12"/>
        <v>0.24509679691586916</v>
      </c>
      <c r="M149" s="32">
        <f t="shared" si="16"/>
        <v>57031.510581382157</v>
      </c>
      <c r="N149" s="47">
        <v>0</v>
      </c>
      <c r="O149" s="19">
        <v>1.5E-3</v>
      </c>
      <c r="P149" s="38">
        <f t="shared" si="14"/>
        <v>0.17952453309232433</v>
      </c>
      <c r="Q149" s="31">
        <f t="shared" si="17"/>
        <v>41773.51739193486</v>
      </c>
      <c r="R149" s="47">
        <v>0</v>
      </c>
      <c r="S149" s="37">
        <f t="shared" si="13"/>
        <v>232689.74257937178</v>
      </c>
      <c r="T149" s="40">
        <f t="shared" si="18"/>
        <v>-5.5041748382893552E-3</v>
      </c>
    </row>
    <row r="150" spans="2:20" x14ac:dyDescent="0.35">
      <c r="B150" s="11" t="s">
        <v>143</v>
      </c>
      <c r="C150" s="17">
        <v>-1.5699999999999999E-2</v>
      </c>
      <c r="D150" s="38">
        <f t="shared" si="10"/>
        <v>0.34374207767998483</v>
      </c>
      <c r="E150" s="32">
        <f t="shared" si="15"/>
        <v>78194.891951568803</v>
      </c>
      <c r="F150" s="47">
        <v>0</v>
      </c>
      <c r="G150" s="15">
        <v>-6.7799999999999999E-2</v>
      </c>
      <c r="H150" s="38">
        <f t="shared" si="11"/>
        <v>0.22310130959150928</v>
      </c>
      <c r="I150" s="32">
        <f t="shared" si="19"/>
        <v>50751.374156767561</v>
      </c>
      <c r="J150" s="47">
        <v>0</v>
      </c>
      <c r="K150" s="20">
        <v>1E-4</v>
      </c>
      <c r="L150" s="38">
        <f t="shared" si="12"/>
        <v>0.25073364594722786</v>
      </c>
      <c r="M150" s="32">
        <f t="shared" si="16"/>
        <v>57037.213732440294</v>
      </c>
      <c r="N150" s="47">
        <v>0</v>
      </c>
      <c r="O150" s="17">
        <v>-6.6E-3</v>
      </c>
      <c r="P150" s="38">
        <f t="shared" si="14"/>
        <v>0.18242296678127801</v>
      </c>
      <c r="Q150" s="31">
        <f t="shared" si="17"/>
        <v>41497.812177148087</v>
      </c>
      <c r="R150" s="47">
        <v>0</v>
      </c>
      <c r="S150" s="37">
        <f t="shared" si="13"/>
        <v>227481.29201792474</v>
      </c>
      <c r="T150" s="40">
        <f t="shared" si="18"/>
        <v>-2.238367064964375E-2</v>
      </c>
    </row>
    <row r="151" spans="2:20" x14ac:dyDescent="0.35">
      <c r="B151" s="10" t="s">
        <v>144</v>
      </c>
      <c r="C151" s="17">
        <v>-5.4300000000000001E-2</v>
      </c>
      <c r="D151" s="38">
        <f t="shared" si="10"/>
        <v>0.32622353745687449</v>
      </c>
      <c r="E151" s="32">
        <f t="shared" si="15"/>
        <v>73948.909318598613</v>
      </c>
      <c r="F151" s="47">
        <v>0</v>
      </c>
      <c r="G151" s="20">
        <v>2.6599999999999999E-2</v>
      </c>
      <c r="H151" s="38">
        <f t="shared" si="11"/>
        <v>0.22984369010351235</v>
      </c>
      <c r="I151" s="32">
        <f t="shared" si="19"/>
        <v>52101.360709337576</v>
      </c>
      <c r="J151" s="47">
        <v>0</v>
      </c>
      <c r="K151" s="20">
        <v>1.18E-2</v>
      </c>
      <c r="L151" s="38">
        <f t="shared" si="12"/>
        <v>0.25458716034078399</v>
      </c>
      <c r="M151" s="32">
        <f t="shared" si="16"/>
        <v>57710.252854483086</v>
      </c>
      <c r="N151" s="47">
        <v>0</v>
      </c>
      <c r="O151" s="19">
        <v>3.4299999999999997E-2</v>
      </c>
      <c r="P151" s="38">
        <f t="shared" si="14"/>
        <v>0.18934561209882911</v>
      </c>
      <c r="Q151" s="31">
        <f t="shared" si="17"/>
        <v>42921.187134824264</v>
      </c>
      <c r="R151" s="47">
        <v>0</v>
      </c>
      <c r="S151" s="37">
        <f t="shared" si="13"/>
        <v>226681.71001724355</v>
      </c>
      <c r="T151" s="40">
        <f t="shared" si="18"/>
        <v>-3.5149352001139222E-3</v>
      </c>
    </row>
    <row r="152" spans="2:20" x14ac:dyDescent="0.35">
      <c r="B152" s="9" t="s">
        <v>145</v>
      </c>
      <c r="C152" s="17">
        <v>-1.3899999999999999E-2</v>
      </c>
      <c r="D152" s="38">
        <f t="shared" si="10"/>
        <v>0.44169773045000776</v>
      </c>
      <c r="E152" s="32">
        <f t="shared" si="15"/>
        <v>100588.87522507009</v>
      </c>
      <c r="F152" s="49">
        <v>28057.86</v>
      </c>
      <c r="G152" s="20">
        <v>8.3500000000000005E-2</v>
      </c>
      <c r="H152" s="38">
        <f t="shared" si="11"/>
        <v>0.21570022340270362</v>
      </c>
      <c r="I152" s="32">
        <f t="shared" si="19"/>
        <v>49121.925158567261</v>
      </c>
      <c r="J152" s="48">
        <v>-6765.02</v>
      </c>
      <c r="K152" s="15">
        <v>-2.3800000000000002E-2</v>
      </c>
      <c r="L152" s="38">
        <f t="shared" si="12"/>
        <v>0.19433924139265218</v>
      </c>
      <c r="M152" s="32">
        <f t="shared" si="16"/>
        <v>44257.337894546392</v>
      </c>
      <c r="N152" s="48">
        <v>-12373.91</v>
      </c>
      <c r="O152" s="17">
        <v>-7.0000000000000001E-3</v>
      </c>
      <c r="P152" s="38">
        <f t="shared" si="14"/>
        <v>0.14826280475463643</v>
      </c>
      <c r="Q152" s="31">
        <f t="shared" si="17"/>
        <v>33764.241334880491</v>
      </c>
      <c r="R152" s="48">
        <v>-8918.93</v>
      </c>
      <c r="S152" s="37">
        <f t="shared" si="13"/>
        <v>227732.37961306423</v>
      </c>
      <c r="T152" s="40">
        <f t="shared" si="18"/>
        <v>4.6349994260266314E-3</v>
      </c>
    </row>
    <row r="153" spans="2:20" x14ac:dyDescent="0.35">
      <c r="B153" s="10" t="s">
        <v>146</v>
      </c>
      <c r="C153" s="19">
        <v>1.5299999999999999E-2</v>
      </c>
      <c r="D153" s="38">
        <f t="shared" si="10"/>
        <v>0.44031389565402151</v>
      </c>
      <c r="E153" s="32">
        <f t="shared" si="15"/>
        <v>102127.88501601366</v>
      </c>
      <c r="F153" s="47">
        <v>0</v>
      </c>
      <c r="G153" s="20">
        <v>8.8200000000000001E-2</v>
      </c>
      <c r="H153" s="38">
        <f t="shared" si="11"/>
        <v>0.2304635004070188</v>
      </c>
      <c r="I153" s="32">
        <f t="shared" si="19"/>
        <v>53454.478957552892</v>
      </c>
      <c r="J153" s="47">
        <v>0</v>
      </c>
      <c r="K153" s="15">
        <v>-2.1499999999999998E-2</v>
      </c>
      <c r="L153" s="38">
        <f t="shared" si="12"/>
        <v>0.18670853467838158</v>
      </c>
      <c r="M153" s="32">
        <f t="shared" si="16"/>
        <v>43305.805129813642</v>
      </c>
      <c r="N153" s="47">
        <v>0</v>
      </c>
      <c r="O153" s="17">
        <v>-2.1000000000000001E-2</v>
      </c>
      <c r="P153" s="38">
        <f t="shared" si="14"/>
        <v>0.14251406926057814</v>
      </c>
      <c r="Q153" s="31">
        <f t="shared" si="17"/>
        <v>33055.192266848004</v>
      </c>
      <c r="R153" s="47">
        <v>0</v>
      </c>
      <c r="S153" s="37">
        <f t="shared" si="13"/>
        <v>231943.3613702282</v>
      </c>
      <c r="T153" s="40">
        <f t="shared" si="18"/>
        <v>1.8490922390214104E-2</v>
      </c>
    </row>
    <row r="154" spans="2:20" x14ac:dyDescent="0.35">
      <c r="B154" s="11" t="s">
        <v>147</v>
      </c>
      <c r="C154" s="19">
        <v>0.15970000000000001</v>
      </c>
      <c r="D154" s="38">
        <f t="shared" si="10"/>
        <v>0.49178781789254827</v>
      </c>
      <c r="E154" s="32">
        <f t="shared" si="15"/>
        <v>118437.70825307105</v>
      </c>
      <c r="F154" s="47">
        <v>0</v>
      </c>
      <c r="G154" s="15">
        <v>-0.10100000000000001</v>
      </c>
      <c r="H154" s="38">
        <f t="shared" si="11"/>
        <v>0.19954073321602242</v>
      </c>
      <c r="I154" s="32">
        <f t="shared" si="19"/>
        <v>48055.576582840047</v>
      </c>
      <c r="J154" s="47">
        <v>0</v>
      </c>
      <c r="K154" s="15">
        <v>-3.6799999999999999E-2</v>
      </c>
      <c r="L154" s="38">
        <f t="shared" si="12"/>
        <v>0.17320098699027478</v>
      </c>
      <c r="M154" s="32">
        <f t="shared" si="16"/>
        <v>41712.151501036496</v>
      </c>
      <c r="N154" s="47">
        <v>0</v>
      </c>
      <c r="O154" s="17">
        <v>-1.2999999999999999E-2</v>
      </c>
      <c r="P154" s="38">
        <f t="shared" si="14"/>
        <v>0.13547046190115439</v>
      </c>
      <c r="Q154" s="31">
        <f t="shared" si="17"/>
        <v>32625.474767378979</v>
      </c>
      <c r="R154" s="47">
        <v>0</v>
      </c>
      <c r="S154" s="37">
        <f t="shared" si="13"/>
        <v>240830.9111043266</v>
      </c>
      <c r="T154" s="40">
        <f t="shared" si="18"/>
        <v>3.8317758618286568E-2</v>
      </c>
    </row>
    <row r="155" spans="2:20" x14ac:dyDescent="0.35">
      <c r="B155" s="10" t="s">
        <v>148</v>
      </c>
      <c r="C155" s="19">
        <v>8.2199999999999995E-2</v>
      </c>
      <c r="D155" s="38">
        <f t="shared" si="10"/>
        <v>0.51710463385613814</v>
      </c>
      <c r="E155" s="32">
        <f t="shared" si="15"/>
        <v>128173.28787147348</v>
      </c>
      <c r="F155" s="47">
        <v>0</v>
      </c>
      <c r="G155" s="20">
        <v>1.1900000000000001E-2</v>
      </c>
      <c r="H155" s="38">
        <f t="shared" si="11"/>
        <v>0.19618341630355851</v>
      </c>
      <c r="I155" s="32">
        <f t="shared" si="19"/>
        <v>48627.437944175843</v>
      </c>
      <c r="J155" s="47">
        <v>0</v>
      </c>
      <c r="K155" s="15">
        <v>-3.2899999999999999E-2</v>
      </c>
      <c r="L155" s="38">
        <f t="shared" si="12"/>
        <v>0.16274770730332536</v>
      </c>
      <c r="M155" s="32">
        <f t="shared" si="16"/>
        <v>40339.821716652397</v>
      </c>
      <c r="N155" s="47">
        <v>0</v>
      </c>
      <c r="O155" s="17">
        <v>-5.8200000000000002E-2</v>
      </c>
      <c r="P155" s="38">
        <f t="shared" si="14"/>
        <v>0.12396424253697795</v>
      </c>
      <c r="Q155" s="31">
        <f t="shared" si="17"/>
        <v>30726.672135917521</v>
      </c>
      <c r="R155" s="47">
        <v>0</v>
      </c>
      <c r="S155" s="37">
        <f t="shared" si="13"/>
        <v>247867.21966821924</v>
      </c>
      <c r="T155" s="40">
        <f t="shared" si="18"/>
        <v>2.9216800001410803E-2</v>
      </c>
    </row>
    <row r="156" spans="2:20" x14ac:dyDescent="0.35">
      <c r="B156" s="11" t="s">
        <v>149</v>
      </c>
      <c r="C156" s="17">
        <v>-0.11700000000000001</v>
      </c>
      <c r="D156" s="38">
        <f t="shared" si="10"/>
        <v>0.48342443677774383</v>
      </c>
      <c r="E156" s="32">
        <f t="shared" si="15"/>
        <v>113177.01319051109</v>
      </c>
      <c r="F156" s="47">
        <v>0</v>
      </c>
      <c r="G156" s="15">
        <v>-3.7400000000000003E-2</v>
      </c>
      <c r="H156" s="38">
        <f t="shared" si="11"/>
        <v>0.19993904670989379</v>
      </c>
      <c r="I156" s="32">
        <f t="shared" si="19"/>
        <v>46808.77176506367</v>
      </c>
      <c r="J156" s="47">
        <v>0</v>
      </c>
      <c r="K156" s="20">
        <v>3.9899999999999998E-2</v>
      </c>
      <c r="L156" s="38">
        <f t="shared" si="12"/>
        <v>0.17918263717664282</v>
      </c>
      <c r="M156" s="32">
        <f t="shared" si="16"/>
        <v>41949.380603146827</v>
      </c>
      <c r="N156" s="47">
        <v>0</v>
      </c>
      <c r="O156" s="19">
        <v>4.7300000000000002E-2</v>
      </c>
      <c r="P156" s="38">
        <f t="shared" si="14"/>
        <v>0.13745387933571968</v>
      </c>
      <c r="Q156" s="31">
        <f t="shared" si="17"/>
        <v>32180.04372794642</v>
      </c>
      <c r="R156" s="47">
        <v>0</v>
      </c>
      <c r="S156" s="37">
        <f t="shared" si="13"/>
        <v>234115.20928666799</v>
      </c>
      <c r="T156" s="40">
        <f t="shared" si="18"/>
        <v>-5.5481359737519553E-2</v>
      </c>
    </row>
    <row r="157" spans="2:20" x14ac:dyDescent="0.35">
      <c r="B157" s="10" t="s">
        <v>150</v>
      </c>
      <c r="C157" s="19">
        <v>7.46E-2</v>
      </c>
      <c r="D157" s="38">
        <f t="shared" si="10"/>
        <v>0.51384581351544423</v>
      </c>
      <c r="E157" s="32">
        <f t="shared" si="15"/>
        <v>121620.01837452322</v>
      </c>
      <c r="F157" s="47">
        <v>0</v>
      </c>
      <c r="G157" s="15">
        <v>-1.4500000000000001E-2</v>
      </c>
      <c r="H157" s="38">
        <f t="shared" si="11"/>
        <v>0.19489990709323712</v>
      </c>
      <c r="I157" s="32">
        <f t="shared" si="19"/>
        <v>46130.044574470245</v>
      </c>
      <c r="J157" s="47">
        <v>0</v>
      </c>
      <c r="K157" s="15">
        <v>-9.3200000000000005E-2</v>
      </c>
      <c r="L157" s="38">
        <f t="shared" si="12"/>
        <v>0.16071811200149605</v>
      </c>
      <c r="M157" s="32">
        <f t="shared" si="16"/>
        <v>38039.698330933541</v>
      </c>
      <c r="N157" s="47">
        <v>0</v>
      </c>
      <c r="O157" s="17">
        <v>-3.9899999999999998E-2</v>
      </c>
      <c r="P157" s="38">
        <f t="shared" si="14"/>
        <v>0.1305361673898226</v>
      </c>
      <c r="Q157" s="31">
        <f t="shared" si="17"/>
        <v>30896.059983201358</v>
      </c>
      <c r="R157" s="47">
        <v>0</v>
      </c>
      <c r="S157" s="37">
        <f t="shared" si="13"/>
        <v>236685.82126312837</v>
      </c>
      <c r="T157" s="40">
        <f t="shared" si="18"/>
        <v>1.0980115235968091E-2</v>
      </c>
    </row>
    <row r="158" spans="2:20" x14ac:dyDescent="0.35">
      <c r="B158" s="11" t="s">
        <v>151</v>
      </c>
      <c r="C158" s="19">
        <v>0.1166</v>
      </c>
      <c r="D158" s="38">
        <f t="shared" si="10"/>
        <v>0.53012389634562063</v>
      </c>
      <c r="E158" s="32">
        <f t="shared" si="15"/>
        <v>135800.91251699263</v>
      </c>
      <c r="F158" s="47">
        <v>0</v>
      </c>
      <c r="G158" s="20">
        <v>3.5900000000000001E-2</v>
      </c>
      <c r="H158" s="38">
        <f t="shared" si="11"/>
        <v>0.18654190194938192</v>
      </c>
      <c r="I158" s="32">
        <f t="shared" si="19"/>
        <v>47786.113174693724</v>
      </c>
      <c r="J158" s="47">
        <v>0</v>
      </c>
      <c r="K158" s="20">
        <v>4.9700000000000001E-2</v>
      </c>
      <c r="L158" s="38">
        <f t="shared" si="12"/>
        <v>0.15587517514788113</v>
      </c>
      <c r="M158" s="32">
        <f t="shared" si="16"/>
        <v>39930.271337980936</v>
      </c>
      <c r="N158" s="47">
        <v>0</v>
      </c>
      <c r="O158" s="19">
        <v>5.6800000000000003E-2</v>
      </c>
      <c r="P158" s="38">
        <f t="shared" si="14"/>
        <v>0.12745902655711638</v>
      </c>
      <c r="Q158" s="31">
        <f t="shared" si="17"/>
        <v>32650.956190247194</v>
      </c>
      <c r="R158" s="47">
        <v>0</v>
      </c>
      <c r="S158" s="37">
        <f t="shared" si="13"/>
        <v>256168.25321991448</v>
      </c>
      <c r="T158" s="40">
        <f t="shared" si="18"/>
        <v>8.2313472994764325E-2</v>
      </c>
    </row>
    <row r="159" spans="2:20" x14ac:dyDescent="0.35">
      <c r="B159" s="10" t="s">
        <v>152</v>
      </c>
      <c r="C159" s="17">
        <v>-4.3E-3</v>
      </c>
      <c r="D159" s="38">
        <f t="shared" ref="D159:D222" si="20">E159/S159</f>
        <v>0.53798663141119629</v>
      </c>
      <c r="E159" s="32">
        <f t="shared" si="15"/>
        <v>135216.96859316956</v>
      </c>
      <c r="F159" s="47">
        <v>0</v>
      </c>
      <c r="G159" s="15">
        <v>-4.3200000000000002E-2</v>
      </c>
      <c r="H159" s="38">
        <f t="shared" ref="H159:H222" si="21">I159/S159</f>
        <v>0.18191275977141244</v>
      </c>
      <c r="I159" s="32">
        <f t="shared" si="19"/>
        <v>45721.753085546952</v>
      </c>
      <c r="J159" s="47">
        <v>0</v>
      </c>
      <c r="K159" s="15">
        <v>-1.3899999999999999E-2</v>
      </c>
      <c r="L159" s="38">
        <f t="shared" ref="L159:L222" si="22">M159/S159</f>
        <v>0.15666194305130982</v>
      </c>
      <c r="M159" s="32">
        <f t="shared" si="16"/>
        <v>39375.240566383</v>
      </c>
      <c r="N159" s="47">
        <v>0</v>
      </c>
      <c r="O159" s="17">
        <v>-4.9799999999999997E-2</v>
      </c>
      <c r="P159" s="38">
        <f t="shared" si="14"/>
        <v>0.12343866576608141</v>
      </c>
      <c r="Q159" s="31">
        <f t="shared" si="17"/>
        <v>31024.938571972885</v>
      </c>
      <c r="R159" s="47">
        <v>0</v>
      </c>
      <c r="S159" s="37">
        <f t="shared" ref="S159:S222" si="23">Q159+E159+M159+I159</f>
        <v>251338.9008170724</v>
      </c>
      <c r="T159" s="40">
        <f t="shared" si="18"/>
        <v>-1.8852267375599419E-2</v>
      </c>
    </row>
    <row r="160" spans="2:20" x14ac:dyDescent="0.35">
      <c r="B160" s="11" t="s">
        <v>153</v>
      </c>
      <c r="C160" s="19">
        <v>1.26E-2</v>
      </c>
      <c r="D160" s="38">
        <f t="shared" si="20"/>
        <v>0.5407878737735633</v>
      </c>
      <c r="E160" s="32">
        <f t="shared" si="15"/>
        <v>136920.7023974435</v>
      </c>
      <c r="F160" s="47">
        <v>0</v>
      </c>
      <c r="G160" s="20">
        <v>1.1599999999999999E-2</v>
      </c>
      <c r="H160" s="38">
        <f t="shared" si="21"/>
        <v>0.18267937664758341</v>
      </c>
      <c r="I160" s="32">
        <f t="shared" si="19"/>
        <v>46252.125421339297</v>
      </c>
      <c r="J160" s="47">
        <v>0</v>
      </c>
      <c r="K160" s="20">
        <v>5.1000000000000004E-3</v>
      </c>
      <c r="L160" s="38">
        <f t="shared" si="22"/>
        <v>0.15631128002455411</v>
      </c>
      <c r="M160" s="32">
        <f t="shared" si="16"/>
        <v>39576.054293271554</v>
      </c>
      <c r="N160" s="47">
        <v>0</v>
      </c>
      <c r="O160" s="17">
        <v>-1.89E-2</v>
      </c>
      <c r="P160" s="38">
        <f t="shared" ref="P160:P223" si="24">Q160/S160</f>
        <v>0.12022146955429908</v>
      </c>
      <c r="Q160" s="31">
        <f t="shared" si="17"/>
        <v>30438.567232962596</v>
      </c>
      <c r="R160" s="47">
        <v>0</v>
      </c>
      <c r="S160" s="37">
        <f t="shared" si="23"/>
        <v>253187.44934501697</v>
      </c>
      <c r="T160" s="40">
        <f t="shared" si="18"/>
        <v>7.3548046957123692E-3</v>
      </c>
    </row>
    <row r="161" spans="2:20" x14ac:dyDescent="0.35">
      <c r="B161" s="10" t="s">
        <v>154</v>
      </c>
      <c r="C161" s="19">
        <v>9.9699999999999997E-2</v>
      </c>
      <c r="D161" s="38">
        <f t="shared" si="20"/>
        <v>0.57695124309303014</v>
      </c>
      <c r="E161" s="32">
        <f t="shared" ref="E161:E224" si="25">((E160+F161)*C161)+E160+F161</f>
        <v>150571.69642646861</v>
      </c>
      <c r="F161" s="47">
        <v>0</v>
      </c>
      <c r="G161" s="15">
        <v>-4.6600000000000003E-2</v>
      </c>
      <c r="H161" s="38">
        <f t="shared" si="21"/>
        <v>0.16896727971288847</v>
      </c>
      <c r="I161" s="32">
        <f t="shared" si="19"/>
        <v>44096.776376704889</v>
      </c>
      <c r="J161" s="47">
        <v>0</v>
      </c>
      <c r="K161" s="15">
        <v>-3.6700000000000003E-2</v>
      </c>
      <c r="L161" s="38">
        <f t="shared" si="22"/>
        <v>0.1460796849054094</v>
      </c>
      <c r="M161" s="32">
        <f t="shared" ref="M161:M224" si="26">((M160+N161)*K161)+M160+N161</f>
        <v>38123.613100708491</v>
      </c>
      <c r="N161" s="47">
        <v>0</v>
      </c>
      <c r="O161" s="17">
        <v>-7.3999999999999996E-2</v>
      </c>
      <c r="P161" s="38">
        <f t="shared" si="24"/>
        <v>0.10800179228867196</v>
      </c>
      <c r="Q161" s="31">
        <f t="shared" ref="Q161:Q224" si="27">((Q160+R161)*O161)+Q160+R161</f>
        <v>28186.113257723366</v>
      </c>
      <c r="R161" s="47">
        <v>0</v>
      </c>
      <c r="S161" s="37">
        <f t="shared" si="23"/>
        <v>260978.19916160536</v>
      </c>
      <c r="T161" s="40">
        <f t="shared" ref="T161:T224" si="28">S161/S160-1</f>
        <v>3.0770679339527485E-2</v>
      </c>
    </row>
    <row r="162" spans="2:20" x14ac:dyDescent="0.35">
      <c r="B162" s="11" t="s">
        <v>155</v>
      </c>
      <c r="C162" s="17">
        <v>-5.8400000000000001E-2</v>
      </c>
      <c r="D162" s="38">
        <f t="shared" si="20"/>
        <v>0.55369593247363813</v>
      </c>
      <c r="E162" s="32">
        <f t="shared" si="25"/>
        <v>141778.30935516284</v>
      </c>
      <c r="F162" s="47">
        <v>0</v>
      </c>
      <c r="G162" s="15">
        <v>-2.4799999999999999E-2</v>
      </c>
      <c r="H162" s="38">
        <f t="shared" si="21"/>
        <v>0.1679430649268249</v>
      </c>
      <c r="I162" s="32">
        <f t="shared" ref="I162:I225" si="29">((I161+J162)*G162)+I161+J162</f>
        <v>43003.176322562605</v>
      </c>
      <c r="J162" s="47">
        <v>0</v>
      </c>
      <c r="K162" s="20">
        <v>9.7900000000000001E-2</v>
      </c>
      <c r="L162" s="38">
        <f t="shared" si="22"/>
        <v>0.16346259094930121</v>
      </c>
      <c r="M162" s="32">
        <f t="shared" si="26"/>
        <v>41855.914823267856</v>
      </c>
      <c r="N162" s="47">
        <v>0</v>
      </c>
      <c r="O162" s="19">
        <v>4.3799999999999999E-2</v>
      </c>
      <c r="P162" s="38">
        <f t="shared" si="24"/>
        <v>0.11489841165023583</v>
      </c>
      <c r="Q162" s="31">
        <f t="shared" si="27"/>
        <v>29420.665018411648</v>
      </c>
      <c r="R162" s="47">
        <v>0</v>
      </c>
      <c r="S162" s="37">
        <f t="shared" si="23"/>
        <v>256058.06551940495</v>
      </c>
      <c r="T162" s="40">
        <f t="shared" si="28"/>
        <v>-1.8852661479029198E-2</v>
      </c>
    </row>
    <row r="163" spans="2:20" x14ac:dyDescent="0.35">
      <c r="B163" s="10" t="s">
        <v>156</v>
      </c>
      <c r="C163" s="17">
        <v>-4.6699999999999998E-2</v>
      </c>
      <c r="D163" s="38">
        <f t="shared" si="20"/>
        <v>0.551022486482735</v>
      </c>
      <c r="E163" s="32">
        <f t="shared" si="25"/>
        <v>135157.26230827672</v>
      </c>
      <c r="F163" s="47">
        <v>0</v>
      </c>
      <c r="G163" s="15">
        <v>-6.0600000000000001E-2</v>
      </c>
      <c r="H163" s="38">
        <f t="shared" si="21"/>
        <v>0.1646952320935669</v>
      </c>
      <c r="I163" s="32">
        <f t="shared" si="29"/>
        <v>40397.183837415309</v>
      </c>
      <c r="J163" s="47">
        <v>0</v>
      </c>
      <c r="K163" s="15">
        <v>-2.5000000000000001E-2</v>
      </c>
      <c r="L163" s="38">
        <f t="shared" si="22"/>
        <v>0.16637627249461831</v>
      </c>
      <c r="M163" s="32">
        <f t="shared" si="26"/>
        <v>40809.516952686157</v>
      </c>
      <c r="N163" s="47">
        <v>0</v>
      </c>
      <c r="O163" s="17">
        <v>-1.7000000000000001E-2</v>
      </c>
      <c r="P163" s="38">
        <f t="shared" si="24"/>
        <v>0.11790600892907978</v>
      </c>
      <c r="Q163" s="31">
        <f t="shared" si="27"/>
        <v>28920.513713098651</v>
      </c>
      <c r="R163" s="47">
        <v>0</v>
      </c>
      <c r="S163" s="37">
        <f t="shared" si="23"/>
        <v>245284.47681147684</v>
      </c>
      <c r="T163" s="40">
        <f t="shared" si="28"/>
        <v>-4.2074787552871085E-2</v>
      </c>
    </row>
    <row r="164" spans="2:20" s="1" customFormat="1" x14ac:dyDescent="0.35">
      <c r="B164" s="150" t="s">
        <v>157</v>
      </c>
      <c r="C164" s="19">
        <v>6.2100000000000002E-2</v>
      </c>
      <c r="D164" s="38">
        <f t="shared" si="20"/>
        <v>0.47335353994695839</v>
      </c>
      <c r="E164" s="32">
        <f t="shared" si="25"/>
        <v>119356.6974936207</v>
      </c>
      <c r="F164" s="48">
        <v>-22779.24</v>
      </c>
      <c r="G164" s="20">
        <v>1.04E-2</v>
      </c>
      <c r="H164" s="38">
        <f t="shared" si="21"/>
        <v>0.19657682122170797</v>
      </c>
      <c r="I164" s="32">
        <f t="shared" si="29"/>
        <v>49567.095637324426</v>
      </c>
      <c r="J164" s="49">
        <v>8659.7199999999993</v>
      </c>
      <c r="K164" s="15">
        <v>-2.24E-2</v>
      </c>
      <c r="L164" s="38">
        <f t="shared" si="22"/>
        <v>0.19019544087132467</v>
      </c>
      <c r="M164" s="32">
        <f t="shared" si="26"/>
        <v>47958.022460945984</v>
      </c>
      <c r="N164" s="49">
        <v>8247.3799999999992</v>
      </c>
      <c r="O164" s="17">
        <v>-4.1399999999999999E-2</v>
      </c>
      <c r="P164" s="38">
        <f t="shared" si="24"/>
        <v>0.13987419796000897</v>
      </c>
      <c r="Q164" s="31">
        <f t="shared" si="27"/>
        <v>35269.457021376365</v>
      </c>
      <c r="R164" s="49">
        <v>7872.16</v>
      </c>
      <c r="S164" s="37">
        <f t="shared" si="23"/>
        <v>252151.27261326747</v>
      </c>
      <c r="T164" s="40">
        <f t="shared" si="28"/>
        <v>2.7995231867316228E-2</v>
      </c>
    </row>
    <row r="165" spans="2:20" x14ac:dyDescent="0.35">
      <c r="B165" s="10" t="s">
        <v>158</v>
      </c>
      <c r="C165" s="19">
        <v>1.78E-2</v>
      </c>
      <c r="D165" s="38">
        <f t="shared" si="20"/>
        <v>0.47067390599587516</v>
      </c>
      <c r="E165" s="32">
        <f t="shared" si="25"/>
        <v>121481.24670900714</v>
      </c>
      <c r="F165" s="47">
        <v>0</v>
      </c>
      <c r="G165" s="20">
        <v>2.5600000000000001E-2</v>
      </c>
      <c r="H165" s="38">
        <f t="shared" si="21"/>
        <v>0.19696196397889193</v>
      </c>
      <c r="I165" s="32">
        <f t="shared" si="29"/>
        <v>50836.013285639929</v>
      </c>
      <c r="J165" s="47">
        <v>0</v>
      </c>
      <c r="K165" s="20">
        <v>3.1600000000000003E-2</v>
      </c>
      <c r="L165" s="38">
        <f t="shared" si="22"/>
        <v>0.1916829487894911</v>
      </c>
      <c r="M165" s="32">
        <f t="shared" si="26"/>
        <v>49473.495970711876</v>
      </c>
      <c r="N165" s="47">
        <v>0</v>
      </c>
      <c r="O165" s="19">
        <v>2.9499999999999998E-2</v>
      </c>
      <c r="P165" s="38">
        <f t="shared" si="24"/>
        <v>0.14068118123574186</v>
      </c>
      <c r="Q165" s="31">
        <f t="shared" si="27"/>
        <v>36309.906003506971</v>
      </c>
      <c r="R165" s="47">
        <v>0</v>
      </c>
      <c r="S165" s="37">
        <f t="shared" si="23"/>
        <v>258100.6619688659</v>
      </c>
      <c r="T165" s="40">
        <f t="shared" si="28"/>
        <v>2.3594524405685657E-2</v>
      </c>
    </row>
    <row r="166" spans="2:20" x14ac:dyDescent="0.35">
      <c r="B166" s="11" t="s">
        <v>159</v>
      </c>
      <c r="C166" s="19">
        <v>6.6E-3</v>
      </c>
      <c r="D166" s="38">
        <f t="shared" si="20"/>
        <v>0.47096709670646347</v>
      </c>
      <c r="E166" s="32">
        <f t="shared" si="25"/>
        <v>122283.02293728659</v>
      </c>
      <c r="F166" s="47">
        <v>0</v>
      </c>
      <c r="G166" s="20">
        <v>1.43E-2</v>
      </c>
      <c r="H166" s="38">
        <f t="shared" si="21"/>
        <v>0.19859225657835422</v>
      </c>
      <c r="I166" s="32">
        <f t="shared" si="29"/>
        <v>51562.968275624582</v>
      </c>
      <c r="J166" s="47">
        <v>0</v>
      </c>
      <c r="K166" s="20">
        <v>1.34E-2</v>
      </c>
      <c r="L166" s="38">
        <f t="shared" si="22"/>
        <v>0.19309805567004679</v>
      </c>
      <c r="M166" s="32">
        <f t="shared" si="26"/>
        <v>50136.440816719412</v>
      </c>
      <c r="N166" s="47">
        <v>0</v>
      </c>
      <c r="O166" s="17">
        <v>-1.7899999999999999E-2</v>
      </c>
      <c r="P166" s="38">
        <f t="shared" si="24"/>
        <v>0.13734259104513544</v>
      </c>
      <c r="Q166" s="31">
        <f t="shared" si="27"/>
        <v>35659.958686044192</v>
      </c>
      <c r="R166" s="47">
        <v>0</v>
      </c>
      <c r="S166" s="37">
        <f t="shared" si="23"/>
        <v>259642.39071567479</v>
      </c>
      <c r="T166" s="40">
        <f t="shared" si="28"/>
        <v>5.9733622341304748E-3</v>
      </c>
    </row>
    <row r="167" spans="2:20" x14ac:dyDescent="0.35">
      <c r="B167" s="10" t="s">
        <v>160</v>
      </c>
      <c r="C167" s="19">
        <v>1.9E-3</v>
      </c>
      <c r="D167" s="38">
        <f t="shared" si="20"/>
        <v>0.46662431183599862</v>
      </c>
      <c r="E167" s="32">
        <f t="shared" si="25"/>
        <v>122515.36068086744</v>
      </c>
      <c r="F167" s="47">
        <v>0</v>
      </c>
      <c r="G167" s="20">
        <v>2.52E-2</v>
      </c>
      <c r="H167" s="38">
        <f t="shared" si="21"/>
        <v>0.20133687663623942</v>
      </c>
      <c r="I167" s="32">
        <f t="shared" si="29"/>
        <v>52862.355076170323</v>
      </c>
      <c r="J167" s="47">
        <v>0</v>
      </c>
      <c r="K167" s="20">
        <v>1.89E-2</v>
      </c>
      <c r="L167" s="38">
        <f t="shared" si="22"/>
        <v>0.19456372927445678</v>
      </c>
      <c r="M167" s="32">
        <f t="shared" si="26"/>
        <v>51084.019548155411</v>
      </c>
      <c r="N167" s="47">
        <v>0</v>
      </c>
      <c r="O167" s="19">
        <v>1.2200000000000001E-2</v>
      </c>
      <c r="P167" s="38">
        <f t="shared" si="24"/>
        <v>0.13747508225330526</v>
      </c>
      <c r="Q167" s="31">
        <f t="shared" si="27"/>
        <v>36095.010182013932</v>
      </c>
      <c r="R167" s="47">
        <v>0</v>
      </c>
      <c r="S167" s="37">
        <f t="shared" si="23"/>
        <v>262556.74548720708</v>
      </c>
      <c r="T167" s="40">
        <f t="shared" si="28"/>
        <v>1.1224495212431185E-2</v>
      </c>
    </row>
    <row r="168" spans="2:20" x14ac:dyDescent="0.35">
      <c r="B168" s="11" t="s">
        <v>161</v>
      </c>
      <c r="C168" s="17">
        <v>-3.1600000000000003E-2</v>
      </c>
      <c r="D168" s="38">
        <f t="shared" si="20"/>
        <v>0.45224636065531271</v>
      </c>
      <c r="E168" s="32">
        <f t="shared" si="25"/>
        <v>118643.87528335203</v>
      </c>
      <c r="F168" s="47">
        <v>0</v>
      </c>
      <c r="G168" s="20">
        <v>2.4E-2</v>
      </c>
      <c r="H168" s="38">
        <f t="shared" si="21"/>
        <v>0.20633657679483111</v>
      </c>
      <c r="I168" s="32">
        <f t="shared" si="29"/>
        <v>54131.051597998412</v>
      </c>
      <c r="J168" s="47">
        <v>0</v>
      </c>
      <c r="K168" s="20">
        <v>3.5400000000000001E-2</v>
      </c>
      <c r="L168" s="38">
        <f t="shared" si="22"/>
        <v>0.20161506494483472</v>
      </c>
      <c r="M168" s="32">
        <f t="shared" si="26"/>
        <v>52892.393840160112</v>
      </c>
      <c r="N168" s="47">
        <v>0</v>
      </c>
      <c r="O168" s="19">
        <v>1.61E-2</v>
      </c>
      <c r="P168" s="38">
        <f t="shared" si="24"/>
        <v>0.13980199760502141</v>
      </c>
      <c r="Q168" s="31">
        <f t="shared" si="27"/>
        <v>36676.139845944359</v>
      </c>
      <c r="R168" s="47">
        <v>0</v>
      </c>
      <c r="S168" s="37">
        <f t="shared" si="23"/>
        <v>262343.46056745492</v>
      </c>
      <c r="T168" s="40">
        <f t="shared" si="28"/>
        <v>-8.1233837415362053E-4</v>
      </c>
    </row>
    <row r="169" spans="2:20" x14ac:dyDescent="0.35">
      <c r="B169" s="10" t="s">
        <v>162</v>
      </c>
      <c r="C169" s="17">
        <v>-1.5299999999999999E-2</v>
      </c>
      <c r="D169" s="38">
        <f t="shared" si="20"/>
        <v>0.4456469038874406</v>
      </c>
      <c r="E169" s="32">
        <f t="shared" si="25"/>
        <v>116828.62399151674</v>
      </c>
      <c r="F169" s="47">
        <v>0</v>
      </c>
      <c r="G169" s="15">
        <v>-7.3000000000000001E-3</v>
      </c>
      <c r="H169" s="38">
        <f t="shared" si="21"/>
        <v>0.20497746512063503</v>
      </c>
      <c r="I169" s="32">
        <f t="shared" si="29"/>
        <v>53735.894921333027</v>
      </c>
      <c r="J169" s="47">
        <v>0</v>
      </c>
      <c r="K169" s="20">
        <v>1.9300000000000001E-2</v>
      </c>
      <c r="L169" s="38">
        <f t="shared" si="22"/>
        <v>0.20565386659694382</v>
      </c>
      <c r="M169" s="32">
        <f t="shared" si="26"/>
        <v>53913.217041275202</v>
      </c>
      <c r="N169" s="47">
        <v>0</v>
      </c>
      <c r="O169" s="19">
        <v>2.7300000000000001E-2</v>
      </c>
      <c r="P169" s="38">
        <f t="shared" si="24"/>
        <v>0.14372176439498049</v>
      </c>
      <c r="Q169" s="31">
        <f t="shared" si="27"/>
        <v>37677.398463738638</v>
      </c>
      <c r="R169" s="47">
        <v>0</v>
      </c>
      <c r="S169" s="37">
        <f t="shared" si="23"/>
        <v>262155.13441786362</v>
      </c>
      <c r="T169" s="40">
        <f t="shared" si="28"/>
        <v>-7.1786104057613986E-4</v>
      </c>
    </row>
    <row r="170" spans="2:20" x14ac:dyDescent="0.35">
      <c r="B170" s="11" t="s">
        <v>163</v>
      </c>
      <c r="C170" s="19">
        <v>4.9399999999999999E-2</v>
      </c>
      <c r="D170" s="38">
        <f t="shared" si="20"/>
        <v>0.46633385387999959</v>
      </c>
      <c r="E170" s="32">
        <f t="shared" si="25"/>
        <v>122599.95801669767</v>
      </c>
      <c r="F170" s="47">
        <v>0</v>
      </c>
      <c r="G170" s="15">
        <v>-3.1099999999999999E-2</v>
      </c>
      <c r="H170" s="38">
        <f t="shared" si="21"/>
        <v>0.19803869919980785</v>
      </c>
      <c r="I170" s="32">
        <f t="shared" si="29"/>
        <v>52064.708589279573</v>
      </c>
      <c r="J170" s="47">
        <v>0</v>
      </c>
      <c r="K170" s="15">
        <v>-3.39E-2</v>
      </c>
      <c r="L170" s="38">
        <f t="shared" si="22"/>
        <v>0.19811800791152728</v>
      </c>
      <c r="M170" s="32">
        <f t="shared" si="26"/>
        <v>52085.558983575975</v>
      </c>
      <c r="N170" s="47">
        <v>0</v>
      </c>
      <c r="O170" s="17">
        <v>-4.0500000000000001E-2</v>
      </c>
      <c r="P170" s="38">
        <f t="shared" si="24"/>
        <v>0.13750943900866541</v>
      </c>
      <c r="Q170" s="31">
        <f t="shared" si="27"/>
        <v>36151.463825957224</v>
      </c>
      <c r="R170" s="47">
        <v>0</v>
      </c>
      <c r="S170" s="37">
        <f t="shared" si="23"/>
        <v>262901.68941551039</v>
      </c>
      <c r="T170" s="40">
        <f t="shared" si="28"/>
        <v>2.8477603511545269E-3</v>
      </c>
    </row>
    <row r="171" spans="2:20" x14ac:dyDescent="0.35">
      <c r="B171" s="10" t="s">
        <v>164</v>
      </c>
      <c r="C171" s="19">
        <v>6.7900000000000002E-2</v>
      </c>
      <c r="D171" s="38">
        <f t="shared" si="20"/>
        <v>0.4768081071626788</v>
      </c>
      <c r="E171" s="32">
        <f t="shared" si="25"/>
        <v>130924.49516603144</v>
      </c>
      <c r="F171" s="47">
        <v>0</v>
      </c>
      <c r="G171" s="20">
        <v>5.0299999999999997E-2</v>
      </c>
      <c r="H171" s="38">
        <f t="shared" si="21"/>
        <v>0.19914964223870427</v>
      </c>
      <c r="I171" s="32">
        <f t="shared" si="29"/>
        <v>54683.563431320334</v>
      </c>
      <c r="J171" s="47">
        <v>0</v>
      </c>
      <c r="K171" s="20">
        <v>9.7000000000000003E-3</v>
      </c>
      <c r="L171" s="38">
        <f t="shared" si="22"/>
        <v>0.19152805959287519</v>
      </c>
      <c r="M171" s="32">
        <f t="shared" si="26"/>
        <v>52590.788905716661</v>
      </c>
      <c r="N171" s="47">
        <v>0</v>
      </c>
      <c r="O171" s="19">
        <v>6.4999999999999997E-3</v>
      </c>
      <c r="P171" s="38">
        <f t="shared" si="24"/>
        <v>0.13251419100574183</v>
      </c>
      <c r="Q171" s="31">
        <f t="shared" si="27"/>
        <v>36386.448340825948</v>
      </c>
      <c r="R171" s="47">
        <v>0</v>
      </c>
      <c r="S171" s="37">
        <f t="shared" si="23"/>
        <v>274585.29584389436</v>
      </c>
      <c r="T171" s="40">
        <f t="shared" si="28"/>
        <v>4.4440971278500552E-2</v>
      </c>
    </row>
    <row r="172" spans="2:20" x14ac:dyDescent="0.35">
      <c r="B172" s="11" t="s">
        <v>165</v>
      </c>
      <c r="C172" s="19">
        <v>4.9500000000000002E-2</v>
      </c>
      <c r="D172" s="38">
        <f t="shared" si="20"/>
        <v>0.43933688917455055</v>
      </c>
      <c r="E172" s="32">
        <f t="shared" si="25"/>
        <v>122996.38881175</v>
      </c>
      <c r="F172" s="48">
        <v>-13729.27</v>
      </c>
      <c r="G172" s="15">
        <v>-2.4199999999999999E-2</v>
      </c>
      <c r="H172" s="38">
        <f t="shared" si="21"/>
        <v>0.238453500076933</v>
      </c>
      <c r="I172" s="32">
        <f t="shared" si="29"/>
        <v>66757.242862282379</v>
      </c>
      <c r="J172" s="49">
        <v>13729.27</v>
      </c>
      <c r="K172" s="20">
        <v>2.64E-2</v>
      </c>
      <c r="L172" s="38">
        <f t="shared" si="22"/>
        <v>0.1928109253380797</v>
      </c>
      <c r="M172" s="32">
        <f t="shared" si="26"/>
        <v>53979.18573282758</v>
      </c>
      <c r="N172" s="47">
        <v>0</v>
      </c>
      <c r="O172" s="17">
        <v>-4.4000000000000003E-3</v>
      </c>
      <c r="P172" s="38">
        <f t="shared" si="24"/>
        <v>0.12939868541043686</v>
      </c>
      <c r="Q172" s="31">
        <f t="shared" si="27"/>
        <v>36226.347968126312</v>
      </c>
      <c r="R172" s="47">
        <v>0</v>
      </c>
      <c r="S172" s="37">
        <f t="shared" si="23"/>
        <v>279959.16537498625</v>
      </c>
      <c r="T172" s="40">
        <f t="shared" si="28"/>
        <v>1.95708568974029E-2</v>
      </c>
    </row>
    <row r="173" spans="2:20" x14ac:dyDescent="0.35">
      <c r="B173" s="10" t="s">
        <v>166</v>
      </c>
      <c r="C173" s="17">
        <v>-4.1999999999999997E-3</v>
      </c>
      <c r="D173" s="38">
        <f t="shared" si="20"/>
        <v>0.42969212276138219</v>
      </c>
      <c r="E173" s="32">
        <f t="shared" si="25"/>
        <v>122479.80397874066</v>
      </c>
      <c r="F173" s="47">
        <v>0</v>
      </c>
      <c r="G173" s="20">
        <v>2.6100000000000002E-2</v>
      </c>
      <c r="H173" s="38">
        <f t="shared" si="21"/>
        <v>0.24031506045449477</v>
      </c>
      <c r="I173" s="32">
        <f t="shared" si="29"/>
        <v>68499.606900987943</v>
      </c>
      <c r="J173" s="47">
        <v>0</v>
      </c>
      <c r="K173" s="20">
        <v>5.6399999999999999E-2</v>
      </c>
      <c r="L173" s="38">
        <f t="shared" si="22"/>
        <v>0.20005418043959233</v>
      </c>
      <c r="M173" s="32">
        <f t="shared" si="26"/>
        <v>57023.611808159054</v>
      </c>
      <c r="N173" s="47">
        <v>0</v>
      </c>
      <c r="O173" s="19">
        <v>2.24E-2</v>
      </c>
      <c r="P173" s="38">
        <f t="shared" si="24"/>
        <v>0.12993863634453057</v>
      </c>
      <c r="Q173" s="31">
        <f t="shared" si="27"/>
        <v>37037.818162612341</v>
      </c>
      <c r="R173" s="47">
        <v>0</v>
      </c>
      <c r="S173" s="37">
        <f t="shared" si="23"/>
        <v>285040.84085050004</v>
      </c>
      <c r="T173" s="40">
        <f t="shared" si="28"/>
        <v>1.8151488159736662E-2</v>
      </c>
    </row>
    <row r="174" spans="2:20" x14ac:dyDescent="0.35">
      <c r="B174" s="11" t="s">
        <v>167</v>
      </c>
      <c r="C174" s="17">
        <v>-4.9099999999999998E-2</v>
      </c>
      <c r="D174" s="38">
        <f t="shared" si="20"/>
        <v>0.41642639636222367</v>
      </c>
      <c r="E174" s="32">
        <f t="shared" si="25"/>
        <v>116466.0456033845</v>
      </c>
      <c r="F174" s="47">
        <v>0</v>
      </c>
      <c r="G174" s="15">
        <v>-9.9000000000000008E-3</v>
      </c>
      <c r="H174" s="38">
        <f t="shared" si="21"/>
        <v>0.24249682701592398</v>
      </c>
      <c r="I174" s="32">
        <f t="shared" si="29"/>
        <v>67821.460792668164</v>
      </c>
      <c r="J174" s="47">
        <v>0</v>
      </c>
      <c r="K174" s="20">
        <v>1.47E-2</v>
      </c>
      <c r="L174" s="38">
        <f t="shared" si="22"/>
        <v>0.20688609512273518</v>
      </c>
      <c r="M174" s="32">
        <f t="shared" si="26"/>
        <v>57861.85890173899</v>
      </c>
      <c r="N174" s="47">
        <v>0</v>
      </c>
      <c r="O174" s="19">
        <v>1.3299999999999999E-2</v>
      </c>
      <c r="P174" s="38">
        <f t="shared" si="24"/>
        <v>0.13419068149911723</v>
      </c>
      <c r="Q174" s="31">
        <f t="shared" si="27"/>
        <v>37530.421144175081</v>
      </c>
      <c r="R174" s="47">
        <v>0</v>
      </c>
      <c r="S174" s="37">
        <f t="shared" si="23"/>
        <v>279679.78644196672</v>
      </c>
      <c r="T174" s="40">
        <f t="shared" si="28"/>
        <v>-1.8808022010239345E-2</v>
      </c>
    </row>
    <row r="175" spans="2:20" x14ac:dyDescent="0.35">
      <c r="B175" s="10" t="s">
        <v>168</v>
      </c>
      <c r="C175" s="19">
        <v>6.6500000000000004E-2</v>
      </c>
      <c r="D175" s="38">
        <f t="shared" si="20"/>
        <v>0.42506413164475515</v>
      </c>
      <c r="E175" s="32">
        <f t="shared" si="25"/>
        <v>124211.03763600957</v>
      </c>
      <c r="F175" s="47">
        <v>0</v>
      </c>
      <c r="G175" s="20">
        <v>4.2900000000000001E-2</v>
      </c>
      <c r="H175" s="38">
        <f t="shared" si="21"/>
        <v>0.2420494368974585</v>
      </c>
      <c r="I175" s="32">
        <f t="shared" si="29"/>
        <v>70731.001460673622</v>
      </c>
      <c r="J175" s="47">
        <v>0</v>
      </c>
      <c r="K175" s="20">
        <v>3.04E-2</v>
      </c>
      <c r="L175" s="38">
        <f t="shared" si="22"/>
        <v>0.20402928206984369</v>
      </c>
      <c r="M175" s="32">
        <f t="shared" si="26"/>
        <v>59620.859412351856</v>
      </c>
      <c r="N175" s="47">
        <v>0</v>
      </c>
      <c r="O175" s="19">
        <v>3.3E-3</v>
      </c>
      <c r="P175" s="38">
        <f t="shared" si="24"/>
        <v>0.12885714938794257</v>
      </c>
      <c r="Q175" s="31">
        <f t="shared" si="27"/>
        <v>37654.271533950858</v>
      </c>
      <c r="R175" s="47">
        <v>0</v>
      </c>
      <c r="S175" s="37">
        <f t="shared" si="23"/>
        <v>292217.17004298593</v>
      </c>
      <c r="T175" s="40">
        <f t="shared" si="28"/>
        <v>4.4827635777749286E-2</v>
      </c>
    </row>
    <row r="176" spans="2:20" x14ac:dyDescent="0.35">
      <c r="B176" s="9" t="s">
        <v>169</v>
      </c>
      <c r="C176" s="19">
        <v>0.1062</v>
      </c>
      <c r="D176" s="38">
        <f t="shared" si="20"/>
        <v>0.42912352955450805</v>
      </c>
      <c r="E176" s="32">
        <f t="shared" si="25"/>
        <v>129300.25297895378</v>
      </c>
      <c r="F176" s="48">
        <v>-7324.17</v>
      </c>
      <c r="G176" s="15">
        <v>-8.6999999999999994E-3</v>
      </c>
      <c r="H176" s="38">
        <f t="shared" si="21"/>
        <v>0.24034428116532922</v>
      </c>
      <c r="I176" s="32">
        <f t="shared" si="29"/>
        <v>72418.719124965763</v>
      </c>
      <c r="J176" s="49">
        <v>2323.29</v>
      </c>
      <c r="K176" s="20">
        <v>1.44E-2</v>
      </c>
      <c r="L176" s="38">
        <f t="shared" si="22"/>
        <v>0.19675595532705106</v>
      </c>
      <c r="M176" s="32">
        <f t="shared" si="26"/>
        <v>59285.014795889721</v>
      </c>
      <c r="N176" s="48">
        <v>-1177.43</v>
      </c>
      <c r="O176" s="17">
        <v>-8.0399999999999999E-2</v>
      </c>
      <c r="P176" s="38">
        <f t="shared" si="24"/>
        <v>0.13377623395311156</v>
      </c>
      <c r="Q176" s="31">
        <f t="shared" si="27"/>
        <v>40308.441978621209</v>
      </c>
      <c r="R176" s="49">
        <v>6178.31</v>
      </c>
      <c r="S176" s="37">
        <f t="shared" si="23"/>
        <v>301312.42887843051</v>
      </c>
      <c r="T176" s="40">
        <f t="shared" si="28"/>
        <v>3.1124998007840077E-2</v>
      </c>
    </row>
    <row r="177" spans="2:20" x14ac:dyDescent="0.35">
      <c r="B177" s="10" t="s">
        <v>170</v>
      </c>
      <c r="C177" s="17">
        <v>-2.3E-3</v>
      </c>
      <c r="D177" s="38">
        <f t="shared" si="20"/>
        <v>0.43314085176205147</v>
      </c>
      <c r="E177" s="32">
        <f t="shared" si="25"/>
        <v>129002.86239710219</v>
      </c>
      <c r="F177" s="47">
        <v>0</v>
      </c>
      <c r="G177" s="20">
        <v>2E-3</v>
      </c>
      <c r="H177" s="38">
        <f t="shared" si="21"/>
        <v>0.24363987056291139</v>
      </c>
      <c r="I177" s="32">
        <f t="shared" si="29"/>
        <v>72563.556563215694</v>
      </c>
      <c r="J177" s="47">
        <v>0</v>
      </c>
      <c r="K177" s="15">
        <v>-1.78E-2</v>
      </c>
      <c r="L177" s="38">
        <f t="shared" si="22"/>
        <v>0.19551255977284135</v>
      </c>
      <c r="M177" s="32">
        <f t="shared" si="26"/>
        <v>58229.741532522887</v>
      </c>
      <c r="N177" s="47">
        <v>0</v>
      </c>
      <c r="O177" s="17">
        <v>-5.6399999999999999E-2</v>
      </c>
      <c r="P177" s="38">
        <f t="shared" si="24"/>
        <v>0.12770671790219576</v>
      </c>
      <c r="Q177" s="31">
        <f t="shared" si="27"/>
        <v>38035.045851026975</v>
      </c>
      <c r="R177" s="47">
        <v>0</v>
      </c>
      <c r="S177" s="37">
        <f t="shared" si="23"/>
        <v>297831.20634386776</v>
      </c>
      <c r="T177" s="40">
        <f t="shared" si="28"/>
        <v>-1.1553531155421792E-2</v>
      </c>
    </row>
    <row r="178" spans="2:20" x14ac:dyDescent="0.35">
      <c r="B178" s="11" t="s">
        <v>171</v>
      </c>
      <c r="C178" s="19">
        <v>7.7999999999999996E-3</v>
      </c>
      <c r="D178" s="38">
        <f t="shared" si="20"/>
        <v>0.43000300156166821</v>
      </c>
      <c r="E178" s="32">
        <f t="shared" si="25"/>
        <v>130009.08472379959</v>
      </c>
      <c r="F178" s="47">
        <v>0</v>
      </c>
      <c r="G178" s="20">
        <v>2.6599999999999999E-2</v>
      </c>
      <c r="H178" s="38">
        <f t="shared" si="21"/>
        <v>0.24638689632944491</v>
      </c>
      <c r="I178" s="32">
        <f t="shared" si="29"/>
        <v>74493.747167797235</v>
      </c>
      <c r="J178" s="47">
        <v>0</v>
      </c>
      <c r="K178" s="15">
        <v>-6.1000000000000004E-3</v>
      </c>
      <c r="L178" s="38">
        <f t="shared" si="22"/>
        <v>0.19141913054627094</v>
      </c>
      <c r="M178" s="32">
        <f t="shared" si="26"/>
        <v>57874.540109174501</v>
      </c>
      <c r="N178" s="47">
        <v>0</v>
      </c>
      <c r="O178" s="19">
        <v>5.0799999999999998E-2</v>
      </c>
      <c r="P178" s="38">
        <f t="shared" si="24"/>
        <v>0.13219097156261594</v>
      </c>
      <c r="Q178" s="31">
        <f t="shared" si="27"/>
        <v>39967.226180259146</v>
      </c>
      <c r="R178" s="47">
        <v>0</v>
      </c>
      <c r="S178" s="37">
        <f t="shared" si="23"/>
        <v>302344.59818103048</v>
      </c>
      <c r="T178" s="40">
        <f t="shared" si="28"/>
        <v>1.5154193855534626E-2</v>
      </c>
    </row>
    <row r="179" spans="2:20" x14ac:dyDescent="0.35">
      <c r="B179" s="10" t="s">
        <v>172</v>
      </c>
      <c r="C179" s="17">
        <v>-1.9199999999999998E-2</v>
      </c>
      <c r="D179" s="38">
        <f t="shared" si="20"/>
        <v>0.41561474974443369</v>
      </c>
      <c r="E179" s="32">
        <f t="shared" si="25"/>
        <v>127512.91029710264</v>
      </c>
      <c r="F179" s="47">
        <v>0</v>
      </c>
      <c r="G179" s="20">
        <v>3.32E-2</v>
      </c>
      <c r="H179" s="38">
        <f t="shared" si="21"/>
        <v>0.25086554181073717</v>
      </c>
      <c r="I179" s="32">
        <f t="shared" si="29"/>
        <v>76966.939573768104</v>
      </c>
      <c r="J179" s="47">
        <v>0</v>
      </c>
      <c r="K179" s="20">
        <v>4.3499999999999997E-2</v>
      </c>
      <c r="L179" s="38">
        <f t="shared" si="22"/>
        <v>0.19684156090150182</v>
      </c>
      <c r="M179" s="32">
        <f t="shared" si="26"/>
        <v>60392.082603923591</v>
      </c>
      <c r="N179" s="47">
        <v>0</v>
      </c>
      <c r="O179" s="19">
        <v>4.9200000000000001E-2</v>
      </c>
      <c r="P179" s="38">
        <f t="shared" si="24"/>
        <v>0.13667814754332727</v>
      </c>
      <c r="Q179" s="31">
        <f t="shared" si="27"/>
        <v>41933.613708327895</v>
      </c>
      <c r="R179" s="47">
        <v>0</v>
      </c>
      <c r="S179" s="37">
        <f t="shared" si="23"/>
        <v>306805.54618312226</v>
      </c>
      <c r="T179" s="40">
        <f t="shared" si="28"/>
        <v>1.4754515307797034E-2</v>
      </c>
    </row>
    <row r="180" spans="2:20" x14ac:dyDescent="0.35">
      <c r="B180" s="11" t="s">
        <v>173</v>
      </c>
      <c r="C180" s="17">
        <v>-9.2299999999999993E-2</v>
      </c>
      <c r="D180" s="38">
        <f t="shared" si="20"/>
        <v>0.37220549490947935</v>
      </c>
      <c r="E180" s="32">
        <f t="shared" si="25"/>
        <v>115743.46867668007</v>
      </c>
      <c r="F180" s="47">
        <v>0</v>
      </c>
      <c r="G180" s="20">
        <v>6.3500000000000001E-2</v>
      </c>
      <c r="H180" s="38">
        <f t="shared" si="21"/>
        <v>0.26322552422717499</v>
      </c>
      <c r="I180" s="32">
        <f t="shared" si="29"/>
        <v>81854.340236702381</v>
      </c>
      <c r="J180" s="47">
        <v>0</v>
      </c>
      <c r="K180" s="20">
        <v>0.1012</v>
      </c>
      <c r="L180" s="38">
        <f t="shared" si="22"/>
        <v>0.21386144457763753</v>
      </c>
      <c r="M180" s="32">
        <f t="shared" si="26"/>
        <v>66503.761363440659</v>
      </c>
      <c r="N180" s="47">
        <v>0</v>
      </c>
      <c r="O180" s="19">
        <v>0.1176</v>
      </c>
      <c r="P180" s="38">
        <f t="shared" si="24"/>
        <v>0.15070753628570813</v>
      </c>
      <c r="Q180" s="31">
        <f t="shared" si="27"/>
        <v>46865.006680427257</v>
      </c>
      <c r="R180" s="47">
        <v>0</v>
      </c>
      <c r="S180" s="37">
        <f t="shared" si="23"/>
        <v>310966.57695725036</v>
      </c>
      <c r="T180" s="40">
        <f t="shared" si="28"/>
        <v>1.3562436617897689E-2</v>
      </c>
    </row>
    <row r="181" spans="2:20" x14ac:dyDescent="0.35">
      <c r="B181" s="10" t="s">
        <v>174</v>
      </c>
      <c r="C181" s="17">
        <v>-6.7100000000000007E-2</v>
      </c>
      <c r="D181" s="38">
        <f t="shared" si="20"/>
        <v>0.34908782081665912</v>
      </c>
      <c r="E181" s="32">
        <f t="shared" si="25"/>
        <v>107977.08192847484</v>
      </c>
      <c r="F181" s="47">
        <v>0</v>
      </c>
      <c r="G181" s="20">
        <v>4.0000000000000002E-4</v>
      </c>
      <c r="H181" s="38">
        <f t="shared" si="21"/>
        <v>0.26473935476284111</v>
      </c>
      <c r="I181" s="32">
        <f t="shared" si="29"/>
        <v>81887.081972797067</v>
      </c>
      <c r="J181" s="47">
        <v>0</v>
      </c>
      <c r="K181" s="20">
        <v>4.1799999999999997E-2</v>
      </c>
      <c r="L181" s="38">
        <f t="shared" si="22"/>
        <v>0.22399260101647844</v>
      </c>
      <c r="M181" s="32">
        <f t="shared" si="26"/>
        <v>69283.61858843248</v>
      </c>
      <c r="N181" s="47">
        <v>0</v>
      </c>
      <c r="O181" s="19">
        <v>7.0400000000000004E-2</v>
      </c>
      <c r="P181" s="38">
        <f t="shared" si="24"/>
        <v>0.16218022340402138</v>
      </c>
      <c r="Q181" s="31">
        <f t="shared" si="27"/>
        <v>50164.303150729334</v>
      </c>
      <c r="R181" s="47">
        <v>0</v>
      </c>
      <c r="S181" s="37">
        <f t="shared" si="23"/>
        <v>309312.08564043371</v>
      </c>
      <c r="T181" s="40">
        <f t="shared" si="28"/>
        <v>-5.3204795608761124E-3</v>
      </c>
    </row>
    <row r="182" spans="2:20" x14ac:dyDescent="0.35">
      <c r="B182" s="11" t="s">
        <v>175</v>
      </c>
      <c r="C182" s="19">
        <v>8.72E-2</v>
      </c>
      <c r="D182" s="38">
        <f t="shared" si="20"/>
        <v>0.37552014120344474</v>
      </c>
      <c r="E182" s="32">
        <f t="shared" si="25"/>
        <v>117392.68347263784</v>
      </c>
      <c r="F182" s="47">
        <v>0</v>
      </c>
      <c r="G182" s="15">
        <v>-5.6899999999999999E-2</v>
      </c>
      <c r="H182" s="38">
        <f t="shared" si="21"/>
        <v>0.24703890040495205</v>
      </c>
      <c r="I182" s="32">
        <f t="shared" si="29"/>
        <v>77227.707008544909</v>
      </c>
      <c r="J182" s="47">
        <v>0</v>
      </c>
      <c r="K182" s="20">
        <v>0</v>
      </c>
      <c r="L182" s="38">
        <f t="shared" si="22"/>
        <v>0.22162705090115745</v>
      </c>
      <c r="M182" s="32">
        <f t="shared" si="26"/>
        <v>69283.61858843248</v>
      </c>
      <c r="N182" s="47">
        <v>0</v>
      </c>
      <c r="O182" s="17">
        <v>-2.9000000000000001E-2</v>
      </c>
      <c r="P182" s="38">
        <f t="shared" si="24"/>
        <v>0.15581390749044594</v>
      </c>
      <c r="Q182" s="31">
        <f t="shared" si="27"/>
        <v>48709.538359358186</v>
      </c>
      <c r="R182" s="47">
        <v>0</v>
      </c>
      <c r="S182" s="37">
        <f t="shared" si="23"/>
        <v>312613.54742897337</v>
      </c>
      <c r="T182" s="40">
        <f t="shared" si="28"/>
        <v>1.0673562210490317E-2</v>
      </c>
    </row>
    <row r="183" spans="2:20" x14ac:dyDescent="0.35">
      <c r="B183" s="10" t="s">
        <v>176</v>
      </c>
      <c r="C183" s="19">
        <v>8.0000000000000004E-4</v>
      </c>
      <c r="D183" s="38">
        <f t="shared" si="20"/>
        <v>0.34860595793513216</v>
      </c>
      <c r="E183" s="32">
        <f t="shared" si="25"/>
        <v>117486.59761941596</v>
      </c>
      <c r="F183" s="47">
        <v>0</v>
      </c>
      <c r="G183" s="20">
        <v>9.3200000000000005E-2</v>
      </c>
      <c r="H183" s="38">
        <f t="shared" si="21"/>
        <v>0.25050663983445448</v>
      </c>
      <c r="I183" s="32">
        <f t="shared" si="29"/>
        <v>84425.329301741294</v>
      </c>
      <c r="J183" s="47">
        <v>0</v>
      </c>
      <c r="K183" s="20">
        <v>0.14710000000000001</v>
      </c>
      <c r="L183" s="38">
        <f t="shared" si="22"/>
        <v>0.23581874310981102</v>
      </c>
      <c r="M183" s="32">
        <f t="shared" si="26"/>
        <v>79475.238882790902</v>
      </c>
      <c r="N183" s="47">
        <v>0</v>
      </c>
      <c r="O183" s="19">
        <v>0.1421</v>
      </c>
      <c r="P183" s="38">
        <f t="shared" si="24"/>
        <v>0.16506865912060234</v>
      </c>
      <c r="Q183" s="31">
        <f t="shared" si="27"/>
        <v>55631.163760222982</v>
      </c>
      <c r="R183" s="47">
        <v>0</v>
      </c>
      <c r="S183" s="37">
        <f t="shared" si="23"/>
        <v>337018.32956417114</v>
      </c>
      <c r="T183" s="40">
        <f t="shared" si="28"/>
        <v>7.8066937072657216E-2</v>
      </c>
    </row>
    <row r="184" spans="2:20" x14ac:dyDescent="0.35">
      <c r="B184" s="11" t="s">
        <v>177</v>
      </c>
      <c r="C184" s="19">
        <v>5.1000000000000004E-3</v>
      </c>
      <c r="D184" s="38">
        <f t="shared" si="20"/>
        <v>0.30934164679715226</v>
      </c>
      <c r="E184" s="32">
        <f t="shared" si="25"/>
        <v>101148.91957527498</v>
      </c>
      <c r="F184" s="48">
        <v>-16850.919999999998</v>
      </c>
      <c r="G184" s="15">
        <v>-4.2000000000000003E-2</v>
      </c>
      <c r="H184" s="38">
        <f t="shared" si="21"/>
        <v>0.29672235228380628</v>
      </c>
      <c r="I184" s="32">
        <f t="shared" si="29"/>
        <v>97022.646831068152</v>
      </c>
      <c r="J184" s="49">
        <v>16850.919999999998</v>
      </c>
      <c r="K184" s="15">
        <v>-2.8899999999999999E-2</v>
      </c>
      <c r="L184" s="38">
        <f t="shared" si="22"/>
        <v>0.23603311670538796</v>
      </c>
      <c r="M184" s="32">
        <f t="shared" si="26"/>
        <v>77178.40447907825</v>
      </c>
      <c r="N184" s="47">
        <v>0</v>
      </c>
      <c r="O184" s="17">
        <v>-7.1900000000000006E-2</v>
      </c>
      <c r="P184" s="38">
        <f t="shared" si="24"/>
        <v>0.15790288421365353</v>
      </c>
      <c r="Q184" s="31">
        <f t="shared" si="27"/>
        <v>51631.283085862946</v>
      </c>
      <c r="R184" s="47">
        <v>0</v>
      </c>
      <c r="S184" s="37">
        <f t="shared" si="23"/>
        <v>326981.25397128431</v>
      </c>
      <c r="T184" s="40">
        <f t="shared" si="28"/>
        <v>-2.978198724641079E-2</v>
      </c>
    </row>
    <row r="185" spans="2:20" x14ac:dyDescent="0.35">
      <c r="B185" s="112" t="s">
        <v>178</v>
      </c>
      <c r="C185" s="19">
        <v>9.6699999999999994E-2</v>
      </c>
      <c r="D185" s="38">
        <f t="shared" si="20"/>
        <v>0.35269410437382559</v>
      </c>
      <c r="E185" s="32">
        <f t="shared" si="25"/>
        <v>110930.02009820407</v>
      </c>
      <c r="F185" s="47">
        <v>0</v>
      </c>
      <c r="G185" s="15">
        <v>-5.96E-2</v>
      </c>
      <c r="H185" s="38">
        <f t="shared" si="21"/>
        <v>0.29009139540496742</v>
      </c>
      <c r="I185" s="32">
        <f t="shared" si="29"/>
        <v>91240.097079936488</v>
      </c>
      <c r="J185" s="47">
        <v>0</v>
      </c>
      <c r="K185" s="15">
        <v>-0.1426</v>
      </c>
      <c r="L185" s="38">
        <f t="shared" si="22"/>
        <v>0.21039159383895167</v>
      </c>
      <c r="M185" s="32">
        <f t="shared" si="26"/>
        <v>66172.764000361698</v>
      </c>
      <c r="N185" s="47">
        <v>0</v>
      </c>
      <c r="O185" s="17">
        <v>-0.1056</v>
      </c>
      <c r="P185" s="38">
        <f t="shared" si="24"/>
        <v>0.14682290638225526</v>
      </c>
      <c r="Q185" s="31">
        <f t="shared" si="27"/>
        <v>46179.019591995821</v>
      </c>
      <c r="R185" s="47">
        <v>0</v>
      </c>
      <c r="S185" s="37">
        <f t="shared" si="23"/>
        <v>314521.90077049809</v>
      </c>
      <c r="T185" s="40">
        <f t="shared" si="28"/>
        <v>-3.810418196598031E-2</v>
      </c>
    </row>
    <row r="186" spans="2:20" x14ac:dyDescent="0.35">
      <c r="B186" s="11" t="s">
        <v>179</v>
      </c>
      <c r="C186" s="19">
        <v>3.27E-2</v>
      </c>
      <c r="D186" s="38">
        <f t="shared" si="20"/>
        <v>0.39580910372677569</v>
      </c>
      <c r="E186" s="32">
        <f t="shared" si="25"/>
        <v>130797.77522541535</v>
      </c>
      <c r="F186" s="49">
        <v>15726.1</v>
      </c>
      <c r="G186" s="20">
        <v>4.7899999999999998E-2</v>
      </c>
      <c r="H186" s="38">
        <f t="shared" si="21"/>
        <v>0.23945985821588717</v>
      </c>
      <c r="I186" s="32">
        <f t="shared" si="29"/>
        <v>79131.117540065432</v>
      </c>
      <c r="J186" s="48">
        <v>-15726.1</v>
      </c>
      <c r="K186" s="20">
        <v>6.0400000000000002E-2</v>
      </c>
      <c r="L186" s="38">
        <f t="shared" si="22"/>
        <v>0.21234127277633025</v>
      </c>
      <c r="M186" s="32">
        <f t="shared" si="26"/>
        <v>70169.59894598354</v>
      </c>
      <c r="N186" s="47">
        <v>0</v>
      </c>
      <c r="O186" s="19">
        <v>9.0499999999999997E-2</v>
      </c>
      <c r="P186" s="38">
        <f t="shared" si="24"/>
        <v>0.15238976528100689</v>
      </c>
      <c r="Q186" s="31">
        <f t="shared" si="27"/>
        <v>50358.220865071446</v>
      </c>
      <c r="R186" s="47">
        <v>0</v>
      </c>
      <c r="S186" s="37">
        <f t="shared" si="23"/>
        <v>330456.71257653576</v>
      </c>
      <c r="T186" s="40">
        <f t="shared" si="28"/>
        <v>5.0663600108614038E-2</v>
      </c>
    </row>
    <row r="187" spans="2:20" x14ac:dyDescent="0.35">
      <c r="B187" s="10" t="s">
        <v>180</v>
      </c>
      <c r="C187" s="17">
        <v>-3.3000000000000002E-2</v>
      </c>
      <c r="D187" s="38">
        <f t="shared" si="20"/>
        <v>0.39466684769944715</v>
      </c>
      <c r="E187" s="32">
        <f t="shared" si="25"/>
        <v>126481.44864297664</v>
      </c>
      <c r="F187" s="47">
        <v>0</v>
      </c>
      <c r="G187" s="20">
        <v>5.7000000000000002E-2</v>
      </c>
      <c r="H187" s="38">
        <f t="shared" si="21"/>
        <v>0.26099134304175287</v>
      </c>
      <c r="I187" s="32">
        <f t="shared" si="29"/>
        <v>83641.591239849164</v>
      </c>
      <c r="J187" s="47">
        <v>0</v>
      </c>
      <c r="K187" s="15">
        <v>-8.5000000000000006E-2</v>
      </c>
      <c r="L187" s="38">
        <f t="shared" si="22"/>
        <v>0.20034287610148638</v>
      </c>
      <c r="M187" s="32">
        <f t="shared" si="26"/>
        <v>64205.183035574941</v>
      </c>
      <c r="N187" s="47">
        <v>0</v>
      </c>
      <c r="O187" s="17">
        <v>-8.3599999999999994E-2</v>
      </c>
      <c r="P187" s="38">
        <f t="shared" si="24"/>
        <v>0.14399893315731371</v>
      </c>
      <c r="Q187" s="31">
        <f t="shared" si="27"/>
        <v>46148.273600751476</v>
      </c>
      <c r="R187" s="47">
        <v>0</v>
      </c>
      <c r="S187" s="37">
        <f t="shared" si="23"/>
        <v>320476.49651915219</v>
      </c>
      <c r="T187" s="40">
        <f t="shared" si="28"/>
        <v>-3.0201281068158337E-2</v>
      </c>
    </row>
    <row r="188" spans="2:20" x14ac:dyDescent="0.35">
      <c r="B188" s="9" t="s">
        <v>181</v>
      </c>
      <c r="C188" s="19">
        <v>0.12790000000000001</v>
      </c>
      <c r="D188" s="38">
        <f t="shared" si="20"/>
        <v>0.42494529691188671</v>
      </c>
      <c r="E188" s="32">
        <f t="shared" si="25"/>
        <v>144180.13220941334</v>
      </c>
      <c r="F188" s="49">
        <v>1349.15</v>
      </c>
      <c r="G188" s="15">
        <v>-2.1499999999999998E-2</v>
      </c>
      <c r="H188" s="38">
        <f t="shared" si="21"/>
        <v>0.23105991798012088</v>
      </c>
      <c r="I188" s="32">
        <f t="shared" si="29"/>
        <v>78396.560133192412</v>
      </c>
      <c r="J188" s="48">
        <v>-3522.47</v>
      </c>
      <c r="K188" s="20">
        <v>2.4299999999999999E-2</v>
      </c>
      <c r="L188" s="38">
        <f t="shared" si="22"/>
        <v>0.19350000719766736</v>
      </c>
      <c r="M188" s="32">
        <f t="shared" si="26"/>
        <v>65652.818899339414</v>
      </c>
      <c r="N188" s="48">
        <v>-109.88</v>
      </c>
      <c r="O188" s="19">
        <v>6.2199999999999998E-2</v>
      </c>
      <c r="P188" s="38">
        <f t="shared" si="24"/>
        <v>0.15049477791032514</v>
      </c>
      <c r="Q188" s="31">
        <f t="shared" si="27"/>
        <v>51061.529880718219</v>
      </c>
      <c r="R188" s="49">
        <v>1923.21</v>
      </c>
      <c r="S188" s="37">
        <f t="shared" si="23"/>
        <v>339291.04112266336</v>
      </c>
      <c r="T188" s="40">
        <f t="shared" si="28"/>
        <v>5.8708032594792181E-2</v>
      </c>
    </row>
    <row r="189" spans="2:20" x14ac:dyDescent="0.35">
      <c r="B189" s="10" t="s">
        <v>182</v>
      </c>
      <c r="C189" s="17">
        <v>-4.19E-2</v>
      </c>
      <c r="D189" s="38">
        <f t="shared" si="20"/>
        <v>0.40965303402359954</v>
      </c>
      <c r="E189" s="32">
        <f t="shared" si="25"/>
        <v>138138.98466983892</v>
      </c>
      <c r="F189" s="47">
        <v>0</v>
      </c>
      <c r="G189" s="20">
        <v>4.5999999999999999E-3</v>
      </c>
      <c r="H189" s="38">
        <f t="shared" si="21"/>
        <v>0.23355549905610229</v>
      </c>
      <c r="I189" s="32">
        <f t="shared" si="29"/>
        <v>78757.184309805103</v>
      </c>
      <c r="J189" s="47">
        <v>0</v>
      </c>
      <c r="K189" s="20">
        <v>4.0899999999999999E-2</v>
      </c>
      <c r="L189" s="38">
        <f t="shared" si="22"/>
        <v>0.20265732347901214</v>
      </c>
      <c r="M189" s="32">
        <f t="shared" si="26"/>
        <v>68338.01919232239</v>
      </c>
      <c r="N189" s="47">
        <v>0</v>
      </c>
      <c r="O189" s="19">
        <v>1.7899999999999999E-2</v>
      </c>
      <c r="P189" s="38">
        <f t="shared" si="24"/>
        <v>0.15413414344128606</v>
      </c>
      <c r="Q189" s="31">
        <f t="shared" si="27"/>
        <v>51975.531265583078</v>
      </c>
      <c r="R189" s="47">
        <v>0</v>
      </c>
      <c r="S189" s="37">
        <f t="shared" si="23"/>
        <v>337209.71943754947</v>
      </c>
      <c r="T189" s="40">
        <f t="shared" si="28"/>
        <v>-6.1343254989200124E-3</v>
      </c>
    </row>
    <row r="190" spans="2:20" x14ac:dyDescent="0.35">
      <c r="B190" s="11" t="s">
        <v>183</v>
      </c>
      <c r="C190" s="17">
        <v>-1.8E-3</v>
      </c>
      <c r="D190" s="38">
        <f t="shared" si="20"/>
        <v>0.39601941511263905</v>
      </c>
      <c r="E190" s="32">
        <f t="shared" si="25"/>
        <v>137890.33449743321</v>
      </c>
      <c r="F190" s="47">
        <v>0</v>
      </c>
      <c r="G190" s="20">
        <v>3.0300000000000001E-2</v>
      </c>
      <c r="H190" s="38">
        <f t="shared" si="21"/>
        <v>0.23304325294166292</v>
      </c>
      <c r="I190" s="32">
        <f t="shared" si="29"/>
        <v>81143.526994392203</v>
      </c>
      <c r="J190" s="47">
        <v>0</v>
      </c>
      <c r="K190" s="20">
        <v>6.59E-2</v>
      </c>
      <c r="L190" s="38">
        <f t="shared" si="22"/>
        <v>0.20919991394009366</v>
      </c>
      <c r="M190" s="32">
        <f t="shared" si="26"/>
        <v>72841.494657096438</v>
      </c>
      <c r="N190" s="47">
        <v>0</v>
      </c>
      <c r="O190" s="19">
        <v>8.3500000000000005E-2</v>
      </c>
      <c r="P190" s="38">
        <f t="shared" si="24"/>
        <v>0.16173741800560437</v>
      </c>
      <c r="Q190" s="31">
        <f t="shared" si="27"/>
        <v>56315.488126259268</v>
      </c>
      <c r="R190" s="47">
        <v>0</v>
      </c>
      <c r="S190" s="37">
        <f t="shared" si="23"/>
        <v>348190.84427518112</v>
      </c>
      <c r="T190" s="40">
        <f t="shared" si="28"/>
        <v>3.2564674754771872E-2</v>
      </c>
    </row>
    <row r="191" spans="2:20" x14ac:dyDescent="0.35">
      <c r="B191" s="10" t="s">
        <v>184</v>
      </c>
      <c r="C191" s="19">
        <v>2.1100000000000001E-2</v>
      </c>
      <c r="D191" s="38">
        <f t="shared" si="20"/>
        <v>0.39581529399858795</v>
      </c>
      <c r="E191" s="32">
        <f t="shared" si="25"/>
        <v>140799.82055532906</v>
      </c>
      <c r="F191" s="47">
        <v>0</v>
      </c>
      <c r="G191" s="20">
        <v>4.4999999999999997E-3</v>
      </c>
      <c r="H191" s="38">
        <f t="shared" si="21"/>
        <v>0.22913650874405733</v>
      </c>
      <c r="I191" s="32">
        <f t="shared" si="29"/>
        <v>81508.672865866974</v>
      </c>
      <c r="J191" s="47">
        <v>0</v>
      </c>
      <c r="K191" s="20">
        <v>5.0999999999999997E-2</v>
      </c>
      <c r="L191" s="38">
        <f t="shared" si="22"/>
        <v>0.21521475071667667</v>
      </c>
      <c r="M191" s="32">
        <f t="shared" si="26"/>
        <v>76556.410884608355</v>
      </c>
      <c r="N191" s="47">
        <v>0</v>
      </c>
      <c r="O191" s="19">
        <v>9.5999999999999992E-3</v>
      </c>
      <c r="P191" s="38">
        <f t="shared" si="24"/>
        <v>0.15983344654067802</v>
      </c>
      <c r="Q191" s="31">
        <f t="shared" si="27"/>
        <v>56856.116812271357</v>
      </c>
      <c r="R191" s="47">
        <v>0</v>
      </c>
      <c r="S191" s="37">
        <f t="shared" si="23"/>
        <v>355721.02111807576</v>
      </c>
      <c r="T191" s="40">
        <f t="shared" si="28"/>
        <v>2.1626579120912925E-2</v>
      </c>
    </row>
    <row r="192" spans="2:20" x14ac:dyDescent="0.35">
      <c r="B192" s="11" t="s">
        <v>185</v>
      </c>
      <c r="C192" s="19">
        <v>1.5800000000000002E-2</v>
      </c>
      <c r="D192" s="38">
        <f t="shared" si="20"/>
        <v>0.40131939395894595</v>
      </c>
      <c r="E192" s="32">
        <f t="shared" si="25"/>
        <v>143024.45772010327</v>
      </c>
      <c r="F192" s="47">
        <v>0</v>
      </c>
      <c r="G192" s="20">
        <v>2.6700000000000002E-2</v>
      </c>
      <c r="H192" s="38">
        <f t="shared" si="21"/>
        <v>0.23481574921689158</v>
      </c>
      <c r="I192" s="32">
        <f t="shared" si="29"/>
        <v>83684.954431385617</v>
      </c>
      <c r="J192" s="47">
        <v>0</v>
      </c>
      <c r="K192" s="15">
        <v>-5.6899999999999999E-2</v>
      </c>
      <c r="L192" s="38">
        <f t="shared" si="22"/>
        <v>0.20259053319325396</v>
      </c>
      <c r="M192" s="32">
        <f t="shared" si="26"/>
        <v>72200.351105274138</v>
      </c>
      <c r="N192" s="47">
        <v>0</v>
      </c>
      <c r="O192" s="19">
        <v>1.09E-2</v>
      </c>
      <c r="P192" s="38">
        <f t="shared" si="24"/>
        <v>0.1612743236309086</v>
      </c>
      <c r="Q192" s="31">
        <f t="shared" si="27"/>
        <v>57475.848485525115</v>
      </c>
      <c r="R192" s="47">
        <v>0</v>
      </c>
      <c r="S192" s="37">
        <f t="shared" si="23"/>
        <v>356385.61174228811</v>
      </c>
      <c r="T192" s="40">
        <f t="shared" si="28"/>
        <v>1.8682916801584515E-3</v>
      </c>
    </row>
    <row r="193" spans="2:20" x14ac:dyDescent="0.35">
      <c r="B193" s="10" t="s">
        <v>186</v>
      </c>
      <c r="C193" s="19">
        <v>6.8999999999999999E-3</v>
      </c>
      <c r="D193" s="38">
        <f t="shared" si="20"/>
        <v>0.39985909662908609</v>
      </c>
      <c r="E193" s="32">
        <f t="shared" si="25"/>
        <v>144011.32647837198</v>
      </c>
      <c r="F193" s="47">
        <v>0</v>
      </c>
      <c r="G193" s="20">
        <v>3.56E-2</v>
      </c>
      <c r="H193" s="38">
        <f t="shared" si="21"/>
        <v>0.24062999141644575</v>
      </c>
      <c r="I193" s="32">
        <f t="shared" si="29"/>
        <v>86664.13880914294</v>
      </c>
      <c r="J193" s="47">
        <v>0</v>
      </c>
      <c r="K193" s="20">
        <v>2.53E-2</v>
      </c>
      <c r="L193" s="38">
        <f t="shared" si="22"/>
        <v>0.20554200883001689</v>
      </c>
      <c r="M193" s="32">
        <f t="shared" si="26"/>
        <v>74027.019988237575</v>
      </c>
      <c r="N193" s="47">
        <v>0</v>
      </c>
      <c r="O193" s="17">
        <v>-3.5200000000000002E-2</v>
      </c>
      <c r="P193" s="38">
        <f t="shared" si="24"/>
        <v>0.15396890312445133</v>
      </c>
      <c r="Q193" s="31">
        <f t="shared" si="27"/>
        <v>55452.698618834635</v>
      </c>
      <c r="R193" s="47">
        <v>0</v>
      </c>
      <c r="S193" s="37">
        <f t="shared" si="23"/>
        <v>360155.1838945871</v>
      </c>
      <c r="T193" s="40">
        <f t="shared" si="28"/>
        <v>1.0577228788419379E-2</v>
      </c>
    </row>
    <row r="194" spans="2:20" x14ac:dyDescent="0.35">
      <c r="B194" s="11" t="s">
        <v>187</v>
      </c>
      <c r="C194" s="19">
        <v>1.04E-2</v>
      </c>
      <c r="D194" s="38">
        <f t="shared" si="20"/>
        <v>0.40177531813359318</v>
      </c>
      <c r="E194" s="32">
        <f t="shared" si="25"/>
        <v>145509.04427374704</v>
      </c>
      <c r="F194" s="47">
        <v>0</v>
      </c>
      <c r="G194" s="15">
        <v>-5.1000000000000004E-3</v>
      </c>
      <c r="H194" s="38">
        <f t="shared" si="21"/>
        <v>0.23807408400502611</v>
      </c>
      <c r="I194" s="32">
        <f t="shared" si="29"/>
        <v>86222.151701216309</v>
      </c>
      <c r="J194" s="47">
        <v>0</v>
      </c>
      <c r="K194" s="20">
        <v>5.7000000000000002E-3</v>
      </c>
      <c r="L194" s="38">
        <f t="shared" si="22"/>
        <v>0.20556633000879654</v>
      </c>
      <c r="M194" s="32">
        <f t="shared" si="26"/>
        <v>74448.974002170522</v>
      </c>
      <c r="N194" s="47">
        <v>0</v>
      </c>
      <c r="O194" s="19">
        <v>9.5999999999999992E-3</v>
      </c>
      <c r="P194" s="38">
        <f t="shared" si="24"/>
        <v>0.15458426785258425</v>
      </c>
      <c r="Q194" s="31">
        <f t="shared" si="27"/>
        <v>55985.044525575446</v>
      </c>
      <c r="R194" s="47">
        <v>0</v>
      </c>
      <c r="S194" s="37">
        <f t="shared" si="23"/>
        <v>362165.21450270928</v>
      </c>
      <c r="T194" s="40">
        <f t="shared" si="28"/>
        <v>5.581012569044308E-3</v>
      </c>
    </row>
    <row r="195" spans="2:20" x14ac:dyDescent="0.35">
      <c r="B195" s="10" t="s">
        <v>188</v>
      </c>
      <c r="C195" s="19">
        <v>1.2800000000000001E-2</v>
      </c>
      <c r="D195" s="38">
        <f t="shared" si="20"/>
        <v>0.37434598253278356</v>
      </c>
      <c r="E195" s="32">
        <f t="shared" si="25"/>
        <v>147371.560040451</v>
      </c>
      <c r="F195" s="47">
        <v>0</v>
      </c>
      <c r="G195" s="20">
        <v>0.1837</v>
      </c>
      <c r="H195" s="38">
        <f t="shared" si="21"/>
        <v>0.25925073718965019</v>
      </c>
      <c r="I195" s="32">
        <f t="shared" si="29"/>
        <v>102061.16096872975</v>
      </c>
      <c r="J195" s="47">
        <v>0</v>
      </c>
      <c r="K195" s="20">
        <v>7.9699999999999993E-2</v>
      </c>
      <c r="L195" s="38">
        <f t="shared" si="22"/>
        <v>0.20418381508994229</v>
      </c>
      <c r="M195" s="32">
        <f t="shared" si="26"/>
        <v>80382.557230143517</v>
      </c>
      <c r="N195" s="47">
        <v>0</v>
      </c>
      <c r="O195" s="19">
        <v>0.14069999999999999</v>
      </c>
      <c r="P195" s="38">
        <f t="shared" si="24"/>
        <v>0.1622194651876239</v>
      </c>
      <c r="Q195" s="31">
        <f t="shared" si="27"/>
        <v>63862.140290323907</v>
      </c>
      <c r="R195" s="47">
        <v>0</v>
      </c>
      <c r="S195" s="37">
        <f t="shared" si="23"/>
        <v>393677.41852964822</v>
      </c>
      <c r="T195" s="40">
        <f t="shared" si="28"/>
        <v>8.7010576292393171E-2</v>
      </c>
    </row>
    <row r="196" spans="2:20" x14ac:dyDescent="0.35">
      <c r="B196" s="11" t="s">
        <v>189</v>
      </c>
      <c r="C196" s="19">
        <v>2.5600000000000001E-2</v>
      </c>
      <c r="D196" s="38">
        <f t="shared" si="20"/>
        <v>0.38187884064521554</v>
      </c>
      <c r="E196" s="32">
        <f t="shared" si="25"/>
        <v>151144.27197748655</v>
      </c>
      <c r="F196" s="47">
        <v>0</v>
      </c>
      <c r="G196" s="15">
        <v>-3.3700000000000001E-2</v>
      </c>
      <c r="H196" s="38">
        <f t="shared" si="21"/>
        <v>0.24917610112627278</v>
      </c>
      <c r="I196" s="32">
        <f t="shared" si="29"/>
        <v>98621.69984408356</v>
      </c>
      <c r="J196" s="47">
        <v>0</v>
      </c>
      <c r="K196" s="20">
        <v>1.4999999999999999E-2</v>
      </c>
      <c r="L196" s="38">
        <f t="shared" si="22"/>
        <v>0.20613975853635386</v>
      </c>
      <c r="M196" s="32">
        <f t="shared" si="26"/>
        <v>81588.295588595676</v>
      </c>
      <c r="N196" s="47">
        <v>0</v>
      </c>
      <c r="O196" s="19">
        <v>8.9999999999999993E-3</v>
      </c>
      <c r="P196" s="38">
        <f t="shared" si="24"/>
        <v>0.1628052996921579</v>
      </c>
      <c r="Q196" s="31">
        <f t="shared" si="27"/>
        <v>64436.899552936819</v>
      </c>
      <c r="R196" s="47">
        <v>0</v>
      </c>
      <c r="S196" s="37">
        <f t="shared" si="23"/>
        <v>395791.16696310259</v>
      </c>
      <c r="T196" s="40">
        <f t="shared" si="28"/>
        <v>5.3692397225857391E-3</v>
      </c>
    </row>
    <row r="197" spans="2:20" x14ac:dyDescent="0.35">
      <c r="B197" s="10" t="s">
        <v>190</v>
      </c>
      <c r="C197" s="19">
        <v>1.5100000000000001E-2</v>
      </c>
      <c r="D197" s="38">
        <f t="shared" si="20"/>
        <v>0.39049049718276613</v>
      </c>
      <c r="E197" s="32">
        <f t="shared" si="25"/>
        <v>153426.5504843466</v>
      </c>
      <c r="F197" s="47">
        <v>0</v>
      </c>
      <c r="G197" s="15">
        <v>-1.4800000000000001E-2</v>
      </c>
      <c r="H197" s="38">
        <f t="shared" si="21"/>
        <v>0.24729016003811408</v>
      </c>
      <c r="I197" s="32">
        <f t="shared" si="29"/>
        <v>97162.098686391124</v>
      </c>
      <c r="J197" s="47">
        <v>0</v>
      </c>
      <c r="K197" s="15">
        <v>-2.1499999999999998E-2</v>
      </c>
      <c r="L197" s="38">
        <f t="shared" si="22"/>
        <v>0.20318827313092117</v>
      </c>
      <c r="M197" s="32">
        <f t="shared" si="26"/>
        <v>79834.147233440875</v>
      </c>
      <c r="N197" s="47">
        <v>0</v>
      </c>
      <c r="O197" s="17">
        <v>-3.0300000000000001E-2</v>
      </c>
      <c r="P197" s="38">
        <f t="shared" si="24"/>
        <v>0.15903106964819863</v>
      </c>
      <c r="Q197" s="31">
        <f t="shared" si="27"/>
        <v>62484.461496482836</v>
      </c>
      <c r="R197" s="47">
        <v>0</v>
      </c>
      <c r="S197" s="37">
        <f t="shared" si="23"/>
        <v>392907.25790066144</v>
      </c>
      <c r="T197" s="40">
        <f t="shared" si="28"/>
        <v>-7.2864411921299554E-3</v>
      </c>
    </row>
    <row r="198" spans="2:20" x14ac:dyDescent="0.35">
      <c r="B198" s="11" t="s">
        <v>191</v>
      </c>
      <c r="C198" s="19">
        <v>2.0000000000000001E-4</v>
      </c>
      <c r="D198" s="38">
        <f t="shared" si="20"/>
        <v>0.38012099774109392</v>
      </c>
      <c r="E198" s="32">
        <f t="shared" si="25"/>
        <v>153457.23579444346</v>
      </c>
      <c r="F198" s="47">
        <v>0</v>
      </c>
      <c r="G198" s="20">
        <v>1.6400000000000001E-2</v>
      </c>
      <c r="H198" s="38">
        <f t="shared" si="21"/>
        <v>0.24462229301103849</v>
      </c>
      <c r="I198" s="32">
        <f t="shared" si="29"/>
        <v>98755.557104847932</v>
      </c>
      <c r="J198" s="47">
        <v>0</v>
      </c>
      <c r="K198" s="20">
        <v>8.6199999999999999E-2</v>
      </c>
      <c r="L198" s="38">
        <f t="shared" si="22"/>
        <v>0.21479935779433879</v>
      </c>
      <c r="M198" s="32">
        <f t="shared" si="26"/>
        <v>86715.850724963471</v>
      </c>
      <c r="N198" s="47">
        <v>0</v>
      </c>
      <c r="O198" s="19">
        <v>3.6700000000000003E-2</v>
      </c>
      <c r="P198" s="38">
        <f t="shared" si="24"/>
        <v>0.16045735145352885</v>
      </c>
      <c r="Q198" s="31">
        <f t="shared" si="27"/>
        <v>64777.64123340376</v>
      </c>
      <c r="R198" s="47">
        <v>0</v>
      </c>
      <c r="S198" s="37">
        <f t="shared" si="23"/>
        <v>403706.28485765861</v>
      </c>
      <c r="T198" s="40">
        <f t="shared" si="28"/>
        <v>2.7484926124035747E-2</v>
      </c>
    </row>
    <row r="199" spans="2:20" x14ac:dyDescent="0.35">
      <c r="B199" s="10" t="s">
        <v>192</v>
      </c>
      <c r="C199" s="19">
        <v>7.17E-2</v>
      </c>
      <c r="D199" s="38">
        <f t="shared" si="20"/>
        <v>0.40097213591268432</v>
      </c>
      <c r="E199" s="32">
        <f t="shared" si="25"/>
        <v>164460.11960090505</v>
      </c>
      <c r="F199" s="47">
        <v>0</v>
      </c>
      <c r="G199" s="15">
        <v>-5.7000000000000002E-3</v>
      </c>
      <c r="H199" s="38">
        <f t="shared" si="21"/>
        <v>0.23940464636125364</v>
      </c>
      <c r="I199" s="32">
        <f t="shared" si="29"/>
        <v>98192.650429350295</v>
      </c>
      <c r="J199" s="47">
        <v>0</v>
      </c>
      <c r="K199" s="15">
        <v>-1.34E-2</v>
      </c>
      <c r="L199" s="38">
        <f t="shared" si="22"/>
        <v>0.20858985990946272</v>
      </c>
      <c r="M199" s="32">
        <f t="shared" si="26"/>
        <v>85553.858325248963</v>
      </c>
      <c r="N199" s="47">
        <v>0</v>
      </c>
      <c r="O199" s="17">
        <v>-4.3700000000000003E-2</v>
      </c>
      <c r="P199" s="38">
        <f t="shared" si="24"/>
        <v>0.15103335781659918</v>
      </c>
      <c r="Q199" s="31">
        <f t="shared" si="27"/>
        <v>61946.858311504016</v>
      </c>
      <c r="R199" s="47">
        <v>0</v>
      </c>
      <c r="S199" s="37">
        <f t="shared" si="23"/>
        <v>410153.48666700837</v>
      </c>
      <c r="T199" s="40">
        <f t="shared" si="28"/>
        <v>1.5970030814910219E-2</v>
      </c>
    </row>
    <row r="200" spans="2:20" x14ac:dyDescent="0.35">
      <c r="B200" s="9" t="s">
        <v>193</v>
      </c>
      <c r="C200" s="17">
        <v>-2.64E-2</v>
      </c>
      <c r="D200" s="38">
        <f t="shared" si="20"/>
        <v>0.37553217798561284</v>
      </c>
      <c r="E200" s="32">
        <f t="shared" si="25"/>
        <v>159730.17865144115</v>
      </c>
      <c r="F200" s="48">
        <v>-398.72</v>
      </c>
      <c r="G200" s="20">
        <v>0.1061</v>
      </c>
      <c r="H200" s="38">
        <f t="shared" si="21"/>
        <v>0.26664962803315667</v>
      </c>
      <c r="I200" s="32">
        <f t="shared" si="29"/>
        <v>113417.69153190436</v>
      </c>
      <c r="J200" s="49">
        <v>4345.72</v>
      </c>
      <c r="K200" s="20">
        <v>5.3900000000000003E-2</v>
      </c>
      <c r="L200" s="38">
        <f t="shared" si="22"/>
        <v>0.2032525448138997</v>
      </c>
      <c r="M200" s="32">
        <f t="shared" si="26"/>
        <v>86452.152964979876</v>
      </c>
      <c r="N200" s="48">
        <v>-3523.16</v>
      </c>
      <c r="O200" s="19">
        <v>6.8599999999999994E-2</v>
      </c>
      <c r="P200" s="38">
        <f t="shared" si="24"/>
        <v>0.15456564916733076</v>
      </c>
      <c r="Q200" s="31">
        <f t="shared" si="27"/>
        <v>65743.49736767319</v>
      </c>
      <c r="R200" s="48">
        <v>-423.84</v>
      </c>
      <c r="S200" s="37">
        <f t="shared" si="23"/>
        <v>425343.52051599859</v>
      </c>
      <c r="T200" s="40">
        <f t="shared" si="28"/>
        <v>3.7034998708477485E-2</v>
      </c>
    </row>
    <row r="201" spans="2:20" x14ac:dyDescent="0.35">
      <c r="B201" s="10" t="s">
        <v>194</v>
      </c>
      <c r="C201" s="17">
        <v>-7.3099999999999998E-2</v>
      </c>
      <c r="D201" s="38">
        <f t="shared" si="20"/>
        <v>0.3558672516634041</v>
      </c>
      <c r="E201" s="32">
        <f t="shared" si="25"/>
        <v>148053.90259202081</v>
      </c>
      <c r="F201" s="47">
        <v>0</v>
      </c>
      <c r="G201" s="20">
        <v>5.4699999999999999E-2</v>
      </c>
      <c r="H201" s="38">
        <f t="shared" si="21"/>
        <v>0.28752652417254687</v>
      </c>
      <c r="I201" s="32">
        <f t="shared" si="29"/>
        <v>119621.63925869954</v>
      </c>
      <c r="J201" s="47">
        <v>0</v>
      </c>
      <c r="K201" s="15">
        <v>-3.15E-2</v>
      </c>
      <c r="L201" s="38">
        <f t="shared" si="22"/>
        <v>0.20125357465749402</v>
      </c>
      <c r="M201" s="32">
        <f t="shared" si="26"/>
        <v>83728.910146583017</v>
      </c>
      <c r="N201" s="47">
        <v>0</v>
      </c>
      <c r="O201" s="17">
        <v>-1.6899999999999998E-2</v>
      </c>
      <c r="P201" s="38">
        <f t="shared" si="24"/>
        <v>0.15535264950655497</v>
      </c>
      <c r="Q201" s="31">
        <f t="shared" si="27"/>
        <v>64632.432262159513</v>
      </c>
      <c r="R201" s="47">
        <v>0</v>
      </c>
      <c r="S201" s="37">
        <f t="shared" si="23"/>
        <v>416036.88425946288</v>
      </c>
      <c r="T201" s="40">
        <f t="shared" si="28"/>
        <v>-2.1880282189900346E-2</v>
      </c>
    </row>
    <row r="202" spans="2:20" x14ac:dyDescent="0.35">
      <c r="B202" s="11" t="s">
        <v>195</v>
      </c>
      <c r="C202" s="17">
        <v>-0.28899999999999998</v>
      </c>
      <c r="D202" s="38">
        <f t="shared" si="20"/>
        <v>0.27168093281029571</v>
      </c>
      <c r="E202" s="32">
        <f t="shared" si="25"/>
        <v>105266.32474292679</v>
      </c>
      <c r="F202" s="47">
        <v>0</v>
      </c>
      <c r="G202" s="20">
        <v>0.14990000000000001</v>
      </c>
      <c r="H202" s="38">
        <f t="shared" si="21"/>
        <v>0.35500913058591843</v>
      </c>
      <c r="I202" s="32">
        <f t="shared" si="29"/>
        <v>137552.92298357858</v>
      </c>
      <c r="J202" s="47">
        <v>0</v>
      </c>
      <c r="K202" s="20">
        <v>1.2800000000000001E-2</v>
      </c>
      <c r="L202" s="38">
        <f t="shared" si="22"/>
        <v>0.2188612273464251</v>
      </c>
      <c r="M202" s="32">
        <f t="shared" si="26"/>
        <v>84800.640196459281</v>
      </c>
      <c r="N202" s="47">
        <v>0</v>
      </c>
      <c r="O202" s="17">
        <v>-7.4099999999999999E-2</v>
      </c>
      <c r="P202" s="38">
        <f t="shared" si="24"/>
        <v>0.15444870925736073</v>
      </c>
      <c r="Q202" s="31">
        <f t="shared" si="27"/>
        <v>59843.169031533493</v>
      </c>
      <c r="R202" s="47">
        <v>0</v>
      </c>
      <c r="S202" s="37">
        <f t="shared" si="23"/>
        <v>387463.05695449817</v>
      </c>
      <c r="T202" s="40">
        <f t="shared" si="28"/>
        <v>-6.8680995330078765E-2</v>
      </c>
    </row>
    <row r="203" spans="2:20" x14ac:dyDescent="0.35">
      <c r="B203" s="10" t="s">
        <v>196</v>
      </c>
      <c r="C203" s="19">
        <v>7.5600000000000001E-2</v>
      </c>
      <c r="D203" s="38">
        <f t="shared" si="20"/>
        <v>0.3891591070462615</v>
      </c>
      <c r="E203" s="32">
        <f t="shared" si="25"/>
        <v>166702.10773349207</v>
      </c>
      <c r="F203" s="49">
        <v>49718.9</v>
      </c>
      <c r="G203" s="20">
        <v>9.9000000000000005E-2</v>
      </c>
      <c r="H203" s="38">
        <f t="shared" si="21"/>
        <v>0.2253442985731815</v>
      </c>
      <c r="I203" s="32">
        <f t="shared" si="29"/>
        <v>96529.59125895286</v>
      </c>
      <c r="J203" s="48">
        <v>-49718.9</v>
      </c>
      <c r="K203" s="20">
        <v>0.1575</v>
      </c>
      <c r="L203" s="38">
        <f t="shared" si="22"/>
        <v>0.2291428117385482</v>
      </c>
      <c r="M203" s="32">
        <f t="shared" si="26"/>
        <v>98156.741027401615</v>
      </c>
      <c r="N203" s="47">
        <v>0</v>
      </c>
      <c r="O203" s="19">
        <v>0.1192</v>
      </c>
      <c r="P203" s="38">
        <f t="shared" si="24"/>
        <v>0.15635378264200886</v>
      </c>
      <c r="Q203" s="31">
        <f t="shared" si="27"/>
        <v>66976.474780092278</v>
      </c>
      <c r="R203" s="47">
        <v>0</v>
      </c>
      <c r="S203" s="37">
        <f t="shared" si="23"/>
        <v>428364.91479993879</v>
      </c>
      <c r="T203" s="40">
        <f t="shared" si="28"/>
        <v>0.10556324560832642</v>
      </c>
    </row>
    <row r="204" spans="2:20" x14ac:dyDescent="0.35">
      <c r="B204" s="11" t="s">
        <v>197</v>
      </c>
      <c r="C204" s="19">
        <v>0.11650000000000001</v>
      </c>
      <c r="D204" s="38">
        <f t="shared" si="20"/>
        <v>0.40510889270560857</v>
      </c>
      <c r="E204" s="32">
        <f t="shared" si="25"/>
        <v>186122.90328444389</v>
      </c>
      <c r="F204" s="47">
        <v>0</v>
      </c>
      <c r="G204" s="20">
        <v>3.9600000000000003E-2</v>
      </c>
      <c r="H204" s="38">
        <f t="shared" si="21"/>
        <v>0.21842316526144304</v>
      </c>
      <c r="I204" s="32">
        <f t="shared" si="29"/>
        <v>100352.16307280739</v>
      </c>
      <c r="J204" s="47">
        <v>0</v>
      </c>
      <c r="K204" s="20">
        <v>5.8900000000000001E-2</v>
      </c>
      <c r="L204" s="38">
        <f t="shared" si="22"/>
        <v>0.22622835481707787</v>
      </c>
      <c r="M204" s="32">
        <f t="shared" si="26"/>
        <v>103938.17307391558</v>
      </c>
      <c r="N204" s="47">
        <v>0</v>
      </c>
      <c r="O204" s="19">
        <v>3.0599999999999999E-2</v>
      </c>
      <c r="P204" s="38">
        <f t="shared" si="24"/>
        <v>0.15023958721587052</v>
      </c>
      <c r="Q204" s="31">
        <f t="shared" si="27"/>
        <v>69025.954908363099</v>
      </c>
      <c r="R204" s="47">
        <v>0</v>
      </c>
      <c r="S204" s="37">
        <f t="shared" si="23"/>
        <v>459439.19433952996</v>
      </c>
      <c r="T204" s="40">
        <f t="shared" si="28"/>
        <v>7.2541607554633458E-2</v>
      </c>
    </row>
    <row r="205" spans="2:20" x14ac:dyDescent="0.35">
      <c r="B205" s="10" t="s">
        <v>198</v>
      </c>
      <c r="C205" s="19">
        <v>5.7500000000000002E-2</v>
      </c>
      <c r="D205" s="38">
        <f t="shared" si="20"/>
        <v>0.41347183415746325</v>
      </c>
      <c r="E205" s="32">
        <f t="shared" si="25"/>
        <v>196824.9702232994</v>
      </c>
      <c r="F205" s="47">
        <v>0</v>
      </c>
      <c r="G205" s="20">
        <v>3.0200000000000001E-2</v>
      </c>
      <c r="H205" s="38">
        <f t="shared" si="21"/>
        <v>0.2171770950875489</v>
      </c>
      <c r="I205" s="32">
        <f t="shared" si="29"/>
        <v>103382.79839760618</v>
      </c>
      <c r="J205" s="47">
        <v>0</v>
      </c>
      <c r="K205" s="20">
        <v>1.8200000000000001E-2</v>
      </c>
      <c r="L205" s="38">
        <f t="shared" si="22"/>
        <v>0.22231763194829174</v>
      </c>
      <c r="M205" s="32">
        <f t="shared" si="26"/>
        <v>105829.84782386084</v>
      </c>
      <c r="N205" s="47">
        <v>0</v>
      </c>
      <c r="O205" s="19">
        <v>1.4E-2</v>
      </c>
      <c r="P205" s="38">
        <f t="shared" si="24"/>
        <v>0.14703343880669612</v>
      </c>
      <c r="Q205" s="31">
        <f t="shared" si="27"/>
        <v>69992.31827708018</v>
      </c>
      <c r="R205" s="47">
        <v>0</v>
      </c>
      <c r="S205" s="37">
        <f t="shared" si="23"/>
        <v>476029.9347218466</v>
      </c>
      <c r="T205" s="40">
        <f t="shared" si="28"/>
        <v>3.6110851200161109E-2</v>
      </c>
    </row>
    <row r="206" spans="2:20" x14ac:dyDescent="0.35">
      <c r="B206" s="11" t="s">
        <v>199</v>
      </c>
      <c r="C206" s="19">
        <v>7.9000000000000001E-2</v>
      </c>
      <c r="D206" s="38">
        <f t="shared" si="20"/>
        <v>0.42704937917494301</v>
      </c>
      <c r="E206" s="32">
        <f t="shared" si="25"/>
        <v>212374.14287094006</v>
      </c>
      <c r="F206" s="47">
        <v>0</v>
      </c>
      <c r="G206" s="20">
        <v>5.6899999999999999E-2</v>
      </c>
      <c r="H206" s="38">
        <f t="shared" si="21"/>
        <v>0.21971445863915648</v>
      </c>
      <c r="I206" s="32">
        <f t="shared" si="29"/>
        <v>109265.27962642997</v>
      </c>
      <c r="J206" s="47">
        <v>0</v>
      </c>
      <c r="K206" s="20">
        <v>6.1999999999999998E-3</v>
      </c>
      <c r="L206" s="38">
        <f t="shared" si="22"/>
        <v>0.21412577131870497</v>
      </c>
      <c r="M206" s="32">
        <f t="shared" si="26"/>
        <v>106485.99288036878</v>
      </c>
      <c r="N206" s="47">
        <v>0</v>
      </c>
      <c r="O206" s="17">
        <v>-1.1599999999999999E-2</v>
      </c>
      <c r="P206" s="38">
        <f t="shared" si="24"/>
        <v>0.13911039086719554</v>
      </c>
      <c r="Q206" s="31">
        <f t="shared" si="27"/>
        <v>69180.40738506605</v>
      </c>
      <c r="R206" s="47">
        <v>0</v>
      </c>
      <c r="S206" s="37">
        <f t="shared" si="23"/>
        <v>497305.82276280486</v>
      </c>
      <c r="T206" s="40">
        <f t="shared" si="28"/>
        <v>4.469443303684284E-2</v>
      </c>
    </row>
    <row r="207" spans="2:20" x14ac:dyDescent="0.35">
      <c r="B207" s="10" t="s">
        <v>200</v>
      </c>
      <c r="C207" s="17">
        <v>-4.1700000000000001E-2</v>
      </c>
      <c r="D207" s="38">
        <f t="shared" si="20"/>
        <v>0.39973220298306283</v>
      </c>
      <c r="E207" s="32">
        <f t="shared" si="25"/>
        <v>203518.14111322188</v>
      </c>
      <c r="F207" s="47">
        <v>0</v>
      </c>
      <c r="G207" s="20">
        <v>4.1599999999999998E-2</v>
      </c>
      <c r="H207" s="38">
        <f t="shared" si="21"/>
        <v>0.22353686843181561</v>
      </c>
      <c r="I207" s="32">
        <f t="shared" si="29"/>
        <v>113810.71525888945</v>
      </c>
      <c r="J207" s="47">
        <v>0</v>
      </c>
      <c r="K207" s="20">
        <v>0.11890000000000001</v>
      </c>
      <c r="L207" s="38">
        <f t="shared" si="22"/>
        <v>0.23401827205344114</v>
      </c>
      <c r="M207" s="32">
        <f t="shared" si="26"/>
        <v>119147.17743384463</v>
      </c>
      <c r="N207" s="47">
        <v>0</v>
      </c>
      <c r="O207" s="19">
        <v>5.0299999999999997E-2</v>
      </c>
      <c r="P207" s="38">
        <f t="shared" si="24"/>
        <v>0.14271265653168042</v>
      </c>
      <c r="Q207" s="31">
        <f t="shared" si="27"/>
        <v>72660.181876534873</v>
      </c>
      <c r="R207" s="47">
        <v>0</v>
      </c>
      <c r="S207" s="37">
        <f t="shared" si="23"/>
        <v>509136.21568249085</v>
      </c>
      <c r="T207" s="40">
        <f t="shared" si="28"/>
        <v>2.3788969238207835E-2</v>
      </c>
    </row>
    <row r="208" spans="2:20" x14ac:dyDescent="0.35">
      <c r="B208" s="11" t="s">
        <v>201</v>
      </c>
      <c r="C208" s="17">
        <v>-3.0499999999999999E-2</v>
      </c>
      <c r="D208" s="38">
        <f t="shared" si="20"/>
        <v>0.39124108155501053</v>
      </c>
      <c r="E208" s="32">
        <f t="shared" si="25"/>
        <v>197310.83780926862</v>
      </c>
      <c r="F208" s="47">
        <v>0</v>
      </c>
      <c r="G208" s="20">
        <v>1.6999999999999999E-3</v>
      </c>
      <c r="H208" s="38">
        <f t="shared" si="21"/>
        <v>0.22605511411397886</v>
      </c>
      <c r="I208" s="32">
        <f t="shared" si="29"/>
        <v>114004.19347482956</v>
      </c>
      <c r="J208" s="47">
        <v>0</v>
      </c>
      <c r="K208" s="20">
        <v>4.1999999999999997E-3</v>
      </c>
      <c r="L208" s="38">
        <f t="shared" si="22"/>
        <v>0.23724522798418551</v>
      </c>
      <c r="M208" s="32">
        <f t="shared" si="26"/>
        <v>119647.59557906678</v>
      </c>
      <c r="N208" s="47">
        <v>0</v>
      </c>
      <c r="O208" s="19">
        <v>9.5999999999999992E-3</v>
      </c>
      <c r="P208" s="38">
        <f t="shared" si="24"/>
        <v>0.1454585763468251</v>
      </c>
      <c r="Q208" s="31">
        <f t="shared" si="27"/>
        <v>73357.719622549601</v>
      </c>
      <c r="R208" s="47">
        <v>0</v>
      </c>
      <c r="S208" s="37">
        <f t="shared" si="23"/>
        <v>504320.34648571454</v>
      </c>
      <c r="T208" s="40">
        <f t="shared" si="28"/>
        <v>-9.4589012693208074E-3</v>
      </c>
    </row>
    <row r="209" spans="2:20" x14ac:dyDescent="0.35">
      <c r="B209" s="10" t="s">
        <v>202</v>
      </c>
      <c r="C209" s="17">
        <v>-3.5999999999999999E-3</v>
      </c>
      <c r="D209" s="38">
        <f t="shared" si="20"/>
        <v>0.38891553884411456</v>
      </c>
      <c r="E209" s="32">
        <f t="shared" si="25"/>
        <v>196600.51879315526</v>
      </c>
      <c r="F209" s="47">
        <v>0</v>
      </c>
      <c r="G209" s="20">
        <v>2.2100000000000002E-2</v>
      </c>
      <c r="H209" s="38">
        <f t="shared" si="21"/>
        <v>0.23050738861503914</v>
      </c>
      <c r="I209" s="32">
        <f t="shared" si="29"/>
        <v>116523.6861506233</v>
      </c>
      <c r="J209" s="47">
        <v>0</v>
      </c>
      <c r="K209" s="15">
        <v>-2.3E-3</v>
      </c>
      <c r="L209" s="38">
        <f t="shared" si="22"/>
        <v>0.23614273212542464</v>
      </c>
      <c r="M209" s="32">
        <f t="shared" si="26"/>
        <v>119372.40610923493</v>
      </c>
      <c r="N209" s="47">
        <v>0</v>
      </c>
      <c r="O209" s="17">
        <v>-4.7000000000000002E-3</v>
      </c>
      <c r="P209" s="38">
        <f t="shared" si="24"/>
        <v>0.14443434041542155</v>
      </c>
      <c r="Q209" s="31">
        <f t="shared" si="27"/>
        <v>73012.938340323613</v>
      </c>
      <c r="R209" s="47">
        <v>0</v>
      </c>
      <c r="S209" s="37">
        <f t="shared" si="23"/>
        <v>505509.54939333716</v>
      </c>
      <c r="T209" s="40">
        <f t="shared" si="28"/>
        <v>2.3580307951274193E-3</v>
      </c>
    </row>
    <row r="210" spans="2:20" x14ac:dyDescent="0.35">
      <c r="B210" s="11" t="s">
        <v>203</v>
      </c>
      <c r="C210" s="19">
        <v>0.1447</v>
      </c>
      <c r="D210" s="38">
        <f t="shared" si="20"/>
        <v>0.43005155516394022</v>
      </c>
      <c r="E210" s="32">
        <f t="shared" si="25"/>
        <v>225048.61386252483</v>
      </c>
      <c r="F210" s="47">
        <v>0</v>
      </c>
      <c r="G210" s="15">
        <v>-0.12509999999999999</v>
      </c>
      <c r="H210" s="38">
        <f t="shared" si="21"/>
        <v>0.19481249635571743</v>
      </c>
      <c r="I210" s="32">
        <f t="shared" si="29"/>
        <v>101946.57301318033</v>
      </c>
      <c r="J210" s="47">
        <v>0</v>
      </c>
      <c r="K210" s="20">
        <v>2.4199999999999999E-2</v>
      </c>
      <c r="L210" s="38">
        <f t="shared" si="22"/>
        <v>0.23363230805863688</v>
      </c>
      <c r="M210" s="32">
        <f t="shared" si="26"/>
        <v>122261.21833707842</v>
      </c>
      <c r="N210" s="47">
        <v>0</v>
      </c>
      <c r="O210" s="19">
        <v>1.4200000000000001E-2</v>
      </c>
      <c r="P210" s="38">
        <f t="shared" si="24"/>
        <v>0.14150364042170543</v>
      </c>
      <c r="Q210" s="31">
        <f t="shared" si="27"/>
        <v>74049.722064756206</v>
      </c>
      <c r="R210" s="47">
        <v>0</v>
      </c>
      <c r="S210" s="37">
        <f t="shared" si="23"/>
        <v>523306.12727753981</v>
      </c>
      <c r="T210" s="40">
        <f t="shared" si="28"/>
        <v>3.5205225906336235E-2</v>
      </c>
    </row>
    <row r="211" spans="2:20" x14ac:dyDescent="0.35">
      <c r="B211" s="10" t="s">
        <v>204</v>
      </c>
      <c r="C211" s="19">
        <v>8.43E-2</v>
      </c>
      <c r="D211" s="38">
        <f t="shared" si="20"/>
        <v>0.44686577423051221</v>
      </c>
      <c r="E211" s="32">
        <f t="shared" si="25"/>
        <v>244020.21201113568</v>
      </c>
      <c r="F211" s="47">
        <v>0</v>
      </c>
      <c r="G211" s="20">
        <v>3.8899999999999997E-2</v>
      </c>
      <c r="H211" s="38">
        <f t="shared" si="21"/>
        <v>0.19395352205907479</v>
      </c>
      <c r="I211" s="32">
        <f t="shared" si="29"/>
        <v>105912.29470339304</v>
      </c>
      <c r="J211" s="47">
        <v>0</v>
      </c>
      <c r="K211" s="20">
        <v>8.6999999999999994E-3</v>
      </c>
      <c r="L211" s="38">
        <f t="shared" si="22"/>
        <v>0.22584060728447883</v>
      </c>
      <c r="M211" s="32">
        <f t="shared" si="26"/>
        <v>123324.890936611</v>
      </c>
      <c r="N211" s="47">
        <v>0</v>
      </c>
      <c r="O211" s="17">
        <v>-1.67E-2</v>
      </c>
      <c r="P211" s="38">
        <f t="shared" si="24"/>
        <v>0.13334009642593431</v>
      </c>
      <c r="Q211" s="31">
        <f t="shared" si="27"/>
        <v>72813.091706274776</v>
      </c>
      <c r="R211" s="47">
        <v>0</v>
      </c>
      <c r="S211" s="37">
        <f t="shared" si="23"/>
        <v>546070.48935741442</v>
      </c>
      <c r="T211" s="40">
        <f t="shared" si="28"/>
        <v>4.3501042493625075E-2</v>
      </c>
    </row>
    <row r="212" spans="2:20" x14ac:dyDescent="0.35">
      <c r="B212" s="9" t="s">
        <v>205</v>
      </c>
      <c r="C212" s="17">
        <v>-3.4099999999999998E-2</v>
      </c>
      <c r="D212" s="38">
        <f t="shared" si="20"/>
        <v>0.38429633284129455</v>
      </c>
      <c r="E212" s="32">
        <f t="shared" si="25"/>
        <v>210979.80032255594</v>
      </c>
      <c r="F212" s="48">
        <v>-25592.01</v>
      </c>
      <c r="G212" s="20">
        <v>1.9E-2</v>
      </c>
      <c r="H212" s="38">
        <f t="shared" si="21"/>
        <v>0.25338929929916743</v>
      </c>
      <c r="I212" s="32">
        <f t="shared" si="29"/>
        <v>139111.45957275751</v>
      </c>
      <c r="J212" s="49">
        <v>30605.33</v>
      </c>
      <c r="K212" s="20">
        <v>3.56E-2</v>
      </c>
      <c r="L212" s="38">
        <f t="shared" si="22"/>
        <v>0.20601370847870651</v>
      </c>
      <c r="M212" s="32">
        <f t="shared" si="26"/>
        <v>113102.12292995435</v>
      </c>
      <c r="N212" s="48">
        <v>-14110.79</v>
      </c>
      <c r="O212" s="19">
        <v>4.7600000000000003E-2</v>
      </c>
      <c r="P212" s="38">
        <f t="shared" si="24"/>
        <v>0.15630065938083162</v>
      </c>
      <c r="Q212" s="31">
        <f t="shared" si="27"/>
        <v>85809.514919493449</v>
      </c>
      <c r="R212" s="49">
        <v>9097.48</v>
      </c>
      <c r="S212" s="37">
        <f t="shared" si="23"/>
        <v>549002.8977447612</v>
      </c>
      <c r="T212" s="40">
        <f t="shared" si="28"/>
        <v>5.3700180553566401E-3</v>
      </c>
    </row>
    <row r="213" spans="2:20" x14ac:dyDescent="0.35">
      <c r="B213" s="10" t="s">
        <v>206</v>
      </c>
      <c r="C213" s="17">
        <v>-5.1799999999999999E-2</v>
      </c>
      <c r="D213" s="38">
        <f t="shared" si="20"/>
        <v>0.36991872583719204</v>
      </c>
      <c r="E213" s="32">
        <f t="shared" si="25"/>
        <v>200051.04666584753</v>
      </c>
      <c r="F213" s="47">
        <v>0</v>
      </c>
      <c r="G213" s="15">
        <v>-4.6600000000000003E-2</v>
      </c>
      <c r="H213" s="38">
        <f t="shared" si="21"/>
        <v>0.24524690959455145</v>
      </c>
      <c r="I213" s="32">
        <f t="shared" si="29"/>
        <v>132628.86555666701</v>
      </c>
      <c r="J213" s="47">
        <v>0</v>
      </c>
      <c r="K213" s="20">
        <v>4.2700000000000002E-2</v>
      </c>
      <c r="L213" s="38">
        <f t="shared" si="22"/>
        <v>0.21806984697459758</v>
      </c>
      <c r="M213" s="32">
        <f t="shared" si="26"/>
        <v>117931.5835790634</v>
      </c>
      <c r="N213" s="47">
        <v>0</v>
      </c>
      <c r="O213" s="19">
        <v>5.0999999999999997E-2</v>
      </c>
      <c r="P213" s="38">
        <f t="shared" si="24"/>
        <v>0.16676451759365879</v>
      </c>
      <c r="Q213" s="31">
        <f t="shared" si="27"/>
        <v>90185.80018038761</v>
      </c>
      <c r="R213" s="47">
        <v>0</v>
      </c>
      <c r="S213" s="37">
        <f t="shared" si="23"/>
        <v>540797.29598196561</v>
      </c>
      <c r="T213" s="40">
        <f t="shared" si="28"/>
        <v>-1.4946372408056963E-2</v>
      </c>
    </row>
    <row r="214" spans="2:20" x14ac:dyDescent="0.35">
      <c r="B214" s="11" t="s">
        <v>207</v>
      </c>
      <c r="C214" s="19">
        <v>9.4399999999999998E-2</v>
      </c>
      <c r="D214" s="38">
        <f t="shared" si="20"/>
        <v>0.37613373664011107</v>
      </c>
      <c r="E214" s="32">
        <f t="shared" si="25"/>
        <v>218935.86547110355</v>
      </c>
      <c r="F214" s="47">
        <v>0</v>
      </c>
      <c r="G214" s="20">
        <v>2.86E-2</v>
      </c>
      <c r="H214" s="38">
        <f t="shared" si="21"/>
        <v>0.23437428003993377</v>
      </c>
      <c r="I214" s="32">
        <f t="shared" si="29"/>
        <v>136422.05111158767</v>
      </c>
      <c r="J214" s="47">
        <v>0</v>
      </c>
      <c r="K214" s="20">
        <v>8.7999999999999995E-2</v>
      </c>
      <c r="L214" s="38">
        <f t="shared" si="22"/>
        <v>0.22043695421572054</v>
      </c>
      <c r="M214" s="32">
        <f t="shared" si="26"/>
        <v>128309.56293402099</v>
      </c>
      <c r="N214" s="47">
        <v>0</v>
      </c>
      <c r="O214" s="19">
        <v>9.11E-2</v>
      </c>
      <c r="P214" s="38">
        <f t="shared" si="24"/>
        <v>0.16905502910423448</v>
      </c>
      <c r="Q214" s="31">
        <f t="shared" si="27"/>
        <v>98401.726576820918</v>
      </c>
      <c r="R214" s="47">
        <v>0</v>
      </c>
      <c r="S214" s="37">
        <f t="shared" si="23"/>
        <v>582069.2060935332</v>
      </c>
      <c r="T214" s="40">
        <f t="shared" si="28"/>
        <v>7.6316783419982048E-2</v>
      </c>
    </row>
    <row r="215" spans="2:20" x14ac:dyDescent="0.35">
      <c r="B215" s="10" t="s">
        <v>208</v>
      </c>
      <c r="C215" s="17">
        <v>-1.7100000000000001E-2</v>
      </c>
      <c r="D215" s="38">
        <f t="shared" si="20"/>
        <v>0.37830744888805645</v>
      </c>
      <c r="E215" s="32">
        <f t="shared" si="25"/>
        <v>215192.06217154767</v>
      </c>
      <c r="F215" s="47">
        <v>0</v>
      </c>
      <c r="G215" s="16">
        <v>-4.2200000000000001E-2</v>
      </c>
      <c r="H215" s="38">
        <f t="shared" si="21"/>
        <v>0.22970902203487822</v>
      </c>
      <c r="I215" s="32">
        <f t="shared" si="29"/>
        <v>130665.04055467868</v>
      </c>
      <c r="J215" s="47">
        <v>0</v>
      </c>
      <c r="K215" s="16">
        <v>-2.7E-2</v>
      </c>
      <c r="L215" s="38">
        <f t="shared" si="22"/>
        <v>0.21947775597540076</v>
      </c>
      <c r="M215" s="32">
        <f t="shared" si="26"/>
        <v>124845.20473480242</v>
      </c>
      <c r="N215" s="47">
        <v>0</v>
      </c>
      <c r="O215" s="17">
        <v>-2.8E-3</v>
      </c>
      <c r="P215" s="38">
        <f t="shared" si="24"/>
        <v>0.17250577310166459</v>
      </c>
      <c r="Q215" s="31">
        <f t="shared" si="27"/>
        <v>98126.201742405814</v>
      </c>
      <c r="R215" s="47">
        <v>0</v>
      </c>
      <c r="S215" s="37">
        <f t="shared" si="23"/>
        <v>568828.50920343457</v>
      </c>
      <c r="T215" s="40">
        <f t="shared" si="28"/>
        <v>-2.2747633359547548E-2</v>
      </c>
    </row>
    <row r="216" spans="2:20" x14ac:dyDescent="0.35">
      <c r="B216" s="11" t="s">
        <v>209</v>
      </c>
      <c r="C216" s="19">
        <v>7.4200000000000002E-2</v>
      </c>
      <c r="D216" s="38">
        <f t="shared" si="20"/>
        <v>0.39213974021587</v>
      </c>
      <c r="E216" s="32">
        <f t="shared" si="25"/>
        <v>231159.31318467652</v>
      </c>
      <c r="F216" s="47">
        <v>0</v>
      </c>
      <c r="G216" s="18">
        <v>5.6000000000000001E-2</v>
      </c>
      <c r="H216" s="38">
        <f t="shared" si="21"/>
        <v>0.23407379004648074</v>
      </c>
      <c r="I216" s="32">
        <f t="shared" si="29"/>
        <v>137982.28282574069</v>
      </c>
      <c r="J216" s="47">
        <v>0</v>
      </c>
      <c r="K216" s="16">
        <v>-1.29E-2</v>
      </c>
      <c r="L216" s="38">
        <f t="shared" si="22"/>
        <v>0.20905592425746336</v>
      </c>
      <c r="M216" s="32">
        <f t="shared" si="26"/>
        <v>123234.70159372347</v>
      </c>
      <c r="N216" s="47">
        <v>0</v>
      </c>
      <c r="O216" s="17">
        <v>-1.04E-2</v>
      </c>
      <c r="P216" s="38">
        <f t="shared" si="24"/>
        <v>0.16473054548018568</v>
      </c>
      <c r="Q216" s="31">
        <f t="shared" si="27"/>
        <v>97105.689244284789</v>
      </c>
      <c r="R216" s="47">
        <v>0</v>
      </c>
      <c r="S216" s="37">
        <f t="shared" si="23"/>
        <v>589481.98684842559</v>
      </c>
      <c r="T216" s="40">
        <f t="shared" si="28"/>
        <v>3.6308794849107207E-2</v>
      </c>
    </row>
    <row r="217" spans="2:20" x14ac:dyDescent="0.35">
      <c r="B217" s="10" t="s">
        <v>210</v>
      </c>
      <c r="C217" s="17">
        <v>-1.47E-2</v>
      </c>
      <c r="D217" s="38">
        <f t="shared" si="20"/>
        <v>0.40535605568422794</v>
      </c>
      <c r="E217" s="32">
        <f t="shared" si="25"/>
        <v>227761.27128086178</v>
      </c>
      <c r="F217" s="47">
        <v>0</v>
      </c>
      <c r="G217" s="17">
        <v>-0.1202</v>
      </c>
      <c r="H217" s="38">
        <f t="shared" si="21"/>
        <v>0.21605487527603595</v>
      </c>
      <c r="I217" s="32">
        <f t="shared" si="29"/>
        <v>121396.81243008666</v>
      </c>
      <c r="J217" s="47">
        <v>0</v>
      </c>
      <c r="K217" s="16">
        <v>-3.3300000000000003E-2</v>
      </c>
      <c r="L217" s="38">
        <f t="shared" si="22"/>
        <v>0.21202229130346392</v>
      </c>
      <c r="M217" s="32">
        <f t="shared" si="26"/>
        <v>119130.98603065248</v>
      </c>
      <c r="N217" s="47">
        <v>0</v>
      </c>
      <c r="O217" s="17">
        <v>-3.6200000000000003E-2</v>
      </c>
      <c r="P217" s="38">
        <f t="shared" si="24"/>
        <v>0.16656677773627221</v>
      </c>
      <c r="Q217" s="31">
        <f t="shared" si="27"/>
        <v>93590.463293641675</v>
      </c>
      <c r="R217" s="47">
        <v>0</v>
      </c>
      <c r="S217" s="37">
        <f t="shared" si="23"/>
        <v>561879.53303524258</v>
      </c>
      <c r="T217" s="40">
        <f t="shared" si="28"/>
        <v>-4.6824931768916778E-2</v>
      </c>
    </row>
    <row r="218" spans="2:20" x14ac:dyDescent="0.35">
      <c r="B218" s="11" t="s">
        <v>211</v>
      </c>
      <c r="C218" s="17">
        <v>-5.3999999999999999E-2</v>
      </c>
      <c r="D218" s="38">
        <f t="shared" si="20"/>
        <v>0.37919362469329687</v>
      </c>
      <c r="E218" s="32">
        <f t="shared" si="25"/>
        <v>215462.16263169525</v>
      </c>
      <c r="F218" s="47">
        <v>0</v>
      </c>
      <c r="G218" s="18">
        <v>5.0999999999999997E-2</v>
      </c>
      <c r="H218" s="38">
        <f t="shared" si="21"/>
        <v>0.22454325392708327</v>
      </c>
      <c r="I218" s="32">
        <f t="shared" si="29"/>
        <v>127588.04986402109</v>
      </c>
      <c r="J218" s="47">
        <v>0</v>
      </c>
      <c r="K218" s="20">
        <v>4.8800000000000003E-2</v>
      </c>
      <c r="L218" s="38">
        <f t="shared" si="22"/>
        <v>0.21989098640516991</v>
      </c>
      <c r="M218" s="32">
        <f t="shared" si="26"/>
        <v>124944.57814894832</v>
      </c>
      <c r="N218" s="47">
        <v>0</v>
      </c>
      <c r="O218" s="19">
        <v>7.0800000000000002E-2</v>
      </c>
      <c r="P218" s="38">
        <f t="shared" si="24"/>
        <v>0.17637213497444992</v>
      </c>
      <c r="Q218" s="31">
        <f t="shared" si="27"/>
        <v>100216.6680948315</v>
      </c>
      <c r="R218" s="47">
        <v>0</v>
      </c>
      <c r="S218" s="37">
        <f t="shared" si="23"/>
        <v>568211.45873949619</v>
      </c>
      <c r="T218" s="40">
        <f t="shared" si="28"/>
        <v>1.1269187311466755E-2</v>
      </c>
    </row>
    <row r="219" spans="2:20" x14ac:dyDescent="0.35">
      <c r="B219" s="10" t="s">
        <v>212</v>
      </c>
      <c r="C219" s="17">
        <v>-7.0000000000000001E-3</v>
      </c>
      <c r="D219" s="38">
        <f t="shared" si="20"/>
        <v>0.36908917614806031</v>
      </c>
      <c r="E219" s="32">
        <f t="shared" si="25"/>
        <v>213953.92749327337</v>
      </c>
      <c r="F219" s="47">
        <v>0</v>
      </c>
      <c r="G219" s="18">
        <v>1.9800000000000002E-2</v>
      </c>
      <c r="H219" s="38">
        <f t="shared" si="21"/>
        <v>0.22445849844345522</v>
      </c>
      <c r="I219" s="32">
        <f t="shared" si="29"/>
        <v>130114.29325132871</v>
      </c>
      <c r="J219" s="47">
        <v>0</v>
      </c>
      <c r="K219" s="20">
        <v>4.9799999999999997E-2</v>
      </c>
      <c r="L219" s="38">
        <f t="shared" si="22"/>
        <v>0.2262741956305514</v>
      </c>
      <c r="M219" s="32">
        <f t="shared" si="26"/>
        <v>131166.81814076594</v>
      </c>
      <c r="N219" s="47">
        <v>0</v>
      </c>
      <c r="O219" s="19">
        <v>4.2200000000000001E-2</v>
      </c>
      <c r="P219" s="38">
        <f t="shared" si="24"/>
        <v>0.18017812977793307</v>
      </c>
      <c r="Q219" s="31">
        <f t="shared" si="27"/>
        <v>104445.81148843339</v>
      </c>
      <c r="R219" s="47">
        <v>0</v>
      </c>
      <c r="S219" s="37">
        <f t="shared" si="23"/>
        <v>579680.85037380143</v>
      </c>
      <c r="T219" s="40">
        <f t="shared" si="28"/>
        <v>2.0185076273802283E-2</v>
      </c>
    </row>
    <row r="220" spans="2:20" x14ac:dyDescent="0.35">
      <c r="B220" s="11" t="s">
        <v>213</v>
      </c>
      <c r="C220" s="17">
        <v>-7.7899999999999997E-2</v>
      </c>
      <c r="D220" s="38">
        <f t="shared" si="20"/>
        <v>0.35122697073879378</v>
      </c>
      <c r="E220" s="32">
        <f t="shared" si="25"/>
        <v>197286.91654154737</v>
      </c>
      <c r="F220" s="47">
        <v>0</v>
      </c>
      <c r="G220" s="18">
        <v>1.18E-2</v>
      </c>
      <c r="H220" s="38">
        <f t="shared" si="21"/>
        <v>0.2343739044537895</v>
      </c>
      <c r="I220" s="32">
        <f t="shared" si="29"/>
        <v>131649.6419116944</v>
      </c>
      <c r="J220" s="47">
        <v>0</v>
      </c>
      <c r="K220" s="16">
        <v>-5.1000000000000004E-3</v>
      </c>
      <c r="L220" s="38">
        <f t="shared" si="22"/>
        <v>0.23232341732083495</v>
      </c>
      <c r="M220" s="32">
        <f t="shared" si="26"/>
        <v>130497.86736824804</v>
      </c>
      <c r="N220" s="47">
        <v>0</v>
      </c>
      <c r="O220" s="17">
        <v>-2.0799999999999999E-2</v>
      </c>
      <c r="P220" s="38">
        <f t="shared" si="24"/>
        <v>0.18207570748658183</v>
      </c>
      <c r="Q220" s="31">
        <f t="shared" si="27"/>
        <v>102273.33860947398</v>
      </c>
      <c r="R220" s="47">
        <v>0</v>
      </c>
      <c r="S220" s="37">
        <f t="shared" si="23"/>
        <v>561707.76443096378</v>
      </c>
      <c r="T220" s="40">
        <f t="shared" si="28"/>
        <v>-3.100514003739796E-2</v>
      </c>
    </row>
    <row r="221" spans="2:20" x14ac:dyDescent="0.35">
      <c r="B221" s="10" t="s">
        <v>214</v>
      </c>
      <c r="C221" s="17">
        <v>-4.8599999999999997E-2</v>
      </c>
      <c r="D221" s="38">
        <f t="shared" si="20"/>
        <v>0.31990716438721234</v>
      </c>
      <c r="E221" s="32">
        <f t="shared" si="25"/>
        <v>187698.77239762817</v>
      </c>
      <c r="F221" s="47">
        <v>0</v>
      </c>
      <c r="G221" s="18">
        <v>5.8299999999999998E-2</v>
      </c>
      <c r="H221" s="38">
        <f t="shared" si="21"/>
        <v>0.23746030012467381</v>
      </c>
      <c r="I221" s="32">
        <f t="shared" si="29"/>
        <v>139324.81603514618</v>
      </c>
      <c r="J221" s="47">
        <v>0</v>
      </c>
      <c r="K221" s="20">
        <v>0.1147</v>
      </c>
      <c r="L221" s="38">
        <f t="shared" si="22"/>
        <v>0.24792707093693858</v>
      </c>
      <c r="M221" s="32">
        <f t="shared" si="26"/>
        <v>145465.97275538609</v>
      </c>
      <c r="N221" s="47">
        <v>0</v>
      </c>
      <c r="O221" s="19">
        <v>0.11700000000000001</v>
      </c>
      <c r="P221" s="38">
        <f t="shared" si="24"/>
        <v>0.19470546455117532</v>
      </c>
      <c r="Q221" s="31">
        <f t="shared" si="27"/>
        <v>114239.31922678243</v>
      </c>
      <c r="R221" s="47">
        <v>0</v>
      </c>
      <c r="S221" s="37">
        <f t="shared" si="23"/>
        <v>586728.88041494286</v>
      </c>
      <c r="T221" s="40">
        <f t="shared" si="28"/>
        <v>4.4544721594380388E-2</v>
      </c>
    </row>
    <row r="222" spans="2:20" x14ac:dyDescent="0.35">
      <c r="B222" s="11" t="s">
        <v>215</v>
      </c>
      <c r="C222" s="17">
        <v>-1.9400000000000001E-2</v>
      </c>
      <c r="D222" s="38">
        <f t="shared" si="20"/>
        <v>0.31980708204132219</v>
      </c>
      <c r="E222" s="32">
        <f t="shared" si="25"/>
        <v>184057.41621311419</v>
      </c>
      <c r="F222" s="47">
        <v>0</v>
      </c>
      <c r="G222" s="17">
        <v>-1.3100000000000001E-2</v>
      </c>
      <c r="H222" s="38">
        <f t="shared" si="21"/>
        <v>0.23891113030514172</v>
      </c>
      <c r="I222" s="32">
        <f t="shared" si="29"/>
        <v>137499.66094508578</v>
      </c>
      <c r="J222" s="47">
        <v>0</v>
      </c>
      <c r="K222" s="16">
        <v>-1.6500000000000001E-2</v>
      </c>
      <c r="L222" s="38">
        <f t="shared" si="22"/>
        <v>0.24858249087639692</v>
      </c>
      <c r="M222" s="32">
        <f t="shared" si="26"/>
        <v>143065.78420492221</v>
      </c>
      <c r="N222" s="47">
        <v>0</v>
      </c>
      <c r="O222" s="17">
        <v>-2.92E-2</v>
      </c>
      <c r="P222" s="38">
        <f t="shared" si="24"/>
        <v>0.19269929677713915</v>
      </c>
      <c r="Q222" s="31">
        <f t="shared" si="27"/>
        <v>110903.53110536039</v>
      </c>
      <c r="R222" s="47">
        <v>0</v>
      </c>
      <c r="S222" s="37">
        <f t="shared" si="23"/>
        <v>575526.39246848261</v>
      </c>
      <c r="T222" s="40">
        <f t="shared" si="28"/>
        <v>-1.9093125156098845E-2</v>
      </c>
    </row>
    <row r="223" spans="2:20" x14ac:dyDescent="0.35">
      <c r="B223" s="10" t="s">
        <v>216</v>
      </c>
      <c r="C223" s="17">
        <v>-3.6600000000000001E-2</v>
      </c>
      <c r="D223" s="38">
        <f t="shared" ref="D223:D276" si="30">E223/S223</f>
        <v>0.30215296511237849</v>
      </c>
      <c r="E223" s="32">
        <f t="shared" si="25"/>
        <v>177320.91477971422</v>
      </c>
      <c r="F223" s="47">
        <v>0</v>
      </c>
      <c r="G223" s="18">
        <v>2.5899999999999999E-2</v>
      </c>
      <c r="H223" s="38">
        <f t="shared" ref="H223:H276" si="31">I223/S223</f>
        <v>0.24036628675809116</v>
      </c>
      <c r="I223" s="32">
        <f t="shared" si="29"/>
        <v>141060.9021635635</v>
      </c>
      <c r="J223" s="47">
        <v>0</v>
      </c>
      <c r="K223" s="20">
        <v>3.8300000000000001E-2</v>
      </c>
      <c r="L223" s="38">
        <f t="shared" ref="L223:L276" si="32">M223/S223</f>
        <v>0.25311945756096027</v>
      </c>
      <c r="M223" s="32">
        <f t="shared" si="26"/>
        <v>148545.20373997072</v>
      </c>
      <c r="N223" s="47">
        <v>0</v>
      </c>
      <c r="O223" s="19">
        <v>8.14E-2</v>
      </c>
      <c r="P223" s="38">
        <f t="shared" si="24"/>
        <v>0.20436129056857005</v>
      </c>
      <c r="Q223" s="31">
        <f t="shared" si="27"/>
        <v>119931.07853733673</v>
      </c>
      <c r="R223" s="47">
        <v>0</v>
      </c>
      <c r="S223" s="37">
        <f t="shared" ref="S223:S276" si="33">Q223+E223+M223+I223</f>
        <v>586858.09922058519</v>
      </c>
      <c r="T223" s="40">
        <f t="shared" si="28"/>
        <v>1.9689291230415851E-2</v>
      </c>
    </row>
    <row r="224" spans="2:20" x14ac:dyDescent="0.35">
      <c r="B224" s="9" t="s">
        <v>217</v>
      </c>
      <c r="C224" s="19">
        <v>8.5199999999999998E-2</v>
      </c>
      <c r="D224" s="38">
        <f t="shared" si="30"/>
        <v>0.44046676973643528</v>
      </c>
      <c r="E224" s="32">
        <f t="shared" si="25"/>
        <v>254743.36923494586</v>
      </c>
      <c r="F224" s="49">
        <v>57422.33</v>
      </c>
      <c r="G224" s="17">
        <v>-5.3800000000000001E-2</v>
      </c>
      <c r="H224" s="38">
        <f t="shared" si="31"/>
        <v>0.24003044910385213</v>
      </c>
      <c r="I224" s="32">
        <f t="shared" si="29"/>
        <v>138821.29033316378</v>
      </c>
      <c r="J224" s="49">
        <v>5653.63</v>
      </c>
      <c r="K224" s="16">
        <v>-8.7300000000000003E-2</v>
      </c>
      <c r="L224" s="38">
        <f t="shared" si="32"/>
        <v>0.18522577652173342</v>
      </c>
      <c r="M224" s="32">
        <f t="shared" si="26"/>
        <v>107125.08098747129</v>
      </c>
      <c r="N224" s="48">
        <v>-31173.58</v>
      </c>
      <c r="O224" s="17">
        <v>-0.1178</v>
      </c>
      <c r="P224" s="38">
        <f t="shared" ref="P224:P276" si="34">Q224/S224</f>
        <v>0.13427700463797926</v>
      </c>
      <c r="Q224" s="31">
        <f t="shared" si="27"/>
        <v>77658.926671638459</v>
      </c>
      <c r="R224" s="48">
        <v>-31902.37</v>
      </c>
      <c r="S224" s="37">
        <f t="shared" si="33"/>
        <v>578348.66722721932</v>
      </c>
      <c r="T224" s="40">
        <f t="shared" si="28"/>
        <v>-1.4499982201263584E-2</v>
      </c>
    </row>
    <row r="225" spans="2:20" x14ac:dyDescent="0.35">
      <c r="B225" s="10" t="s">
        <v>218</v>
      </c>
      <c r="C225" s="19">
        <v>5.0000000000000001E-4</v>
      </c>
      <c r="D225" s="38">
        <f t="shared" si="30"/>
        <v>0.44821169483190532</v>
      </c>
      <c r="E225" s="32">
        <f t="shared" ref="E225:E276" si="35">((E224+F225)*C225)+E224+F225</f>
        <v>254870.74091956334</v>
      </c>
      <c r="F225" s="47">
        <v>0</v>
      </c>
      <c r="G225" s="18">
        <v>2.1899999999999999E-2</v>
      </c>
      <c r="H225" s="38">
        <f t="shared" si="31"/>
        <v>0.24947537181006565</v>
      </c>
      <c r="I225" s="32">
        <f t="shared" si="29"/>
        <v>141861.47659146006</v>
      </c>
      <c r="J225" s="47">
        <v>0</v>
      </c>
      <c r="K225" s="16">
        <v>-6.83E-2</v>
      </c>
      <c r="L225" s="38">
        <f t="shared" si="32"/>
        <v>0.17552155643049785</v>
      </c>
      <c r="M225" s="32">
        <f t="shared" ref="M225:M276" si="36">((M224+N225)*K225)+M224+N225</f>
        <v>99808.437956027003</v>
      </c>
      <c r="N225" s="47">
        <v>0</v>
      </c>
      <c r="O225" s="17">
        <v>-7.1599999999999997E-2</v>
      </c>
      <c r="P225" s="38">
        <f t="shared" si="34"/>
        <v>0.12679137692753117</v>
      </c>
      <c r="Q225" s="31">
        <f t="shared" ref="Q225:Q276" si="37">((Q224+R225)*O225)+Q224+R225</f>
        <v>72098.547521949149</v>
      </c>
      <c r="R225" s="47">
        <v>0</v>
      </c>
      <c r="S225" s="37">
        <f t="shared" si="33"/>
        <v>568639.20298899955</v>
      </c>
      <c r="T225" s="40">
        <f t="shared" ref="T225:T276" si="38">S225/S224-1</f>
        <v>-1.6788253848270984E-2</v>
      </c>
    </row>
    <row r="226" spans="2:20" x14ac:dyDescent="0.35">
      <c r="B226" s="11" t="s">
        <v>219</v>
      </c>
      <c r="C226" s="19">
        <v>6.2300000000000001E-2</v>
      </c>
      <c r="D226" s="38">
        <f t="shared" si="30"/>
        <v>0.47526337243286559</v>
      </c>
      <c r="E226" s="32">
        <f t="shared" si="35"/>
        <v>270749.18807885214</v>
      </c>
      <c r="F226" s="47">
        <v>0</v>
      </c>
      <c r="G226" s="17">
        <v>-6.25E-2</v>
      </c>
      <c r="H226" s="38">
        <f t="shared" si="31"/>
        <v>0.2334548683053011</v>
      </c>
      <c r="I226" s="32">
        <f t="shared" ref="I226:I276" si="39">((I225+J226)*G226)+I225+J226</f>
        <v>132995.13430449381</v>
      </c>
      <c r="J226" s="47">
        <v>0</v>
      </c>
      <c r="K226" s="16">
        <v>-4.2900000000000001E-2</v>
      </c>
      <c r="L226" s="38">
        <f t="shared" si="32"/>
        <v>0.16768405103851086</v>
      </c>
      <c r="M226" s="32">
        <f t="shared" si="36"/>
        <v>95526.65596771345</v>
      </c>
      <c r="N226" s="47">
        <v>0</v>
      </c>
      <c r="O226" s="17">
        <v>-2.3400000000000001E-2</v>
      </c>
      <c r="P226" s="38">
        <f t="shared" si="34"/>
        <v>0.12359770822332247</v>
      </c>
      <c r="Q226" s="31">
        <f t="shared" si="37"/>
        <v>70411.441509935539</v>
      </c>
      <c r="R226" s="47">
        <v>0</v>
      </c>
      <c r="S226" s="37">
        <f t="shared" si="33"/>
        <v>569682.41986099491</v>
      </c>
      <c r="T226" s="40">
        <f t="shared" si="38"/>
        <v>1.8345848589260694E-3</v>
      </c>
    </row>
    <row r="227" spans="2:20" x14ac:dyDescent="0.35">
      <c r="B227" s="10" t="s">
        <v>220</v>
      </c>
      <c r="C227" s="17">
        <v>-0.1028</v>
      </c>
      <c r="D227" s="38">
        <f t="shared" si="30"/>
        <v>0.45167275788396688</v>
      </c>
      <c r="E227" s="32">
        <f t="shared" si="35"/>
        <v>242916.17154434614</v>
      </c>
      <c r="F227" s="47">
        <v>0</v>
      </c>
      <c r="G227" s="18">
        <v>1.35E-2</v>
      </c>
      <c r="H227" s="38">
        <f t="shared" si="31"/>
        <v>0.25062649175313212</v>
      </c>
      <c r="I227" s="32">
        <f t="shared" si="39"/>
        <v>134790.56861760447</v>
      </c>
      <c r="J227" s="47">
        <v>0</v>
      </c>
      <c r="K227" s="16">
        <v>-5.5800000000000002E-2</v>
      </c>
      <c r="L227" s="38">
        <f t="shared" si="32"/>
        <v>0.1677088730423637</v>
      </c>
      <c r="M227" s="32">
        <f t="shared" si="36"/>
        <v>90196.268564715036</v>
      </c>
      <c r="N227" s="47">
        <v>0</v>
      </c>
      <c r="O227" s="17">
        <v>-7.1000000000000004E-3</v>
      </c>
      <c r="P227" s="38">
        <f t="shared" si="34"/>
        <v>0.12999187732053724</v>
      </c>
      <c r="Q227" s="31">
        <f t="shared" si="37"/>
        <v>69911.520275214993</v>
      </c>
      <c r="R227" s="47">
        <v>0</v>
      </c>
      <c r="S227" s="37">
        <f t="shared" si="33"/>
        <v>537814.52900188067</v>
      </c>
      <c r="T227" s="40">
        <f t="shared" si="38"/>
        <v>-5.5939747740311407E-2</v>
      </c>
    </row>
    <row r="228" spans="2:20" x14ac:dyDescent="0.35">
      <c r="B228" s="11" t="s">
        <v>221</v>
      </c>
      <c r="C228" s="19">
        <v>3.5400000000000001E-2</v>
      </c>
      <c r="D228" s="38">
        <f t="shared" si="30"/>
        <v>0.47619183152087163</v>
      </c>
      <c r="E228" s="32">
        <f t="shared" si="35"/>
        <v>251515.404017016</v>
      </c>
      <c r="F228" s="47">
        <v>0</v>
      </c>
      <c r="G228" s="17">
        <v>-6.7400000000000002E-2</v>
      </c>
      <c r="H228" s="38">
        <f t="shared" si="31"/>
        <v>0.23799743109138805</v>
      </c>
      <c r="I228" s="32">
        <f t="shared" si="39"/>
        <v>125705.68429277792</v>
      </c>
      <c r="J228" s="47">
        <v>0</v>
      </c>
      <c r="K228" s="16">
        <v>-3.7400000000000003E-2</v>
      </c>
      <c r="L228" s="38">
        <f t="shared" si="32"/>
        <v>0.16438106175341305</v>
      </c>
      <c r="M228" s="32">
        <f t="shared" si="36"/>
        <v>86822.928120394688</v>
      </c>
      <c r="N228" s="47">
        <v>0</v>
      </c>
      <c r="O228" s="17">
        <v>-8.2600000000000007E-2</v>
      </c>
      <c r="P228" s="38">
        <f t="shared" si="34"/>
        <v>0.12142967563432733</v>
      </c>
      <c r="Q228" s="31">
        <f t="shared" si="37"/>
        <v>64136.828700482234</v>
      </c>
      <c r="R228" s="47">
        <v>0</v>
      </c>
      <c r="S228" s="37">
        <f t="shared" si="33"/>
        <v>528180.84513067082</v>
      </c>
      <c r="T228" s="40">
        <f t="shared" si="38"/>
        <v>-1.7912650833529553E-2</v>
      </c>
    </row>
    <row r="229" spans="2:20" x14ac:dyDescent="0.35">
      <c r="B229" s="10" t="s">
        <v>222</v>
      </c>
      <c r="C229" s="17">
        <v>-0.15290000000000001</v>
      </c>
      <c r="D229" s="38">
        <f t="shared" si="30"/>
        <v>0.42703175820995665</v>
      </c>
      <c r="E229" s="32">
        <f t="shared" si="35"/>
        <v>213058.69874281425</v>
      </c>
      <c r="F229" s="47">
        <v>0</v>
      </c>
      <c r="G229" s="18">
        <v>7.2800000000000004E-2</v>
      </c>
      <c r="H229" s="38">
        <f t="shared" si="31"/>
        <v>0.27029286751135562</v>
      </c>
      <c r="I229" s="32">
        <f t="shared" si="39"/>
        <v>134857.05810929215</v>
      </c>
      <c r="J229" s="47">
        <v>0</v>
      </c>
      <c r="K229" s="16">
        <v>-1.2999999999999999E-3</v>
      </c>
      <c r="L229" s="38">
        <f t="shared" si="32"/>
        <v>0.17379224070519211</v>
      </c>
      <c r="M229" s="32">
        <f t="shared" si="36"/>
        <v>86710.058313838177</v>
      </c>
      <c r="N229" s="47">
        <v>0</v>
      </c>
      <c r="O229" s="19">
        <v>2.5999999999999999E-3</v>
      </c>
      <c r="P229" s="38">
        <f t="shared" si="34"/>
        <v>0.12888313357349557</v>
      </c>
      <c r="Q229" s="31">
        <f t="shared" si="37"/>
        <v>64303.58445510349</v>
      </c>
      <c r="R229" s="47">
        <v>0</v>
      </c>
      <c r="S229" s="37">
        <f t="shared" si="33"/>
        <v>498929.39962104813</v>
      </c>
      <c r="T229" s="40">
        <f t="shared" si="38"/>
        <v>-5.5381496279718223E-2</v>
      </c>
    </row>
    <row r="230" spans="2:20" x14ac:dyDescent="0.35">
      <c r="B230" s="11" t="s">
        <v>223</v>
      </c>
      <c r="C230" s="19">
        <v>5.9799999999999999E-2</v>
      </c>
      <c r="D230" s="38">
        <f t="shared" si="30"/>
        <v>0.43250141417525501</v>
      </c>
      <c r="E230" s="32">
        <f t="shared" si="35"/>
        <v>225799.60892763454</v>
      </c>
      <c r="F230" s="47">
        <v>0</v>
      </c>
      <c r="G230" s="17">
        <v>-2.29E-2</v>
      </c>
      <c r="H230" s="38">
        <f t="shared" si="31"/>
        <v>0.25239284615845053</v>
      </c>
      <c r="I230" s="32">
        <f t="shared" si="39"/>
        <v>131768.83147858936</v>
      </c>
      <c r="J230" s="47">
        <v>0</v>
      </c>
      <c r="K230" s="20">
        <v>9.1499999999999998E-2</v>
      </c>
      <c r="L230" s="38">
        <f t="shared" si="32"/>
        <v>0.18128320252004623</v>
      </c>
      <c r="M230" s="32">
        <f t="shared" si="36"/>
        <v>94644.02864955437</v>
      </c>
      <c r="N230" s="47">
        <v>0</v>
      </c>
      <c r="O230" s="19">
        <v>8.6499999999999994E-2</v>
      </c>
      <c r="P230" s="38">
        <f t="shared" si="34"/>
        <v>0.13382253714624834</v>
      </c>
      <c r="Q230" s="31">
        <f t="shared" si="37"/>
        <v>69865.844510469935</v>
      </c>
      <c r="R230" s="47">
        <v>0</v>
      </c>
      <c r="S230" s="37">
        <f t="shared" si="33"/>
        <v>522078.31356624817</v>
      </c>
      <c r="T230" s="40">
        <f t="shared" si="38"/>
        <v>4.6397173553577531E-2</v>
      </c>
    </row>
    <row r="231" spans="2:20" x14ac:dyDescent="0.35">
      <c r="B231" s="10" t="s">
        <v>224</v>
      </c>
      <c r="C231" s="19">
        <v>3.9399999999999998E-2</v>
      </c>
      <c r="D231" s="38">
        <f t="shared" si="30"/>
        <v>0.45539844524847423</v>
      </c>
      <c r="E231" s="32">
        <f t="shared" si="35"/>
        <v>234696.11351938333</v>
      </c>
      <c r="F231" s="47">
        <v>0</v>
      </c>
      <c r="G231" s="17">
        <v>-4.2200000000000001E-2</v>
      </c>
      <c r="H231" s="38">
        <f t="shared" si="31"/>
        <v>0.2448911964498128</v>
      </c>
      <c r="I231" s="32">
        <f t="shared" si="39"/>
        <v>126208.18679019289</v>
      </c>
      <c r="J231" s="47">
        <v>0</v>
      </c>
      <c r="K231" s="16">
        <v>-5.3699999999999998E-2</v>
      </c>
      <c r="L231" s="38">
        <f t="shared" si="32"/>
        <v>0.17378316565004021</v>
      </c>
      <c r="M231" s="32">
        <f t="shared" si="36"/>
        <v>89561.644311073294</v>
      </c>
      <c r="N231" s="47">
        <v>0</v>
      </c>
      <c r="O231" s="17">
        <v>-7.1099999999999997E-2</v>
      </c>
      <c r="P231" s="38">
        <f t="shared" si="34"/>
        <v>0.12592719265167274</v>
      </c>
      <c r="Q231" s="31">
        <f t="shared" si="37"/>
        <v>64898.382965775527</v>
      </c>
      <c r="R231" s="47">
        <v>0</v>
      </c>
      <c r="S231" s="37">
        <f t="shared" si="33"/>
        <v>515364.32758642506</v>
      </c>
      <c r="T231" s="40">
        <f t="shared" si="38"/>
        <v>-1.286011275580623E-2</v>
      </c>
    </row>
    <row r="232" spans="2:20" x14ac:dyDescent="0.35">
      <c r="B232" s="11" t="s">
        <v>225</v>
      </c>
      <c r="C232" s="19">
        <v>2.2800000000000001E-2</v>
      </c>
      <c r="D232" s="38">
        <f t="shared" si="30"/>
        <v>0.41608448177462548</v>
      </c>
      <c r="E232" s="32">
        <f t="shared" si="35"/>
        <v>213691.44949162527</v>
      </c>
      <c r="F232" s="48">
        <v>-25768.22</v>
      </c>
      <c r="G232" s="18">
        <v>2.2599999999999999E-2</v>
      </c>
      <c r="H232" s="38">
        <f t="shared" si="31"/>
        <v>0.30260516350995109</v>
      </c>
      <c r="I232" s="32">
        <f t="shared" si="39"/>
        <v>155411.07358365125</v>
      </c>
      <c r="J232" s="49">
        <v>25768.22</v>
      </c>
      <c r="K232" s="16">
        <v>-4.4900000000000002E-2</v>
      </c>
      <c r="L232" s="38">
        <f t="shared" si="32"/>
        <v>0.16655791562818059</v>
      </c>
      <c r="M232" s="32">
        <f t="shared" si="36"/>
        <v>85540.326481506097</v>
      </c>
      <c r="N232" s="47">
        <v>0</v>
      </c>
      <c r="O232" s="17">
        <v>-9.1899999999999996E-2</v>
      </c>
      <c r="P232" s="38">
        <f t="shared" si="34"/>
        <v>0.11475243908724277</v>
      </c>
      <c r="Q232" s="31">
        <f t="shared" si="37"/>
        <v>58934.221571220754</v>
      </c>
      <c r="R232" s="47">
        <v>0</v>
      </c>
      <c r="S232" s="37">
        <f t="shared" si="33"/>
        <v>513577.07112800342</v>
      </c>
      <c r="T232" s="40">
        <f t="shared" si="38"/>
        <v>-3.4679475523495817E-3</v>
      </c>
    </row>
    <row r="233" spans="2:20" x14ac:dyDescent="0.35">
      <c r="B233" s="112" t="s">
        <v>226</v>
      </c>
      <c r="C233" s="19">
        <v>8.1900000000000001E-2</v>
      </c>
      <c r="D233" s="38">
        <f t="shared" si="30"/>
        <v>0.43489173161513439</v>
      </c>
      <c r="E233" s="32">
        <f t="shared" si="35"/>
        <v>231192.77920498938</v>
      </c>
      <c r="F233" s="47">
        <v>0</v>
      </c>
      <c r="G233" s="17">
        <v>-3.5299999999999998E-2</v>
      </c>
      <c r="H233" s="38">
        <f t="shared" si="31"/>
        <v>0.28202078952593657</v>
      </c>
      <c r="I233" s="32">
        <f t="shared" si="39"/>
        <v>149925.06268614836</v>
      </c>
      <c r="J233" s="47">
        <v>0</v>
      </c>
      <c r="K233" s="20">
        <v>5.96E-2</v>
      </c>
      <c r="L233" s="38">
        <f t="shared" si="32"/>
        <v>0.17049817633629979</v>
      </c>
      <c r="M233" s="32">
        <f t="shared" si="36"/>
        <v>90638.529939803862</v>
      </c>
      <c r="N233" s="47">
        <v>0</v>
      </c>
      <c r="O233" s="19">
        <v>1.5599999999999999E-2</v>
      </c>
      <c r="P233" s="38">
        <f t="shared" si="34"/>
        <v>0.11258930252262923</v>
      </c>
      <c r="Q233" s="31">
        <f t="shared" si="37"/>
        <v>59853.595427731801</v>
      </c>
      <c r="R233" s="47">
        <v>0</v>
      </c>
      <c r="S233" s="37">
        <f t="shared" si="33"/>
        <v>531609.96725867339</v>
      </c>
      <c r="T233" s="40">
        <f t="shared" si="38"/>
        <v>3.5112346606640976E-2</v>
      </c>
    </row>
    <row r="234" spans="2:20" x14ac:dyDescent="0.35">
      <c r="B234" s="11" t="s">
        <v>227</v>
      </c>
      <c r="C234" s="17">
        <v>-4.1200000000000001E-2</v>
      </c>
      <c r="D234" s="38">
        <f t="shared" si="30"/>
        <v>0.45913934724048583</v>
      </c>
      <c r="E234" s="32">
        <f t="shared" si="35"/>
        <v>247153.02010174381</v>
      </c>
      <c r="F234" s="49">
        <v>26580.5</v>
      </c>
      <c r="G234" s="18">
        <v>7.7399999999999997E-2</v>
      </c>
      <c r="H234" s="38">
        <f t="shared" si="31"/>
        <v>0.24687412374269488</v>
      </c>
      <c r="I234" s="32">
        <f t="shared" si="39"/>
        <v>132891.43183805625</v>
      </c>
      <c r="J234" s="48">
        <v>-26580.5</v>
      </c>
      <c r="K234" s="20">
        <v>4.8500000000000001E-2</v>
      </c>
      <c r="L234" s="38">
        <f t="shared" si="32"/>
        <v>0.17654681158174426</v>
      </c>
      <c r="M234" s="32">
        <f t="shared" si="36"/>
        <v>95034.498641884347</v>
      </c>
      <c r="N234" s="47">
        <v>0</v>
      </c>
      <c r="O234" s="19">
        <v>5.62E-2</v>
      </c>
      <c r="P234" s="38">
        <f t="shared" si="34"/>
        <v>0.11743971743507498</v>
      </c>
      <c r="Q234" s="31">
        <f t="shared" si="37"/>
        <v>63217.367490770332</v>
      </c>
      <c r="R234" s="47">
        <v>0</v>
      </c>
      <c r="S234" s="37">
        <f t="shared" si="33"/>
        <v>538296.31807245477</v>
      </c>
      <c r="T234" s="40">
        <f t="shared" si="38"/>
        <v>1.2577549755623529E-2</v>
      </c>
    </row>
    <row r="235" spans="2:20" x14ac:dyDescent="0.35">
      <c r="B235" s="10" t="s">
        <v>228</v>
      </c>
      <c r="C235" s="17">
        <v>-0.1087</v>
      </c>
      <c r="D235" s="38">
        <f t="shared" si="30"/>
        <v>0.43464402351755849</v>
      </c>
      <c r="E235" s="32">
        <f t="shared" si="35"/>
        <v>220287.48681668425</v>
      </c>
      <c r="F235" s="47">
        <v>0</v>
      </c>
      <c r="G235" s="18">
        <v>3.4200000000000001E-2</v>
      </c>
      <c r="H235" s="38">
        <f t="shared" si="31"/>
        <v>0.27117234595077477</v>
      </c>
      <c r="I235" s="32">
        <f t="shared" si="39"/>
        <v>137436.31880691778</v>
      </c>
      <c r="J235" s="47">
        <v>0</v>
      </c>
      <c r="K235" s="16">
        <v>-5.6000000000000001E-2</v>
      </c>
      <c r="L235" s="38">
        <f t="shared" si="32"/>
        <v>0.1770097408702157</v>
      </c>
      <c r="M235" s="32">
        <f t="shared" si="36"/>
        <v>89712.566717938826</v>
      </c>
      <c r="N235" s="47">
        <v>0</v>
      </c>
      <c r="O235" s="17">
        <v>-6.0600000000000001E-2</v>
      </c>
      <c r="P235" s="38">
        <f t="shared" si="34"/>
        <v>0.11717388966145101</v>
      </c>
      <c r="Q235" s="31">
        <f t="shared" si="37"/>
        <v>59386.395020829652</v>
      </c>
      <c r="R235" s="47">
        <v>0</v>
      </c>
      <c r="S235" s="37">
        <f t="shared" si="33"/>
        <v>506822.7673623705</v>
      </c>
      <c r="T235" s="40">
        <f t="shared" si="38"/>
        <v>-5.8468820338183902E-2</v>
      </c>
    </row>
    <row r="236" spans="2:20" x14ac:dyDescent="0.35">
      <c r="B236" s="9" t="s">
        <v>229</v>
      </c>
      <c r="C236" s="19">
        <v>4.99E-2</v>
      </c>
      <c r="D236" s="38">
        <f t="shared" si="30"/>
        <v>0.4031312921146622</v>
      </c>
      <c r="E236" s="32">
        <f t="shared" si="35"/>
        <v>212845.28924683679</v>
      </c>
      <c r="F236" s="48">
        <v>-17558.38</v>
      </c>
      <c r="G236" s="18">
        <v>2.3900000000000001E-2</v>
      </c>
      <c r="H236" s="38">
        <f t="shared" si="31"/>
        <v>0.2457175209392701</v>
      </c>
      <c r="I236" s="32">
        <f t="shared" si="39"/>
        <v>129733.95476940312</v>
      </c>
      <c r="J236" s="48">
        <v>-10730.63</v>
      </c>
      <c r="K236" s="20">
        <v>2.76E-2</v>
      </c>
      <c r="L236" s="38">
        <f t="shared" si="32"/>
        <v>0.19728435490742774</v>
      </c>
      <c r="M236" s="32">
        <f t="shared" si="36"/>
        <v>104162.20820735393</v>
      </c>
      <c r="N236" s="49">
        <v>11651.98</v>
      </c>
      <c r="O236" s="19">
        <v>6.8599999999999994E-2</v>
      </c>
      <c r="P236" s="38">
        <f t="shared" si="34"/>
        <v>0.15386683203863993</v>
      </c>
      <c r="Q236" s="31">
        <f t="shared" si="37"/>
        <v>81238.621291258562</v>
      </c>
      <c r="R236" s="49">
        <v>16637.02</v>
      </c>
      <c r="S236" s="37">
        <f t="shared" si="33"/>
        <v>527980.07351485244</v>
      </c>
      <c r="T236" s="40">
        <f t="shared" si="38"/>
        <v>4.1744979734414267E-2</v>
      </c>
    </row>
    <row r="237" spans="2:20" x14ac:dyDescent="0.35">
      <c r="B237" s="10" t="s">
        <v>230</v>
      </c>
      <c r="C237" s="17">
        <v>-8.6300000000000002E-2</v>
      </c>
      <c r="D237" s="38">
        <f t="shared" si="30"/>
        <v>0.38874483283618627</v>
      </c>
      <c r="E237" s="32">
        <f t="shared" si="35"/>
        <v>194476.74078483478</v>
      </c>
      <c r="F237" s="47">
        <v>0</v>
      </c>
      <c r="G237" s="17">
        <v>-3.6999999999999998E-2</v>
      </c>
      <c r="H237" s="38">
        <f t="shared" si="31"/>
        <v>0.24973355885793361</v>
      </c>
      <c r="I237" s="32">
        <f t="shared" si="39"/>
        <v>124933.79844293521</v>
      </c>
      <c r="J237" s="47">
        <v>0</v>
      </c>
      <c r="K237" s="16">
        <v>-0.01</v>
      </c>
      <c r="L237" s="38">
        <f t="shared" si="32"/>
        <v>0.20613053701673148</v>
      </c>
      <c r="M237" s="32">
        <f t="shared" si="36"/>
        <v>103120.5861252804</v>
      </c>
      <c r="N237" s="47">
        <v>0</v>
      </c>
      <c r="O237" s="17">
        <v>-4.3099999999999999E-2</v>
      </c>
      <c r="P237" s="38">
        <f t="shared" si="34"/>
        <v>0.15539107128914864</v>
      </c>
      <c r="Q237" s="31">
        <f t="shared" si="37"/>
        <v>77737.236713605322</v>
      </c>
      <c r="R237" s="47">
        <v>0</v>
      </c>
      <c r="S237" s="37">
        <f t="shared" si="33"/>
        <v>500268.36206665571</v>
      </c>
      <c r="T237" s="40">
        <f t="shared" si="38"/>
        <v>-5.2486282794187988E-2</v>
      </c>
    </row>
    <row r="238" spans="2:20" x14ac:dyDescent="0.35">
      <c r="B238" s="11" t="s">
        <v>231</v>
      </c>
      <c r="C238" s="17">
        <v>-1.66E-2</v>
      </c>
      <c r="D238" s="38">
        <f t="shared" si="30"/>
        <v>0.3814160796168149</v>
      </c>
      <c r="E238" s="32">
        <f t="shared" si="35"/>
        <v>191248.42688780653</v>
      </c>
      <c r="F238" s="47">
        <v>0</v>
      </c>
      <c r="G238" s="18">
        <v>5.5500000000000001E-2</v>
      </c>
      <c r="H238" s="38">
        <f t="shared" si="31"/>
        <v>0.26299004436679685</v>
      </c>
      <c r="I238" s="32">
        <f t="shared" si="39"/>
        <v>131867.62425651812</v>
      </c>
      <c r="J238" s="47">
        <v>0</v>
      </c>
      <c r="K238" s="20">
        <v>1.38E-2</v>
      </c>
      <c r="L238" s="38">
        <f t="shared" si="32"/>
        <v>0.20849650824461252</v>
      </c>
      <c r="M238" s="32">
        <f t="shared" si="36"/>
        <v>104543.65021380928</v>
      </c>
      <c r="N238" s="47">
        <v>0</v>
      </c>
      <c r="O238" s="17">
        <v>-5.1200000000000002E-2</v>
      </c>
      <c r="P238" s="38">
        <f t="shared" si="34"/>
        <v>0.14709736777177571</v>
      </c>
      <c r="Q238" s="31">
        <f t="shared" si="37"/>
        <v>73757.090193868731</v>
      </c>
      <c r="R238" s="47">
        <v>0</v>
      </c>
      <c r="S238" s="37">
        <f t="shared" si="33"/>
        <v>501416.79155200266</v>
      </c>
      <c r="T238" s="40">
        <f t="shared" si="38"/>
        <v>2.2956268523610657E-3</v>
      </c>
    </row>
    <row r="239" spans="2:20" x14ac:dyDescent="0.35">
      <c r="B239" s="10" t="s">
        <v>232</v>
      </c>
      <c r="C239" s="19">
        <v>8.8000000000000005E-3</v>
      </c>
      <c r="D239" s="38">
        <f t="shared" si="30"/>
        <v>0.38657056650310956</v>
      </c>
      <c r="E239" s="32">
        <f t="shared" si="35"/>
        <v>192931.41304441923</v>
      </c>
      <c r="F239" s="47">
        <v>0</v>
      </c>
      <c r="G239" s="17">
        <v>-1.2500000000000001E-2</v>
      </c>
      <c r="H239" s="38">
        <f t="shared" si="31"/>
        <v>0.26091624811257896</v>
      </c>
      <c r="I239" s="32">
        <f t="shared" si="39"/>
        <v>130219.27895331164</v>
      </c>
      <c r="J239" s="47">
        <v>0</v>
      </c>
      <c r="K239" s="16">
        <v>-8.6E-3</v>
      </c>
      <c r="L239" s="38">
        <f t="shared" si="32"/>
        <v>0.20766935446991494</v>
      </c>
      <c r="M239" s="32">
        <f t="shared" si="36"/>
        <v>103644.57482197051</v>
      </c>
      <c r="N239" s="47">
        <v>0</v>
      </c>
      <c r="O239" s="17">
        <v>-1.9900000000000001E-2</v>
      </c>
      <c r="P239" s="38">
        <f t="shared" si="34"/>
        <v>0.14484383091439662</v>
      </c>
      <c r="Q239" s="31">
        <f t="shared" si="37"/>
        <v>72289.324099010744</v>
      </c>
      <c r="R239" s="47">
        <v>0</v>
      </c>
      <c r="S239" s="37">
        <f t="shared" si="33"/>
        <v>499084.59091871209</v>
      </c>
      <c r="T239" s="40">
        <f t="shared" si="38"/>
        <v>-4.6512216435190545E-3</v>
      </c>
    </row>
    <row r="240" spans="2:20" x14ac:dyDescent="0.35">
      <c r="B240" s="11" t="s">
        <v>233</v>
      </c>
      <c r="C240" s="19">
        <v>3.15E-2</v>
      </c>
      <c r="D240" s="38">
        <f t="shared" si="30"/>
        <v>0.39458395912343086</v>
      </c>
      <c r="E240" s="32">
        <f t="shared" si="35"/>
        <v>199008.75255531844</v>
      </c>
      <c r="F240" s="47">
        <v>0</v>
      </c>
      <c r="G240" s="21">
        <v>-1.9E-3</v>
      </c>
      <c r="H240" s="38">
        <f t="shared" si="31"/>
        <v>0.25770128877079262</v>
      </c>
      <c r="I240" s="32">
        <f t="shared" si="39"/>
        <v>129971.86232330035</v>
      </c>
      <c r="J240" s="47">
        <v>0</v>
      </c>
      <c r="K240" s="20">
        <v>1.43E-2</v>
      </c>
      <c r="L240" s="38">
        <f t="shared" si="32"/>
        <v>0.20843960831742092</v>
      </c>
      <c r="M240" s="32">
        <f t="shared" si="36"/>
        <v>105126.6922419247</v>
      </c>
      <c r="N240" s="47">
        <v>0</v>
      </c>
      <c r="O240" s="17">
        <v>-2.8299999999999999E-2</v>
      </c>
      <c r="P240" s="38">
        <f t="shared" si="34"/>
        <v>0.13927514378835557</v>
      </c>
      <c r="Q240" s="31">
        <f t="shared" si="37"/>
        <v>70243.536227008735</v>
      </c>
      <c r="R240" s="47">
        <v>0</v>
      </c>
      <c r="S240" s="37">
        <f t="shared" si="33"/>
        <v>504350.84334755223</v>
      </c>
      <c r="T240" s="40">
        <f t="shared" si="38"/>
        <v>1.0551823327476617E-2</v>
      </c>
    </row>
    <row r="241" spans="2:20" x14ac:dyDescent="0.35">
      <c r="B241" s="10" t="s">
        <v>234</v>
      </c>
      <c r="C241" s="19">
        <v>8.5099999999999995E-2</v>
      </c>
      <c r="D241" s="38">
        <f t="shared" si="30"/>
        <v>0.41753338880833041</v>
      </c>
      <c r="E241" s="32">
        <f t="shared" si="35"/>
        <v>215944.39739777605</v>
      </c>
      <c r="F241" s="47">
        <v>0</v>
      </c>
      <c r="G241" s="17">
        <v>-5.7000000000000002E-2</v>
      </c>
      <c r="H241" s="38">
        <f t="shared" si="31"/>
        <v>0.23697924091151473</v>
      </c>
      <c r="I241" s="32">
        <f t="shared" si="39"/>
        <v>122563.46617087223</v>
      </c>
      <c r="J241" s="47">
        <v>0</v>
      </c>
      <c r="K241" s="20">
        <v>2.6700000000000002E-2</v>
      </c>
      <c r="L241" s="38">
        <f t="shared" si="32"/>
        <v>0.20869201446115895</v>
      </c>
      <c r="M241" s="32">
        <f t="shared" si="36"/>
        <v>107933.57492478409</v>
      </c>
      <c r="N241" s="47">
        <v>0</v>
      </c>
      <c r="O241" s="19">
        <v>7.1999999999999998E-3</v>
      </c>
      <c r="P241" s="38">
        <f t="shared" si="34"/>
        <v>0.13679535581899593</v>
      </c>
      <c r="Q241" s="31">
        <f t="shared" si="37"/>
        <v>70749.289687843193</v>
      </c>
      <c r="R241" s="47">
        <v>0</v>
      </c>
      <c r="S241" s="37">
        <f t="shared" si="33"/>
        <v>517190.72818127554</v>
      </c>
      <c r="T241" s="40">
        <f t="shared" si="38"/>
        <v>2.5458240038820135E-2</v>
      </c>
    </row>
    <row r="242" spans="2:20" x14ac:dyDescent="0.35">
      <c r="B242" s="11" t="s">
        <v>235</v>
      </c>
      <c r="C242" s="19">
        <v>1.8100000000000002E-2</v>
      </c>
      <c r="D242" s="38">
        <f t="shared" si="30"/>
        <v>0.42194454484732413</v>
      </c>
      <c r="E242" s="32">
        <f t="shared" si="35"/>
        <v>219852.99099067578</v>
      </c>
      <c r="F242" s="47">
        <v>0</v>
      </c>
      <c r="G242" s="21">
        <v>-1.8E-3</v>
      </c>
      <c r="H242" s="38">
        <f t="shared" si="31"/>
        <v>0.23480189530767565</v>
      </c>
      <c r="I242" s="32">
        <f t="shared" si="39"/>
        <v>122342.85193176466</v>
      </c>
      <c r="J242" s="47">
        <v>0</v>
      </c>
      <c r="K242" s="20">
        <v>5.1000000000000004E-3</v>
      </c>
      <c r="L242" s="38">
        <f t="shared" si="32"/>
        <v>0.20820388684803187</v>
      </c>
      <c r="M242" s="32">
        <f t="shared" si="36"/>
        <v>108484.03615690049</v>
      </c>
      <c r="N242" s="47">
        <v>0</v>
      </c>
      <c r="O242" s="17">
        <v>-5.4000000000000003E-3</v>
      </c>
      <c r="P242" s="38">
        <f t="shared" si="34"/>
        <v>0.13504967299696835</v>
      </c>
      <c r="Q242" s="31">
        <f t="shared" si="37"/>
        <v>70367.243523528843</v>
      </c>
      <c r="R242" s="47">
        <v>0</v>
      </c>
      <c r="S242" s="37">
        <f t="shared" si="33"/>
        <v>521047.12260286976</v>
      </c>
      <c r="T242" s="40">
        <f t="shared" si="38"/>
        <v>7.4564260561194029E-3</v>
      </c>
    </row>
    <row r="243" spans="2:20" x14ac:dyDescent="0.35">
      <c r="B243" s="10" t="s">
        <v>236</v>
      </c>
      <c r="C243" s="17">
        <v>-5.8799999999999998E-2</v>
      </c>
      <c r="D243" s="38">
        <f t="shared" si="30"/>
        <v>0.40409157048844269</v>
      </c>
      <c r="E243" s="32">
        <f t="shared" si="35"/>
        <v>206925.63512042403</v>
      </c>
      <c r="F243" s="47">
        <v>0</v>
      </c>
      <c r="G243" s="18">
        <v>1.9900000000000001E-2</v>
      </c>
      <c r="H243" s="38">
        <f t="shared" si="31"/>
        <v>0.24366978831686759</v>
      </c>
      <c r="I243" s="32">
        <f t="shared" si="39"/>
        <v>124777.47468520678</v>
      </c>
      <c r="J243" s="47">
        <v>0</v>
      </c>
      <c r="K243" s="18">
        <v>1.4999999999999999E-2</v>
      </c>
      <c r="L243" s="38">
        <f t="shared" si="32"/>
        <v>0.21502916632743807</v>
      </c>
      <c r="M243" s="32">
        <f t="shared" si="36"/>
        <v>110111.296699254</v>
      </c>
      <c r="N243" s="47">
        <v>0</v>
      </c>
      <c r="O243" s="17">
        <v>-1.5E-3</v>
      </c>
      <c r="P243" s="38">
        <f t="shared" si="34"/>
        <v>0.13720947486725171</v>
      </c>
      <c r="Q243" s="31">
        <f t="shared" si="37"/>
        <v>70261.692658243555</v>
      </c>
      <c r="R243" s="47">
        <v>0</v>
      </c>
      <c r="S243" s="37">
        <f t="shared" si="33"/>
        <v>512076.09916312835</v>
      </c>
      <c r="T243" s="40">
        <f t="shared" si="38"/>
        <v>-1.7217297727174841E-2</v>
      </c>
    </row>
    <row r="244" spans="2:20" x14ac:dyDescent="0.35">
      <c r="B244" s="11" t="s">
        <v>237</v>
      </c>
      <c r="C244" s="19">
        <v>2.8799999999999999E-2</v>
      </c>
      <c r="D244" s="38">
        <f t="shared" si="30"/>
        <v>0.41796617664470476</v>
      </c>
      <c r="E244" s="32">
        <f t="shared" si="35"/>
        <v>212885.09341189225</v>
      </c>
      <c r="F244" s="47">
        <v>0</v>
      </c>
      <c r="G244" s="17">
        <v>-1.9900000000000001E-2</v>
      </c>
      <c r="H244" s="38">
        <f t="shared" si="31"/>
        <v>0.24010569834756371</v>
      </c>
      <c r="I244" s="32">
        <f t="shared" si="39"/>
        <v>122294.40293897116</v>
      </c>
      <c r="J244" s="47">
        <v>0</v>
      </c>
      <c r="K244" s="17">
        <v>-2.1299999999999999E-2</v>
      </c>
      <c r="L244" s="38">
        <f t="shared" si="32"/>
        <v>0.21158133420314601</v>
      </c>
      <c r="M244" s="32">
        <f t="shared" si="36"/>
        <v>107765.9260795599</v>
      </c>
      <c r="N244" s="47">
        <v>0</v>
      </c>
      <c r="O244" s="17">
        <v>-5.5100000000000003E-2</v>
      </c>
      <c r="P244" s="38">
        <f t="shared" si="34"/>
        <v>0.1303467908045855</v>
      </c>
      <c r="Q244" s="31">
        <f t="shared" si="37"/>
        <v>66390.273392774339</v>
      </c>
      <c r="R244" s="47">
        <v>0</v>
      </c>
      <c r="S244" s="37">
        <f t="shared" si="33"/>
        <v>509335.69582319766</v>
      </c>
      <c r="T244" s="40">
        <f t="shared" si="38"/>
        <v>-5.3515548653984002E-3</v>
      </c>
    </row>
    <row r="245" spans="2:20" x14ac:dyDescent="0.35">
      <c r="B245" s="10" t="s">
        <v>238</v>
      </c>
      <c r="C245" s="17">
        <v>-2.6700000000000002E-2</v>
      </c>
      <c r="D245" s="38">
        <f t="shared" si="30"/>
        <v>0.40734695362319007</v>
      </c>
      <c r="E245" s="32">
        <f t="shared" si="35"/>
        <v>207201.06141779473</v>
      </c>
      <c r="F245" s="47">
        <v>0</v>
      </c>
      <c r="G245" s="18">
        <v>7.6200000000000004E-2</v>
      </c>
      <c r="H245" s="38">
        <f t="shared" si="31"/>
        <v>0.25874505929006841</v>
      </c>
      <c r="I245" s="32">
        <f t="shared" si="39"/>
        <v>131613.23644292078</v>
      </c>
      <c r="J245" s="47">
        <v>0</v>
      </c>
      <c r="K245" s="17">
        <v>-1.9300000000000001E-2</v>
      </c>
      <c r="L245" s="38">
        <f t="shared" si="32"/>
        <v>0.20777349135973369</v>
      </c>
      <c r="M245" s="32">
        <f t="shared" si="36"/>
        <v>105686.04370622439</v>
      </c>
      <c r="N245" s="47">
        <v>0</v>
      </c>
      <c r="O245" s="17">
        <v>-3.3599999999999998E-2</v>
      </c>
      <c r="P245" s="38">
        <f t="shared" si="34"/>
        <v>0.12613449572700783</v>
      </c>
      <c r="Q245" s="31">
        <f t="shared" si="37"/>
        <v>64159.560206777125</v>
      </c>
      <c r="R245" s="47">
        <v>0</v>
      </c>
      <c r="S245" s="37">
        <f t="shared" si="33"/>
        <v>508659.90177371702</v>
      </c>
      <c r="T245" s="40">
        <f t="shared" si="38"/>
        <v>-1.3268146234840517E-3</v>
      </c>
    </row>
    <row r="246" spans="2:20" x14ac:dyDescent="0.35">
      <c r="B246" s="11" t="s">
        <v>239</v>
      </c>
      <c r="C246" s="19">
        <v>0.1103</v>
      </c>
      <c r="D246" s="38">
        <f t="shared" si="30"/>
        <v>0.42358854295093734</v>
      </c>
      <c r="E246" s="32">
        <f t="shared" si="35"/>
        <v>230055.33849217749</v>
      </c>
      <c r="F246" s="47">
        <v>0</v>
      </c>
      <c r="G246" s="21">
        <v>-2.3999999999999998E-3</v>
      </c>
      <c r="H246" s="38">
        <f t="shared" si="31"/>
        <v>0.24175078813946377</v>
      </c>
      <c r="I246" s="32">
        <f t="shared" si="39"/>
        <v>131297.36467545776</v>
      </c>
      <c r="J246" s="47">
        <v>0</v>
      </c>
      <c r="K246" s="18">
        <v>5.8500000000000003E-2</v>
      </c>
      <c r="L246" s="38">
        <f t="shared" si="32"/>
        <v>0.20597778914532947</v>
      </c>
      <c r="M246" s="32">
        <f t="shared" si="36"/>
        <v>111868.67726303851</v>
      </c>
      <c r="N246" s="47">
        <v>0</v>
      </c>
      <c r="O246" s="19">
        <v>8.9300000000000004E-2</v>
      </c>
      <c r="P246" s="38">
        <f t="shared" si="34"/>
        <v>0.12868287976426934</v>
      </c>
      <c r="Q246" s="31">
        <f t="shared" si="37"/>
        <v>69889.008933242323</v>
      </c>
      <c r="R246" s="47">
        <v>0</v>
      </c>
      <c r="S246" s="37">
        <f t="shared" si="33"/>
        <v>543110.38936391613</v>
      </c>
      <c r="T246" s="40">
        <f t="shared" si="38"/>
        <v>6.7727940555307953E-2</v>
      </c>
    </row>
    <row r="247" spans="2:20" x14ac:dyDescent="0.35">
      <c r="B247" s="10" t="s">
        <v>240</v>
      </c>
      <c r="C247" s="19">
        <v>1.67E-2</v>
      </c>
      <c r="D247" s="38">
        <f t="shared" si="30"/>
        <v>0.4208947461094471</v>
      </c>
      <c r="E247" s="32">
        <f t="shared" si="35"/>
        <v>233897.26264499684</v>
      </c>
      <c r="F247" s="47">
        <v>0</v>
      </c>
      <c r="G247" s="22">
        <v>1.9E-3</v>
      </c>
      <c r="H247" s="38">
        <f t="shared" si="31"/>
        <v>0.23671662014614628</v>
      </c>
      <c r="I247" s="32">
        <f t="shared" si="39"/>
        <v>131546.82966834115</v>
      </c>
      <c r="J247" s="47">
        <v>0</v>
      </c>
      <c r="K247" s="18">
        <v>3.2800000000000003E-2</v>
      </c>
      <c r="L247" s="38">
        <f t="shared" si="32"/>
        <v>0.20790890815725882</v>
      </c>
      <c r="M247" s="32">
        <f t="shared" si="36"/>
        <v>115537.96987726618</v>
      </c>
      <c r="N247" s="47">
        <v>0</v>
      </c>
      <c r="O247" s="19">
        <v>6.93E-2</v>
      </c>
      <c r="P247" s="38">
        <f t="shared" si="34"/>
        <v>0.13447972558714777</v>
      </c>
      <c r="Q247" s="31">
        <f t="shared" si="37"/>
        <v>74732.317252316017</v>
      </c>
      <c r="R247" s="47">
        <v>0</v>
      </c>
      <c r="S247" s="37">
        <f t="shared" si="33"/>
        <v>555714.37944292021</v>
      </c>
      <c r="T247" s="40">
        <f t="shared" si="38"/>
        <v>2.3207050216376368E-2</v>
      </c>
    </row>
    <row r="248" spans="2:20" x14ac:dyDescent="0.35">
      <c r="B248" s="9" t="s">
        <v>241</v>
      </c>
      <c r="C248" s="17">
        <v>-3.85E-2</v>
      </c>
      <c r="D248" s="38">
        <f t="shared" si="30"/>
        <v>0.38855548928537137</v>
      </c>
      <c r="E248" s="32">
        <f t="shared" si="35"/>
        <v>213727.75116816445</v>
      </c>
      <c r="F248" s="48">
        <v>-11611.51</v>
      </c>
      <c r="G248" s="18">
        <v>9.4000000000000004E-3</v>
      </c>
      <c r="H248" s="38">
        <f t="shared" si="31"/>
        <v>0.25494534771564475</v>
      </c>
      <c r="I248" s="32">
        <f t="shared" si="39"/>
        <v>140234.52850522354</v>
      </c>
      <c r="J248" s="49">
        <v>7381.77</v>
      </c>
      <c r="K248" s="18">
        <v>3.73E-2</v>
      </c>
      <c r="L248" s="38">
        <f t="shared" si="32"/>
        <v>0.20959366714858457</v>
      </c>
      <c r="M248" s="32">
        <f t="shared" si="36"/>
        <v>115288.50929668821</v>
      </c>
      <c r="N248" s="48">
        <v>-4395.09</v>
      </c>
      <c r="O248" s="17">
        <v>-3.0599999999999999E-2</v>
      </c>
      <c r="P248" s="38">
        <f t="shared" si="34"/>
        <v>0.14690549585039944</v>
      </c>
      <c r="Q248" s="31">
        <f t="shared" si="37"/>
        <v>80806.428240395151</v>
      </c>
      <c r="R248" s="49">
        <v>8624.84</v>
      </c>
      <c r="S248" s="37">
        <f t="shared" si="33"/>
        <v>550057.21721047128</v>
      </c>
      <c r="T248" s="40">
        <f t="shared" si="38"/>
        <v>-1.0179981734717791E-2</v>
      </c>
    </row>
    <row r="249" spans="2:20" x14ac:dyDescent="0.35">
      <c r="B249" s="10" t="s">
        <v>242</v>
      </c>
      <c r="C249" s="19">
        <v>5.5999999999999999E-3</v>
      </c>
      <c r="D249" s="38">
        <f t="shared" si="30"/>
        <v>0.38369947427322759</v>
      </c>
      <c r="E249" s="32">
        <f t="shared" si="35"/>
        <v>214924.62657470617</v>
      </c>
      <c r="F249" s="47">
        <v>0</v>
      </c>
      <c r="G249" s="22">
        <v>5.3E-3</v>
      </c>
      <c r="H249" s="38">
        <f t="shared" si="31"/>
        <v>0.25168403301785724</v>
      </c>
      <c r="I249" s="32">
        <f t="shared" si="39"/>
        <v>140977.77150630121</v>
      </c>
      <c r="J249" s="47">
        <v>0</v>
      </c>
      <c r="K249" s="18">
        <v>5.4699999999999999E-2</v>
      </c>
      <c r="L249" s="38">
        <f t="shared" si="32"/>
        <v>0.21708009003297105</v>
      </c>
      <c r="M249" s="32">
        <f t="shared" si="36"/>
        <v>121594.79075521705</v>
      </c>
      <c r="N249" s="47">
        <v>0</v>
      </c>
      <c r="O249" s="19">
        <v>2.2700000000000001E-2</v>
      </c>
      <c r="P249" s="38">
        <f t="shared" si="34"/>
        <v>0.14753640267594398</v>
      </c>
      <c r="Q249" s="31">
        <f t="shared" si="37"/>
        <v>82640.734161452128</v>
      </c>
      <c r="R249" s="47">
        <v>0</v>
      </c>
      <c r="S249" s="37">
        <f t="shared" si="33"/>
        <v>560137.92299767665</v>
      </c>
      <c r="T249" s="40">
        <f t="shared" si="38"/>
        <v>1.8326649431722908E-2</v>
      </c>
    </row>
    <row r="250" spans="2:20" x14ac:dyDescent="0.35">
      <c r="B250" s="11" t="s">
        <v>243</v>
      </c>
      <c r="C250" s="17">
        <v>-1.2800000000000001E-2</v>
      </c>
      <c r="D250" s="38">
        <f t="shared" si="30"/>
        <v>0.36777144351761898</v>
      </c>
      <c r="E250" s="32">
        <f t="shared" si="35"/>
        <v>212173.59135454992</v>
      </c>
      <c r="F250" s="47">
        <v>0</v>
      </c>
      <c r="G250" s="18">
        <v>9.7699999999999995E-2</v>
      </c>
      <c r="H250" s="38">
        <f t="shared" si="31"/>
        <v>0.26823841998376563</v>
      </c>
      <c r="I250" s="32">
        <f t="shared" si="39"/>
        <v>154751.29978246684</v>
      </c>
      <c r="J250" s="47">
        <v>0</v>
      </c>
      <c r="K250" s="18">
        <v>3.6400000000000002E-2</v>
      </c>
      <c r="L250" s="38">
        <f t="shared" si="32"/>
        <v>0.21843843224315068</v>
      </c>
      <c r="M250" s="32">
        <f t="shared" si="36"/>
        <v>126020.84113870695</v>
      </c>
      <c r="N250" s="47">
        <v>0</v>
      </c>
      <c r="O250" s="19">
        <v>1.61E-2</v>
      </c>
      <c r="P250" s="38">
        <f t="shared" si="34"/>
        <v>0.14555170425546463</v>
      </c>
      <c r="Q250" s="31">
        <f t="shared" si="37"/>
        <v>83971.249981451503</v>
      </c>
      <c r="R250" s="47">
        <v>0</v>
      </c>
      <c r="S250" s="37">
        <f t="shared" si="33"/>
        <v>576916.98225717526</v>
      </c>
      <c r="T250" s="40">
        <f t="shared" si="38"/>
        <v>2.9955228115430055E-2</v>
      </c>
    </row>
    <row r="251" spans="2:20" x14ac:dyDescent="0.35">
      <c r="B251" s="10" t="s">
        <v>244</v>
      </c>
      <c r="C251" s="17">
        <v>-1.8800000000000001E-2</v>
      </c>
      <c r="D251" s="38">
        <f t="shared" si="30"/>
        <v>0.36289926969973824</v>
      </c>
      <c r="E251" s="32">
        <f t="shared" si="35"/>
        <v>208184.72783708439</v>
      </c>
      <c r="F251" s="47">
        <v>0</v>
      </c>
      <c r="G251" s="18">
        <v>4.9599999999999998E-2</v>
      </c>
      <c r="H251" s="38">
        <f t="shared" si="31"/>
        <v>0.2831361710288684</v>
      </c>
      <c r="I251" s="32">
        <f t="shared" si="39"/>
        <v>162426.96425167719</v>
      </c>
      <c r="J251" s="47">
        <v>0</v>
      </c>
      <c r="K251" s="17">
        <v>-1.7500000000000002E-2</v>
      </c>
      <c r="L251" s="38">
        <f t="shared" si="32"/>
        <v>0.21583017369584562</v>
      </c>
      <c r="M251" s="32">
        <f t="shared" si="36"/>
        <v>123815.47641877958</v>
      </c>
      <c r="N251" s="47">
        <v>0</v>
      </c>
      <c r="O251" s="17">
        <v>-5.6300000000000003E-2</v>
      </c>
      <c r="P251" s="38">
        <f t="shared" si="34"/>
        <v>0.1381343855755478</v>
      </c>
      <c r="Q251" s="31">
        <f t="shared" si="37"/>
        <v>79243.668607495783</v>
      </c>
      <c r="R251" s="47">
        <v>0</v>
      </c>
      <c r="S251" s="37">
        <f t="shared" si="33"/>
        <v>573670.83711503691</v>
      </c>
      <c r="T251" s="40">
        <f t="shared" si="38"/>
        <v>-5.6267110207743887E-3</v>
      </c>
    </row>
    <row r="252" spans="2:20" x14ac:dyDescent="0.35">
      <c r="B252" s="11" t="s">
        <v>245</v>
      </c>
      <c r="C252" s="17">
        <v>-3.0099999999999998E-2</v>
      </c>
      <c r="D252" s="38">
        <f t="shared" si="30"/>
        <v>0.34442689962538353</v>
      </c>
      <c r="E252" s="32">
        <f t="shared" si="35"/>
        <v>201918.36752918814</v>
      </c>
      <c r="F252" s="47">
        <v>0</v>
      </c>
      <c r="G252" s="18">
        <v>3.5200000000000002E-2</v>
      </c>
      <c r="H252" s="38">
        <f t="shared" si="31"/>
        <v>0.28681616642669217</v>
      </c>
      <c r="I252" s="32">
        <f t="shared" si="39"/>
        <v>168144.39339333621</v>
      </c>
      <c r="J252" s="47">
        <v>0</v>
      </c>
      <c r="K252" s="18">
        <v>6.5600000000000006E-2</v>
      </c>
      <c r="L252" s="38">
        <f t="shared" si="32"/>
        <v>0.22505588865682866</v>
      </c>
      <c r="M252" s="32">
        <f t="shared" si="36"/>
        <v>131937.77167185151</v>
      </c>
      <c r="N252" s="47">
        <v>0</v>
      </c>
      <c r="O252" s="19">
        <v>6.3100000000000003E-2</v>
      </c>
      <c r="P252" s="38">
        <f t="shared" si="34"/>
        <v>0.14370104529109573</v>
      </c>
      <c r="Q252" s="31">
        <f t="shared" si="37"/>
        <v>84243.944096628766</v>
      </c>
      <c r="R252" s="47">
        <v>0</v>
      </c>
      <c r="S252" s="37">
        <f t="shared" si="33"/>
        <v>586244.47669100459</v>
      </c>
      <c r="T252" s="40">
        <f t="shared" si="38"/>
        <v>2.1917864326518544E-2</v>
      </c>
    </row>
    <row r="253" spans="2:20" x14ac:dyDescent="0.35">
      <c r="B253" s="10" t="s">
        <v>246</v>
      </c>
      <c r="C253" s="17">
        <v>-2.3900000000000001E-2</v>
      </c>
      <c r="D253" s="38">
        <f t="shared" si="30"/>
        <v>0.32377308701157509</v>
      </c>
      <c r="E253" s="32">
        <f t="shared" si="35"/>
        <v>197092.51854524054</v>
      </c>
      <c r="F253" s="47">
        <v>0</v>
      </c>
      <c r="G253" s="18">
        <v>5.6899999999999999E-2</v>
      </c>
      <c r="H253" s="38">
        <f t="shared" si="31"/>
        <v>0.2919354907290993</v>
      </c>
      <c r="I253" s="32">
        <f t="shared" si="39"/>
        <v>177711.80937741706</v>
      </c>
      <c r="J253" s="47">
        <v>0</v>
      </c>
      <c r="K253" s="18">
        <v>9.3799999999999994E-2</v>
      </c>
      <c r="L253" s="38">
        <f t="shared" si="32"/>
        <v>0.23707058470598216</v>
      </c>
      <c r="M253" s="32">
        <f t="shared" si="36"/>
        <v>144313.53465467118</v>
      </c>
      <c r="N253" s="47">
        <v>0</v>
      </c>
      <c r="O253" s="19">
        <v>6.3799999999999996E-2</v>
      </c>
      <c r="P253" s="38">
        <f t="shared" si="34"/>
        <v>0.14722083755334331</v>
      </c>
      <c r="Q253" s="31">
        <f t="shared" si="37"/>
        <v>89618.707729993679</v>
      </c>
      <c r="R253" s="47">
        <v>0</v>
      </c>
      <c r="S253" s="37">
        <f t="shared" si="33"/>
        <v>608736.57030732254</v>
      </c>
      <c r="T253" s="40">
        <f t="shared" si="38"/>
        <v>3.8366406014214816E-2</v>
      </c>
    </row>
    <row r="254" spans="2:20" x14ac:dyDescent="0.35">
      <c r="B254" s="11" t="s">
        <v>247</v>
      </c>
      <c r="C254" s="19">
        <v>3.6700000000000003E-2</v>
      </c>
      <c r="D254" s="38">
        <f t="shared" si="30"/>
        <v>0.31793147395191207</v>
      </c>
      <c r="E254" s="32">
        <f t="shared" si="35"/>
        <v>204325.81397585088</v>
      </c>
      <c r="F254" s="47">
        <v>0</v>
      </c>
      <c r="G254" s="18">
        <v>7.3400000000000007E-2</v>
      </c>
      <c r="H254" s="38">
        <f t="shared" si="31"/>
        <v>0.29681658593197929</v>
      </c>
      <c r="I254" s="32">
        <f t="shared" si="39"/>
        <v>190755.85618571946</v>
      </c>
      <c r="J254" s="47">
        <v>0</v>
      </c>
      <c r="K254" s="18">
        <v>3.1800000000000002E-2</v>
      </c>
      <c r="L254" s="38">
        <f t="shared" si="32"/>
        <v>0.23169297884062454</v>
      </c>
      <c r="M254" s="32">
        <f t="shared" si="36"/>
        <v>148902.70505668974</v>
      </c>
      <c r="N254" s="47">
        <v>0</v>
      </c>
      <c r="O254" s="19">
        <v>0.1012</v>
      </c>
      <c r="P254" s="38">
        <f t="shared" si="34"/>
        <v>0.15355896127548418</v>
      </c>
      <c r="Q254" s="31">
        <f t="shared" si="37"/>
        <v>98688.120952269033</v>
      </c>
      <c r="R254" s="47">
        <v>0</v>
      </c>
      <c r="S254" s="37">
        <f t="shared" si="33"/>
        <v>642672.49617052905</v>
      </c>
      <c r="T254" s="40">
        <f t="shared" si="38"/>
        <v>5.5748130666888995E-2</v>
      </c>
    </row>
    <row r="255" spans="2:20" x14ac:dyDescent="0.35">
      <c r="B255" s="10" t="s">
        <v>248</v>
      </c>
      <c r="C255" s="19">
        <v>7.9000000000000001E-2</v>
      </c>
      <c r="D255" s="38">
        <f t="shared" si="30"/>
        <v>0.32754815601618775</v>
      </c>
      <c r="E255" s="32">
        <f t="shared" si="35"/>
        <v>220467.55327994309</v>
      </c>
      <c r="F255" s="47">
        <v>0</v>
      </c>
      <c r="G255" s="18">
        <v>2.58E-2</v>
      </c>
      <c r="H255" s="38">
        <f t="shared" si="31"/>
        <v>0.29071741667248674</v>
      </c>
      <c r="I255" s="32">
        <f t="shared" si="39"/>
        <v>195677.35727531102</v>
      </c>
      <c r="J255" s="47">
        <v>0</v>
      </c>
      <c r="K255" s="18">
        <v>2.5999999999999999E-2</v>
      </c>
      <c r="L255" s="38">
        <f t="shared" si="32"/>
        <v>0.2269762542869346</v>
      </c>
      <c r="M255" s="32">
        <f t="shared" si="36"/>
        <v>152774.17538816368</v>
      </c>
      <c r="N255" s="47">
        <v>0</v>
      </c>
      <c r="O255" s="19">
        <v>5.5500000000000001E-2</v>
      </c>
      <c r="P255" s="38">
        <f t="shared" si="34"/>
        <v>0.15475817302439082</v>
      </c>
      <c r="Q255" s="31">
        <f t="shared" si="37"/>
        <v>104165.31166511997</v>
      </c>
      <c r="R255" s="47">
        <v>0</v>
      </c>
      <c r="S255" s="37">
        <f t="shared" si="33"/>
        <v>673084.39760853781</v>
      </c>
      <c r="T255" s="40">
        <f t="shared" si="38"/>
        <v>4.7320994159891994E-2</v>
      </c>
    </row>
    <row r="256" spans="2:20" x14ac:dyDescent="0.35">
      <c r="B256" s="11" t="s">
        <v>249</v>
      </c>
      <c r="C256" s="17">
        <v>-4.7E-2</v>
      </c>
      <c r="D256" s="38">
        <f t="shared" si="30"/>
        <v>0.31722973928236736</v>
      </c>
      <c r="E256" s="32">
        <f t="shared" si="35"/>
        <v>210105.57827578578</v>
      </c>
      <c r="F256" s="47">
        <v>0</v>
      </c>
      <c r="G256" s="18">
        <v>1.5900000000000001E-2</v>
      </c>
      <c r="H256" s="38">
        <f t="shared" si="31"/>
        <v>0.30014274211197678</v>
      </c>
      <c r="I256" s="32">
        <f t="shared" si="39"/>
        <v>198788.62725598845</v>
      </c>
      <c r="J256" s="47">
        <v>0</v>
      </c>
      <c r="K256" s="17">
        <v>-1.52E-2</v>
      </c>
      <c r="L256" s="38">
        <f t="shared" si="32"/>
        <v>0.22716127596117652</v>
      </c>
      <c r="M256" s="32">
        <f t="shared" si="36"/>
        <v>150452.00792226358</v>
      </c>
      <c r="N256" s="47">
        <v>0</v>
      </c>
      <c r="O256" s="17">
        <v>-1.15E-2</v>
      </c>
      <c r="P256" s="38">
        <f t="shared" si="34"/>
        <v>0.15546624264447922</v>
      </c>
      <c r="Q256" s="31">
        <f t="shared" si="37"/>
        <v>102967.41058097109</v>
      </c>
      <c r="R256" s="47">
        <v>0</v>
      </c>
      <c r="S256" s="37">
        <f t="shared" si="33"/>
        <v>662313.62403500895</v>
      </c>
      <c r="T256" s="40">
        <f t="shared" si="38"/>
        <v>-1.600211446261024E-2</v>
      </c>
    </row>
    <row r="257" spans="2:20" x14ac:dyDescent="0.35">
      <c r="B257" s="10" t="s">
        <v>250</v>
      </c>
      <c r="C257" s="17">
        <v>-5.9999999999999995E-4</v>
      </c>
      <c r="D257" s="38">
        <f t="shared" si="30"/>
        <v>0.30289225113104151</v>
      </c>
      <c r="E257" s="32">
        <f t="shared" si="35"/>
        <v>209979.51492882031</v>
      </c>
      <c r="F257" s="47">
        <v>0</v>
      </c>
      <c r="G257" s="18">
        <v>0.105</v>
      </c>
      <c r="H257" s="38">
        <f t="shared" si="31"/>
        <v>0.31685827060937538</v>
      </c>
      <c r="I257" s="32">
        <f t="shared" si="39"/>
        <v>219661.43311786724</v>
      </c>
      <c r="J257" s="47">
        <v>0</v>
      </c>
      <c r="K257" s="18">
        <v>5.04E-2</v>
      </c>
      <c r="L257" s="38">
        <f t="shared" si="32"/>
        <v>0.2279627755606099</v>
      </c>
      <c r="M257" s="32">
        <f t="shared" si="36"/>
        <v>158034.78912154568</v>
      </c>
      <c r="N257" s="47">
        <v>0</v>
      </c>
      <c r="O257" s="19">
        <v>2.53E-2</v>
      </c>
      <c r="P257" s="38">
        <f t="shared" si="34"/>
        <v>0.15228670269897324</v>
      </c>
      <c r="Q257" s="31">
        <f t="shared" si="37"/>
        <v>105572.48606866966</v>
      </c>
      <c r="R257" s="47">
        <v>0</v>
      </c>
      <c r="S257" s="37">
        <f t="shared" si="33"/>
        <v>693248.22323690285</v>
      </c>
      <c r="T257" s="40">
        <f t="shared" si="38"/>
        <v>4.6706874325536551E-2</v>
      </c>
    </row>
    <row r="258" spans="2:20" x14ac:dyDescent="0.35">
      <c r="B258" s="11" t="s">
        <v>251</v>
      </c>
      <c r="C258" s="17">
        <v>-4.1599999999999998E-2</v>
      </c>
      <c r="D258" s="38">
        <f t="shared" si="30"/>
        <v>0.28274080682647612</v>
      </c>
      <c r="E258" s="32">
        <f t="shared" si="35"/>
        <v>201244.36710778138</v>
      </c>
      <c r="F258" s="47">
        <v>0</v>
      </c>
      <c r="G258" s="18">
        <v>7.7999999999999996E-3</v>
      </c>
      <c r="H258" s="38">
        <f t="shared" si="31"/>
        <v>0.31102330109614867</v>
      </c>
      <c r="I258" s="32">
        <f t="shared" si="39"/>
        <v>221374.79229618661</v>
      </c>
      <c r="J258" s="47">
        <v>0</v>
      </c>
      <c r="K258" s="18">
        <v>0.10299999999999999</v>
      </c>
      <c r="L258" s="38">
        <f t="shared" si="32"/>
        <v>0.24490236184408745</v>
      </c>
      <c r="M258" s="32">
        <f t="shared" si="36"/>
        <v>174312.37240106487</v>
      </c>
      <c r="N258" s="47">
        <v>0</v>
      </c>
      <c r="O258" s="19">
        <v>8.77E-2</v>
      </c>
      <c r="P258" s="38">
        <f t="shared" si="34"/>
        <v>0.16133353023328778</v>
      </c>
      <c r="Q258" s="31">
        <f t="shared" si="37"/>
        <v>114831.19309689199</v>
      </c>
      <c r="R258" s="47">
        <v>0</v>
      </c>
      <c r="S258" s="37">
        <f t="shared" si="33"/>
        <v>711762.72490192484</v>
      </c>
      <c r="T258" s="40">
        <f t="shared" si="38"/>
        <v>2.6706886573144573E-2</v>
      </c>
    </row>
    <row r="259" spans="2:20" x14ac:dyDescent="0.35">
      <c r="B259" s="10" t="s">
        <v>252</v>
      </c>
      <c r="C259" s="17">
        <v>-9.4E-2</v>
      </c>
      <c r="D259" s="38">
        <f t="shared" si="30"/>
        <v>0.26460456549007078</v>
      </c>
      <c r="E259" s="32">
        <f t="shared" si="35"/>
        <v>182327.39659964992</v>
      </c>
      <c r="F259" s="47">
        <v>0</v>
      </c>
      <c r="G259" s="18">
        <v>1.7000000000000001E-2</v>
      </c>
      <c r="H259" s="38">
        <f t="shared" si="31"/>
        <v>0.32673414478207541</v>
      </c>
      <c r="I259" s="32">
        <f t="shared" si="39"/>
        <v>225138.16376522178</v>
      </c>
      <c r="J259" s="47">
        <v>0</v>
      </c>
      <c r="K259" s="18">
        <v>1.4E-3</v>
      </c>
      <c r="L259" s="38">
        <f t="shared" si="32"/>
        <v>0.25332683847578213</v>
      </c>
      <c r="M259" s="32">
        <f t="shared" si="36"/>
        <v>174556.40972242635</v>
      </c>
      <c r="N259" s="47">
        <v>0</v>
      </c>
      <c r="O259" s="17">
        <v>-6.7900000000000002E-2</v>
      </c>
      <c r="P259" s="38">
        <f t="shared" si="34"/>
        <v>0.15533445125207179</v>
      </c>
      <c r="Q259" s="31">
        <f t="shared" si="37"/>
        <v>107034.15508561302</v>
      </c>
      <c r="R259" s="47">
        <v>0</v>
      </c>
      <c r="S259" s="37">
        <f t="shared" si="33"/>
        <v>689056.12517291098</v>
      </c>
      <c r="T259" s="40">
        <f t="shared" si="38"/>
        <v>-3.1901923119312947E-2</v>
      </c>
    </row>
    <row r="260" spans="2:20" x14ac:dyDescent="0.35">
      <c r="B260" s="9" t="s">
        <v>253</v>
      </c>
      <c r="C260" s="19">
        <v>6.9900000000000004E-2</v>
      </c>
      <c r="D260" s="38">
        <f t="shared" si="30"/>
        <v>0.41889715478784956</v>
      </c>
      <c r="E260" s="32">
        <f t="shared" si="35"/>
        <v>294888.45561696542</v>
      </c>
      <c r="F260" s="49">
        <v>93295.05</v>
      </c>
      <c r="G260" s="18">
        <v>1.3599999999999999E-2</v>
      </c>
      <c r="H260" s="38">
        <f t="shared" si="31"/>
        <v>0.24803379260366762</v>
      </c>
      <c r="I260" s="32">
        <f t="shared" si="39"/>
        <v>174606.82462442879</v>
      </c>
      <c r="J260" s="48">
        <v>-52874.13</v>
      </c>
      <c r="K260" s="17">
        <v>-2.35E-2</v>
      </c>
      <c r="L260" s="38">
        <f t="shared" si="32"/>
        <v>0.1911641698822247</v>
      </c>
      <c r="M260" s="32">
        <f t="shared" si="36"/>
        <v>134572.66582394933</v>
      </c>
      <c r="N260" s="48">
        <v>-36745.18</v>
      </c>
      <c r="O260" s="17">
        <v>-3.3500000000000002E-2</v>
      </c>
      <c r="P260" s="38">
        <f t="shared" si="34"/>
        <v>0.14190488272625826</v>
      </c>
      <c r="Q260" s="31">
        <f t="shared" si="37"/>
        <v>99895.90818024498</v>
      </c>
      <c r="R260" s="48">
        <v>-3675.74</v>
      </c>
      <c r="S260" s="37">
        <f t="shared" si="33"/>
        <v>703963.85424558842</v>
      </c>
      <c r="T260" s="40">
        <f t="shared" si="38"/>
        <v>2.1634999716367842E-2</v>
      </c>
    </row>
    <row r="261" spans="2:20" x14ac:dyDescent="0.35">
      <c r="B261" s="10" t="s">
        <v>254</v>
      </c>
      <c r="C261" s="17">
        <v>-5.3699999999999998E-2</v>
      </c>
      <c r="D261" s="38">
        <f t="shared" si="30"/>
        <v>0.40370136791469891</v>
      </c>
      <c r="E261" s="32">
        <f t="shared" si="35"/>
        <v>279052.94555033441</v>
      </c>
      <c r="F261" s="47">
        <v>0</v>
      </c>
      <c r="G261" s="22">
        <v>1.54E-2</v>
      </c>
      <c r="H261" s="38">
        <f t="shared" si="31"/>
        <v>0.25649091294044279</v>
      </c>
      <c r="I261" s="32">
        <f t="shared" si="39"/>
        <v>177295.769723645</v>
      </c>
      <c r="J261" s="47">
        <v>0</v>
      </c>
      <c r="K261" s="17">
        <v>-1.9900000000000001E-2</v>
      </c>
      <c r="L261" s="38">
        <f t="shared" si="32"/>
        <v>0.19080987840294372</v>
      </c>
      <c r="M261" s="32">
        <f t="shared" si="36"/>
        <v>131894.66977405275</v>
      </c>
      <c r="N261" s="47">
        <v>0</v>
      </c>
      <c r="O261" s="19">
        <v>3.1E-2</v>
      </c>
      <c r="P261" s="38">
        <f t="shared" si="34"/>
        <v>0.14899784074191458</v>
      </c>
      <c r="Q261" s="31">
        <f t="shared" si="37"/>
        <v>102992.68133383257</v>
      </c>
      <c r="R261" s="47">
        <v>0</v>
      </c>
      <c r="S261" s="37">
        <f t="shared" si="33"/>
        <v>691236.06638186472</v>
      </c>
      <c r="T261" s="40">
        <f t="shared" si="38"/>
        <v>-1.8080172422153096E-2</v>
      </c>
    </row>
    <row r="262" spans="2:20" x14ac:dyDescent="0.35">
      <c r="B262" s="11" t="s">
        <v>255</v>
      </c>
      <c r="C262" s="19">
        <v>5.7200000000000001E-2</v>
      </c>
      <c r="D262" s="38">
        <f t="shared" si="30"/>
        <v>0.41750305525421866</v>
      </c>
      <c r="E262" s="32">
        <f t="shared" si="35"/>
        <v>295014.77403581352</v>
      </c>
      <c r="F262" s="47">
        <v>0</v>
      </c>
      <c r="G262" s="18">
        <v>7.7899999999999997E-2</v>
      </c>
      <c r="H262" s="38">
        <f t="shared" si="31"/>
        <v>0.27045358200740494</v>
      </c>
      <c r="I262" s="32">
        <f t="shared" si="39"/>
        <v>191107.11018511694</v>
      </c>
      <c r="J262" s="47">
        <v>0</v>
      </c>
      <c r="K262" s="17">
        <v>-7.0699999999999999E-2</v>
      </c>
      <c r="L262" s="38">
        <f t="shared" si="32"/>
        <v>0.17345989311271048</v>
      </c>
      <c r="M262" s="32">
        <f t="shared" si="36"/>
        <v>122569.71662102721</v>
      </c>
      <c r="N262" s="47">
        <v>0</v>
      </c>
      <c r="O262" s="17">
        <v>-4.9200000000000001E-2</v>
      </c>
      <c r="P262" s="38">
        <f t="shared" si="34"/>
        <v>0.13858346962566584</v>
      </c>
      <c r="Q262" s="31">
        <f t="shared" si="37"/>
        <v>97925.441412208005</v>
      </c>
      <c r="R262" s="47">
        <v>0</v>
      </c>
      <c r="S262" s="37">
        <f t="shared" si="33"/>
        <v>706617.04225416575</v>
      </c>
      <c r="T262" s="40">
        <f t="shared" si="38"/>
        <v>2.2251408195191003E-2</v>
      </c>
    </row>
    <row r="263" spans="2:20" x14ac:dyDescent="0.35">
      <c r="B263" s="10" t="s">
        <v>256</v>
      </c>
      <c r="C263" s="19">
        <v>2.0799999999999999E-2</v>
      </c>
      <c r="D263" s="38">
        <f t="shared" si="30"/>
        <v>0.42445809176221017</v>
      </c>
      <c r="E263" s="32">
        <f t="shared" si="35"/>
        <v>301151.08133575844</v>
      </c>
      <c r="F263" s="47">
        <v>0</v>
      </c>
      <c r="G263" s="18">
        <v>2.7699999999999999E-2</v>
      </c>
      <c r="H263" s="38">
        <f t="shared" si="31"/>
        <v>0.27681753196611031</v>
      </c>
      <c r="I263" s="32">
        <f t="shared" si="39"/>
        <v>196400.77713724467</v>
      </c>
      <c r="J263" s="47">
        <v>0</v>
      </c>
      <c r="K263" s="17">
        <v>-3.15E-2</v>
      </c>
      <c r="L263" s="38">
        <f t="shared" si="32"/>
        <v>0.16731435264493633</v>
      </c>
      <c r="M263" s="32">
        <f t="shared" si="36"/>
        <v>118708.77054746485</v>
      </c>
      <c r="N263" s="47">
        <v>0</v>
      </c>
      <c r="O263" s="17">
        <v>-4.7899999999999998E-2</v>
      </c>
      <c r="P263" s="38">
        <f t="shared" si="34"/>
        <v>0.13141002362674326</v>
      </c>
      <c r="Q263" s="31">
        <f t="shared" si="37"/>
        <v>93234.812768563235</v>
      </c>
      <c r="R263" s="47">
        <v>0</v>
      </c>
      <c r="S263" s="37">
        <f t="shared" si="33"/>
        <v>709495.44178903115</v>
      </c>
      <c r="T263" s="40">
        <f t="shared" si="38"/>
        <v>4.0734929427728161E-3</v>
      </c>
    </row>
    <row r="264" spans="2:20" x14ac:dyDescent="0.35">
      <c r="B264" s="11" t="s">
        <v>257</v>
      </c>
      <c r="C264" s="19">
        <v>1.46E-2</v>
      </c>
      <c r="D264" s="38">
        <f t="shared" si="30"/>
        <v>0.42105854559428796</v>
      </c>
      <c r="E264" s="32">
        <f t="shared" si="35"/>
        <v>305547.88712326053</v>
      </c>
      <c r="F264" s="47">
        <v>0</v>
      </c>
      <c r="G264" s="18">
        <v>8.2000000000000007E-3</v>
      </c>
      <c r="H264" s="38">
        <f t="shared" si="31"/>
        <v>0.2728683068624107</v>
      </c>
      <c r="I264" s="32">
        <f t="shared" si="39"/>
        <v>198011.26350977007</v>
      </c>
      <c r="J264" s="47">
        <v>0</v>
      </c>
      <c r="K264" s="18">
        <v>7.0300000000000001E-2</v>
      </c>
      <c r="L264" s="38">
        <f t="shared" si="32"/>
        <v>0.17508604540414743</v>
      </c>
      <c r="M264" s="32">
        <f t="shared" si="36"/>
        <v>127053.99711695164</v>
      </c>
      <c r="N264" s="47">
        <v>0</v>
      </c>
      <c r="O264" s="19">
        <v>1.95E-2</v>
      </c>
      <c r="P264" s="38">
        <f t="shared" si="34"/>
        <v>0.13098710213915385</v>
      </c>
      <c r="Q264" s="31">
        <f t="shared" si="37"/>
        <v>95052.891617550224</v>
      </c>
      <c r="R264" s="47">
        <v>0</v>
      </c>
      <c r="S264" s="37">
        <f t="shared" si="33"/>
        <v>725666.03936753247</v>
      </c>
      <c r="T264" s="40">
        <f t="shared" si="38"/>
        <v>2.279168635351092E-2</v>
      </c>
    </row>
    <row r="265" spans="2:20" x14ac:dyDescent="0.35">
      <c r="B265" s="10" t="s">
        <v>258</v>
      </c>
      <c r="C265" s="19">
        <v>2.5000000000000001E-2</v>
      </c>
      <c r="D265" s="38">
        <f t="shared" si="30"/>
        <v>0.43138725561277341</v>
      </c>
      <c r="E265" s="32">
        <f t="shared" si="35"/>
        <v>313186.58430134202</v>
      </c>
      <c r="F265" s="47">
        <v>0</v>
      </c>
      <c r="G265" s="17">
        <v>-2.9000000000000001E-2</v>
      </c>
      <c r="H265" s="38">
        <f t="shared" si="31"/>
        <v>0.26483372268353889</v>
      </c>
      <c r="I265" s="32">
        <f t="shared" si="39"/>
        <v>192268.93686798675</v>
      </c>
      <c r="J265" s="47">
        <v>0</v>
      </c>
      <c r="K265" s="18">
        <v>1.47E-2</v>
      </c>
      <c r="L265" s="38">
        <f t="shared" si="32"/>
        <v>0.17757840598251043</v>
      </c>
      <c r="M265" s="32">
        <f t="shared" si="36"/>
        <v>128921.69087457082</v>
      </c>
      <c r="N265" s="47">
        <v>0</v>
      </c>
      <c r="O265" s="17">
        <v>-3.61E-2</v>
      </c>
      <c r="P265" s="38">
        <f t="shared" si="34"/>
        <v>0.1262006157211773</v>
      </c>
      <c r="Q265" s="31">
        <f t="shared" si="37"/>
        <v>91621.48223015666</v>
      </c>
      <c r="R265" s="47">
        <v>0</v>
      </c>
      <c r="S265" s="37">
        <f t="shared" si="33"/>
        <v>725998.69427405624</v>
      </c>
      <c r="T265" s="40">
        <f t="shared" si="38"/>
        <v>4.5841322106476845E-4</v>
      </c>
    </row>
    <row r="266" spans="2:20" x14ac:dyDescent="0.35">
      <c r="B266" s="11" t="s">
        <v>259</v>
      </c>
      <c r="C266" s="17">
        <v>-6.3100000000000003E-2</v>
      </c>
      <c r="D266" s="38">
        <f t="shared" si="30"/>
        <v>0.40991397661575113</v>
      </c>
      <c r="E266" s="32">
        <f t="shared" si="35"/>
        <v>293424.51083192736</v>
      </c>
      <c r="F266" s="47">
        <v>0</v>
      </c>
      <c r="G266" s="18">
        <v>1.3899999999999999E-2</v>
      </c>
      <c r="H266" s="38">
        <f t="shared" si="31"/>
        <v>0.27233319750659563</v>
      </c>
      <c r="I266" s="32">
        <f t="shared" si="39"/>
        <v>194941.47509045177</v>
      </c>
      <c r="J266" s="47">
        <v>0</v>
      </c>
      <c r="K266" s="18">
        <v>4.0099999999999997E-2</v>
      </c>
      <c r="L266" s="38">
        <f t="shared" si="32"/>
        <v>0.18732572688633015</v>
      </c>
      <c r="M266" s="32">
        <f t="shared" si="36"/>
        <v>134091.45067864112</v>
      </c>
      <c r="N266" s="47">
        <v>0</v>
      </c>
      <c r="O266" s="19">
        <v>1.9E-2</v>
      </c>
      <c r="P266" s="38">
        <f t="shared" si="34"/>
        <v>0.13042709899132315</v>
      </c>
      <c r="Q266" s="31">
        <f t="shared" si="37"/>
        <v>93362.290392529641</v>
      </c>
      <c r="R266" s="47">
        <v>0</v>
      </c>
      <c r="S266" s="37">
        <f t="shared" si="33"/>
        <v>715819.72699354985</v>
      </c>
      <c r="T266" s="40">
        <f t="shared" si="38"/>
        <v>-1.4020641305263815E-2</v>
      </c>
    </row>
    <row r="267" spans="2:20" x14ac:dyDescent="0.35">
      <c r="B267" s="10" t="s">
        <v>260</v>
      </c>
      <c r="C267" s="19">
        <v>7.9299999999999995E-2</v>
      </c>
      <c r="D267" s="38">
        <f t="shared" si="30"/>
        <v>0.42701312360005123</v>
      </c>
      <c r="E267" s="32">
        <f t="shared" si="35"/>
        <v>316693.07454089919</v>
      </c>
      <c r="F267" s="47">
        <v>0</v>
      </c>
      <c r="G267" s="18">
        <v>1.77E-2</v>
      </c>
      <c r="H267" s="38">
        <f t="shared" si="31"/>
        <v>0.26750178158294985</v>
      </c>
      <c r="I267" s="32">
        <f t="shared" si="39"/>
        <v>198391.93919955275</v>
      </c>
      <c r="J267" s="47">
        <v>0</v>
      </c>
      <c r="K267" s="17">
        <v>-1.0200000000000001E-2</v>
      </c>
      <c r="L267" s="38">
        <f t="shared" si="32"/>
        <v>0.17895803193879301</v>
      </c>
      <c r="M267" s="32">
        <f t="shared" si="36"/>
        <v>132723.71788171897</v>
      </c>
      <c r="N267" s="47">
        <v>0</v>
      </c>
      <c r="O267" s="19">
        <v>5.1000000000000004E-3</v>
      </c>
      <c r="P267" s="38">
        <f t="shared" si="34"/>
        <v>0.12652706287820584</v>
      </c>
      <c r="Q267" s="31">
        <f t="shared" si="37"/>
        <v>93838.43807353155</v>
      </c>
      <c r="R267" s="47">
        <v>0</v>
      </c>
      <c r="S267" s="37">
        <f t="shared" si="33"/>
        <v>741647.1696957025</v>
      </c>
      <c r="T267" s="40">
        <f t="shared" si="38"/>
        <v>3.6080931732111132E-2</v>
      </c>
    </row>
    <row r="268" spans="2:20" x14ac:dyDescent="0.35">
      <c r="B268" s="11" t="s">
        <v>261</v>
      </c>
      <c r="C268" s="19">
        <v>3.27E-2</v>
      </c>
      <c r="D268" s="38">
        <f t="shared" si="30"/>
        <v>0.42377853680531291</v>
      </c>
      <c r="E268" s="32">
        <f t="shared" si="35"/>
        <v>327048.93807838659</v>
      </c>
      <c r="F268" s="47">
        <v>0</v>
      </c>
      <c r="G268" s="18">
        <v>0.10009999999999999</v>
      </c>
      <c r="H268" s="38">
        <f t="shared" si="31"/>
        <v>0.28280195082349874</v>
      </c>
      <c r="I268" s="32">
        <f t="shared" si="39"/>
        <v>218250.97231342798</v>
      </c>
      <c r="J268" s="47">
        <v>0</v>
      </c>
      <c r="K268" s="18">
        <v>1.7500000000000002E-2</v>
      </c>
      <c r="L268" s="38">
        <f t="shared" si="32"/>
        <v>0.17498836382528354</v>
      </c>
      <c r="M268" s="32">
        <f t="shared" si="36"/>
        <v>135046.38294464906</v>
      </c>
      <c r="N268" s="47">
        <v>0</v>
      </c>
      <c r="O268" s="17">
        <v>-2.5999999999999999E-2</v>
      </c>
      <c r="P268" s="38">
        <f t="shared" si="34"/>
        <v>0.11843114854590486</v>
      </c>
      <c r="Q268" s="31">
        <f t="shared" si="37"/>
        <v>91398.638683619734</v>
      </c>
      <c r="R268" s="47">
        <v>0</v>
      </c>
      <c r="S268" s="37">
        <f t="shared" si="33"/>
        <v>771744.9320200833</v>
      </c>
      <c r="T268" s="40">
        <f t="shared" si="38"/>
        <v>4.0582319402270306E-2</v>
      </c>
    </row>
    <row r="269" spans="2:20" x14ac:dyDescent="0.35">
      <c r="B269" s="10" t="s">
        <v>262</v>
      </c>
      <c r="C269" s="19">
        <v>1.67E-2</v>
      </c>
      <c r="D269" s="38">
        <f t="shared" si="30"/>
        <v>0.42022772751914195</v>
      </c>
      <c r="E269" s="32">
        <f t="shared" si="35"/>
        <v>332510.65534429566</v>
      </c>
      <c r="F269" s="47">
        <v>0</v>
      </c>
      <c r="G269" s="18">
        <v>4.9000000000000002E-2</v>
      </c>
      <c r="H269" s="38">
        <f t="shared" si="31"/>
        <v>0.2893415563497585</v>
      </c>
      <c r="I269" s="32">
        <f t="shared" si="39"/>
        <v>228945.26995678595</v>
      </c>
      <c r="J269" s="47">
        <v>0</v>
      </c>
      <c r="K269" s="18">
        <v>3.4099999999999998E-2</v>
      </c>
      <c r="L269" s="38">
        <f t="shared" si="32"/>
        <v>0.17649184070236512</v>
      </c>
      <c r="M269" s="32">
        <f t="shared" si="36"/>
        <v>139651.46460306158</v>
      </c>
      <c r="N269" s="47">
        <v>0</v>
      </c>
      <c r="O269" s="17">
        <v>-1.3599999999999999E-2</v>
      </c>
      <c r="P269" s="38">
        <f t="shared" si="34"/>
        <v>0.11393887542873443</v>
      </c>
      <c r="Q269" s="31">
        <f t="shared" si="37"/>
        <v>90155.617197522501</v>
      </c>
      <c r="R269" s="47">
        <v>0</v>
      </c>
      <c r="S269" s="37">
        <f t="shared" si="33"/>
        <v>791263.00710166572</v>
      </c>
      <c r="T269" s="40">
        <f t="shared" si="38"/>
        <v>2.5290836741218126E-2</v>
      </c>
    </row>
    <row r="270" spans="2:20" x14ac:dyDescent="0.35">
      <c r="B270" s="11" t="s">
        <v>263</v>
      </c>
      <c r="C270" s="19">
        <v>7.2999999999999995E-2</v>
      </c>
      <c r="D270" s="38">
        <f t="shared" si="30"/>
        <v>0.43093122876923085</v>
      </c>
      <c r="E270" s="32">
        <f t="shared" si="35"/>
        <v>356783.93318442925</v>
      </c>
      <c r="F270" s="47">
        <v>0</v>
      </c>
      <c r="G270" s="18">
        <v>4.8800000000000003E-2</v>
      </c>
      <c r="H270" s="38">
        <f t="shared" si="31"/>
        <v>0.290019388780206</v>
      </c>
      <c r="I270" s="32">
        <f t="shared" si="39"/>
        <v>240117.7991306771</v>
      </c>
      <c r="J270" s="47">
        <v>0</v>
      </c>
      <c r="K270" s="17">
        <v>-3.5999999999999999E-3</v>
      </c>
      <c r="L270" s="38">
        <f t="shared" si="32"/>
        <v>0.16806678503585165</v>
      </c>
      <c r="M270" s="32">
        <f t="shared" si="36"/>
        <v>139148.71933049057</v>
      </c>
      <c r="N270" s="47">
        <v>0</v>
      </c>
      <c r="O270" s="19">
        <v>1.9199999999999998E-2</v>
      </c>
      <c r="P270" s="38">
        <f t="shared" si="34"/>
        <v>0.11098259741471141</v>
      </c>
      <c r="Q270" s="31">
        <f t="shared" si="37"/>
        <v>91886.605047714926</v>
      </c>
      <c r="R270" s="47">
        <v>0</v>
      </c>
      <c r="S270" s="37">
        <f t="shared" si="33"/>
        <v>827937.0566933119</v>
      </c>
      <c r="T270" s="40">
        <f t="shared" si="38"/>
        <v>4.6348747840468718E-2</v>
      </c>
    </row>
    <row r="271" spans="2:20" x14ac:dyDescent="0.35">
      <c r="B271" s="10" t="s">
        <v>264</v>
      </c>
      <c r="C271" s="17">
        <v>-3.3399999999999999E-2</v>
      </c>
      <c r="D271" s="38">
        <f t="shared" si="30"/>
        <v>0.41579965168777494</v>
      </c>
      <c r="E271" s="32">
        <f t="shared" si="35"/>
        <v>344867.3498160693</v>
      </c>
      <c r="F271" s="47">
        <v>0</v>
      </c>
      <c r="G271" s="18">
        <v>4.6600000000000003E-2</v>
      </c>
      <c r="H271" s="38">
        <f t="shared" si="31"/>
        <v>0.30299616101612614</v>
      </c>
      <c r="I271" s="32">
        <f t="shared" si="39"/>
        <v>251307.28857016665</v>
      </c>
      <c r="J271" s="47">
        <v>0</v>
      </c>
      <c r="K271" s="18">
        <v>2.1999999999999999E-2</v>
      </c>
      <c r="L271" s="38">
        <f t="shared" si="32"/>
        <v>0.17145973610034071</v>
      </c>
      <c r="M271" s="32">
        <f t="shared" si="36"/>
        <v>142209.99115576135</v>
      </c>
      <c r="N271" s="47">
        <v>0</v>
      </c>
      <c r="O271" s="17">
        <v>-9.4000000000000004E-3</v>
      </c>
      <c r="P271" s="38">
        <f t="shared" si="34"/>
        <v>0.1097444511957581</v>
      </c>
      <c r="Q271" s="31">
        <f t="shared" si="37"/>
        <v>91022.870960266402</v>
      </c>
      <c r="R271" s="47">
        <v>0</v>
      </c>
      <c r="S271" s="37">
        <f t="shared" si="33"/>
        <v>829407.50050226378</v>
      </c>
      <c r="T271" s="40">
        <f t="shared" si="38"/>
        <v>1.7760333313556753E-3</v>
      </c>
    </row>
    <row r="272" spans="2:20" x14ac:dyDescent="0.35">
      <c r="B272" s="9" t="s">
        <v>265</v>
      </c>
      <c r="C272" s="19">
        <v>0.1047</v>
      </c>
      <c r="D272" s="38">
        <f t="shared" si="30"/>
        <v>0.42149040167794527</v>
      </c>
      <c r="E272" s="32">
        <f t="shared" si="35"/>
        <v>366498.5858968118</v>
      </c>
      <c r="F272" s="48">
        <v>-13104.35</v>
      </c>
      <c r="G272" s="18">
        <v>7.4200000000000002E-2</v>
      </c>
      <c r="H272" s="38">
        <f t="shared" si="31"/>
        <v>0.25615833240559938</v>
      </c>
      <c r="I272" s="32">
        <f t="shared" si="39"/>
        <v>222737.37721807306</v>
      </c>
      <c r="J272" s="48">
        <v>-43955.42</v>
      </c>
      <c r="K272" s="17">
        <v>-3.95E-2</v>
      </c>
      <c r="L272" s="38">
        <f t="shared" si="32"/>
        <v>0.18323596173477036</v>
      </c>
      <c r="M272" s="32">
        <f t="shared" si="36"/>
        <v>159329.1818601088</v>
      </c>
      <c r="N272" s="49">
        <v>23671.51</v>
      </c>
      <c r="O272" s="17">
        <v>-2.7699999999999999E-2</v>
      </c>
      <c r="P272" s="38">
        <f t="shared" si="34"/>
        <v>0.13911530418168513</v>
      </c>
      <c r="Q272" s="31">
        <f t="shared" si="37"/>
        <v>120964.94263266702</v>
      </c>
      <c r="R272" s="49">
        <v>33388.26</v>
      </c>
      <c r="S272" s="37">
        <f t="shared" si="33"/>
        <v>869530.08760766056</v>
      </c>
      <c r="T272" s="40">
        <f t="shared" si="38"/>
        <v>4.8374999118165452E-2</v>
      </c>
    </row>
    <row r="273" spans="2:20" x14ac:dyDescent="0.35">
      <c r="B273" s="10" t="s">
        <v>266</v>
      </c>
      <c r="C273" s="19">
        <v>3.5000000000000003E-2</v>
      </c>
      <c r="D273" s="38">
        <f t="shared" si="30"/>
        <v>0.42166629185058641</v>
      </c>
      <c r="E273" s="32">
        <f t="shared" si="35"/>
        <v>379326.03640320024</v>
      </c>
      <c r="F273" s="47">
        <v>0</v>
      </c>
      <c r="G273" s="18">
        <v>6.7400000000000002E-2</v>
      </c>
      <c r="H273" s="38">
        <f t="shared" si="31"/>
        <v>0.26428744448459984</v>
      </c>
      <c r="I273" s="32">
        <f t="shared" si="39"/>
        <v>237749.87644257117</v>
      </c>
      <c r="J273" s="47">
        <v>0</v>
      </c>
      <c r="K273" s="17">
        <v>-1.8800000000000001E-2</v>
      </c>
      <c r="L273" s="38">
        <f t="shared" si="32"/>
        <v>0.17378372313166926</v>
      </c>
      <c r="M273" s="32">
        <f t="shared" si="36"/>
        <v>156333.79324113874</v>
      </c>
      <c r="N273" s="47">
        <v>0</v>
      </c>
      <c r="O273" s="19">
        <v>4.3099999999999999E-2</v>
      </c>
      <c r="P273" s="38">
        <f t="shared" si="34"/>
        <v>0.14026254053314452</v>
      </c>
      <c r="Q273" s="31">
        <f t="shared" si="37"/>
        <v>126178.53166013498</v>
      </c>
      <c r="R273" s="47">
        <v>0</v>
      </c>
      <c r="S273" s="37">
        <f t="shared" si="33"/>
        <v>899588.23774704512</v>
      </c>
      <c r="T273" s="40">
        <f t="shared" si="38"/>
        <v>3.4568269192482459E-2</v>
      </c>
    </row>
    <row r="274" spans="2:20" x14ac:dyDescent="0.35">
      <c r="B274" s="11" t="s">
        <v>267</v>
      </c>
      <c r="C274" s="19">
        <v>1.34E-2</v>
      </c>
      <c r="D274" s="38">
        <f t="shared" si="30"/>
        <v>0.44143390379010089</v>
      </c>
      <c r="E274" s="32">
        <f t="shared" si="35"/>
        <v>384409.00529100315</v>
      </c>
      <c r="F274" s="47">
        <v>0</v>
      </c>
      <c r="G274" s="17">
        <v>-9.5100000000000004E-2</v>
      </c>
      <c r="H274" s="38">
        <f t="shared" si="31"/>
        <v>0.24705464326520848</v>
      </c>
      <c r="I274" s="32">
        <f t="shared" si="39"/>
        <v>215139.86319288265</v>
      </c>
      <c r="J274" s="47">
        <v>0</v>
      </c>
      <c r="K274" s="17">
        <v>-2.9700000000000001E-2</v>
      </c>
      <c r="L274" s="38">
        <f t="shared" si="32"/>
        <v>0.17419313266532488</v>
      </c>
      <c r="M274" s="32">
        <f t="shared" si="36"/>
        <v>151690.67958187693</v>
      </c>
      <c r="N274" s="47">
        <v>0</v>
      </c>
      <c r="O274" s="17">
        <v>-5.2299999999999999E-2</v>
      </c>
      <c r="P274" s="38">
        <f t="shared" si="34"/>
        <v>0.13731832027936575</v>
      </c>
      <c r="Q274" s="31">
        <f t="shared" si="37"/>
        <v>119579.39445430992</v>
      </c>
      <c r="R274" s="47">
        <v>0</v>
      </c>
      <c r="S274" s="37">
        <f t="shared" si="33"/>
        <v>870818.94252007268</v>
      </c>
      <c r="T274" s="40">
        <f t="shared" si="38"/>
        <v>-3.1980515106581509E-2</v>
      </c>
    </row>
    <row r="275" spans="2:20" x14ac:dyDescent="0.35">
      <c r="B275" s="10" t="s">
        <v>268</v>
      </c>
      <c r="C275" s="17">
        <v>-1.66E-2</v>
      </c>
      <c r="D275" s="38">
        <f t="shared" si="30"/>
        <v>0.43805969136905232</v>
      </c>
      <c r="E275" s="32">
        <f t="shared" si="35"/>
        <v>378027.81580317247</v>
      </c>
      <c r="F275" s="47">
        <v>0</v>
      </c>
      <c r="G275" s="17">
        <v>-6.0299999999999999E-2</v>
      </c>
      <c r="H275" s="38">
        <f t="shared" si="31"/>
        <v>0.23427160387228416</v>
      </c>
      <c r="I275" s="32">
        <f t="shared" si="39"/>
        <v>202166.92944235183</v>
      </c>
      <c r="J275" s="47">
        <v>0</v>
      </c>
      <c r="K275" s="18">
        <v>0.05</v>
      </c>
      <c r="L275" s="38">
        <f t="shared" si="32"/>
        <v>0.1845685634191187</v>
      </c>
      <c r="M275" s="32">
        <f t="shared" si="36"/>
        <v>159275.21356097079</v>
      </c>
      <c r="N275" s="47">
        <v>0</v>
      </c>
      <c r="O275" s="19">
        <v>3.27E-2</v>
      </c>
      <c r="P275" s="38">
        <f t="shared" si="34"/>
        <v>0.14310014133954482</v>
      </c>
      <c r="Q275" s="31">
        <f t="shared" si="37"/>
        <v>123489.64065296586</v>
      </c>
      <c r="R275" s="47">
        <v>0</v>
      </c>
      <c r="S275" s="37">
        <f t="shared" si="33"/>
        <v>862959.59945946094</v>
      </c>
      <c r="T275" s="40">
        <f t="shared" si="38"/>
        <v>-9.0252320854062873E-3</v>
      </c>
    </row>
    <row r="276" spans="2:20" x14ac:dyDescent="0.35">
      <c r="B276" s="11" t="s">
        <v>269</v>
      </c>
      <c r="C276" s="17">
        <v>-8.6599999999999996E-2</v>
      </c>
      <c r="D276" s="38">
        <f t="shared" si="30"/>
        <v>0.41157530206560949</v>
      </c>
      <c r="E276" s="32">
        <f t="shared" si="35"/>
        <v>345290.60695461772</v>
      </c>
      <c r="F276" s="47">
        <v>0</v>
      </c>
      <c r="G276" s="17">
        <v>-7.4000000000000003E-3</v>
      </c>
      <c r="H276" s="38">
        <f t="shared" si="31"/>
        <v>0.23919325408228179</v>
      </c>
      <c r="I276" s="32">
        <f t="shared" si="39"/>
        <v>200670.89416447844</v>
      </c>
      <c r="J276" s="47">
        <v>0</v>
      </c>
      <c r="K276" s="18">
        <v>6.1699999999999998E-2</v>
      </c>
      <c r="L276" s="38">
        <f t="shared" si="32"/>
        <v>0.2015647363238865</v>
      </c>
      <c r="M276" s="32">
        <f t="shared" si="36"/>
        <v>169102.49423768269</v>
      </c>
      <c r="N276" s="47">
        <v>0</v>
      </c>
      <c r="O276" s="19">
        <v>3.2000000000000002E-3</v>
      </c>
      <c r="P276" s="38">
        <f t="shared" si="34"/>
        <v>0.14766670752822228</v>
      </c>
      <c r="Q276" s="31">
        <f t="shared" si="37"/>
        <v>123884.80750305534</v>
      </c>
      <c r="R276" s="47">
        <v>0</v>
      </c>
      <c r="S276" s="37">
        <f t="shared" si="33"/>
        <v>838948.80285983416</v>
      </c>
      <c r="T276" s="40">
        <f t="shared" si="38"/>
        <v>-2.7823778325968718E-2</v>
      </c>
    </row>
    <row r="277" spans="2:20" s="1" customFormat="1" x14ac:dyDescent="0.35"/>
    <row r="278" spans="2:20" s="1" customFormat="1" x14ac:dyDescent="0.35"/>
    <row r="279" spans="2:20" s="1" customFormat="1" x14ac:dyDescent="0.35"/>
    <row r="280" spans="2:20" s="1" customFormat="1" x14ac:dyDescent="0.35"/>
    <row r="281" spans="2:20" s="1" customFormat="1" x14ac:dyDescent="0.35"/>
    <row r="282" spans="2:20" s="1" customFormat="1" x14ac:dyDescent="0.35"/>
    <row r="283" spans="2:20" s="1" customFormat="1" x14ac:dyDescent="0.35"/>
    <row r="284" spans="2:20" s="1" customFormat="1" x14ac:dyDescent="0.35"/>
    <row r="285" spans="2:20" s="1" customFormat="1" x14ac:dyDescent="0.35"/>
    <row r="286" spans="2:20" s="1" customFormat="1" x14ac:dyDescent="0.35"/>
    <row r="287" spans="2:20" s="1" customFormat="1" x14ac:dyDescent="0.35"/>
    <row r="288" spans="2:20" s="1" customFormat="1" x14ac:dyDescent="0.35"/>
    <row r="289" s="1" customFormat="1" x14ac:dyDescent="0.35"/>
    <row r="290" s="1" customFormat="1" x14ac:dyDescent="0.35"/>
    <row r="291" s="1" customFormat="1" x14ac:dyDescent="0.35"/>
    <row r="292" s="1" customFormat="1" x14ac:dyDescent="0.35"/>
    <row r="293" s="1" customFormat="1" x14ac:dyDescent="0.35"/>
    <row r="294" s="1" customFormat="1" x14ac:dyDescent="0.35"/>
    <row r="295" s="1" customFormat="1" x14ac:dyDescent="0.35"/>
    <row r="296" s="1" customFormat="1" x14ac:dyDescent="0.35"/>
    <row r="297" s="1" customFormat="1" x14ac:dyDescent="0.35"/>
    <row r="298" s="1" customFormat="1" x14ac:dyDescent="0.35"/>
    <row r="299" s="1" customFormat="1" x14ac:dyDescent="0.35"/>
    <row r="300" s="1" customFormat="1" x14ac:dyDescent="0.35"/>
    <row r="301" s="1" customFormat="1" x14ac:dyDescent="0.35"/>
    <row r="302" s="1" customFormat="1" x14ac:dyDescent="0.35"/>
    <row r="303" s="1" customFormat="1" x14ac:dyDescent="0.35"/>
    <row r="304" s="1" customFormat="1" x14ac:dyDescent="0.35"/>
    <row r="305" s="1" customFormat="1" x14ac:dyDescent="0.35"/>
    <row r="306" s="1" customFormat="1" x14ac:dyDescent="0.35"/>
    <row r="307" s="1" customFormat="1" x14ac:dyDescent="0.35"/>
    <row r="308" s="1" customFormat="1" x14ac:dyDescent="0.35"/>
    <row r="309" s="1" customFormat="1" x14ac:dyDescent="0.35"/>
    <row r="310" s="1" customFormat="1" x14ac:dyDescent="0.35"/>
    <row r="311" s="1" customFormat="1" x14ac:dyDescent="0.35"/>
    <row r="312" s="1" customFormat="1" x14ac:dyDescent="0.35"/>
    <row r="313" s="1" customFormat="1" x14ac:dyDescent="0.35"/>
    <row r="314" s="1" customFormat="1" x14ac:dyDescent="0.35"/>
    <row r="315" s="1" customFormat="1" x14ac:dyDescent="0.35"/>
    <row r="316" s="1" customFormat="1" x14ac:dyDescent="0.35"/>
    <row r="317" s="1" customFormat="1" x14ac:dyDescent="0.35"/>
    <row r="318" s="1" customFormat="1" x14ac:dyDescent="0.35"/>
    <row r="319" s="1" customFormat="1" x14ac:dyDescent="0.35"/>
    <row r="320" s="1" customFormat="1" x14ac:dyDescent="0.35"/>
    <row r="321" s="1" customFormat="1" x14ac:dyDescent="0.35"/>
    <row r="322" s="1" customFormat="1" x14ac:dyDescent="0.35"/>
    <row r="323" s="1" customFormat="1" x14ac:dyDescent="0.35"/>
    <row r="324" s="1" customFormat="1" x14ac:dyDescent="0.35"/>
    <row r="325" s="1" customFormat="1" x14ac:dyDescent="0.35"/>
    <row r="326" s="1" customFormat="1" x14ac:dyDescent="0.35"/>
    <row r="327" s="1" customFormat="1" x14ac:dyDescent="0.35"/>
    <row r="328" s="1" customFormat="1" x14ac:dyDescent="0.35"/>
    <row r="329" s="1" customFormat="1" x14ac:dyDescent="0.35"/>
    <row r="330" s="1" customFormat="1" x14ac:dyDescent="0.35"/>
    <row r="331" s="1" customFormat="1" x14ac:dyDescent="0.35"/>
    <row r="332" s="1" customFormat="1" x14ac:dyDescent="0.35"/>
    <row r="333" s="1" customFormat="1" x14ac:dyDescent="0.35"/>
    <row r="334" s="1" customFormat="1" x14ac:dyDescent="0.35"/>
    <row r="335" s="1" customFormat="1" x14ac:dyDescent="0.35"/>
    <row r="336" s="1" customFormat="1" x14ac:dyDescent="0.35"/>
    <row r="337" s="1" customFormat="1" x14ac:dyDescent="0.35"/>
    <row r="338" s="1" customFormat="1" x14ac:dyDescent="0.35"/>
    <row r="339" s="1" customFormat="1" x14ac:dyDescent="0.35"/>
    <row r="340" s="1" customFormat="1" x14ac:dyDescent="0.35"/>
    <row r="341" s="1" customFormat="1" x14ac:dyDescent="0.35"/>
    <row r="342" s="1" customFormat="1" x14ac:dyDescent="0.35"/>
    <row r="343" s="1" customFormat="1" x14ac:dyDescent="0.35"/>
  </sheetData>
  <mergeCells count="22">
    <mergeCell ref="G29:J29"/>
    <mergeCell ref="S29:S30"/>
    <mergeCell ref="T29:T30"/>
    <mergeCell ref="B25:K25"/>
    <mergeCell ref="B26:K26"/>
    <mergeCell ref="B28:K28"/>
    <mergeCell ref="B29:B30"/>
    <mergeCell ref="K29:N29"/>
    <mergeCell ref="C29:F29"/>
    <mergeCell ref="O29:R29"/>
    <mergeCell ref="B23:K23"/>
    <mergeCell ref="B2:K2"/>
    <mergeCell ref="C3:K3"/>
    <mergeCell ref="B5:K5"/>
    <mergeCell ref="B15:K15"/>
    <mergeCell ref="B16:K16"/>
    <mergeCell ref="B17:K17"/>
    <mergeCell ref="B18:K18"/>
    <mergeCell ref="B19:K19"/>
    <mergeCell ref="B20:K20"/>
    <mergeCell ref="B21:K21"/>
    <mergeCell ref="B22:K22"/>
  </mergeCells>
  <conditionalFormatting sqref="T31:T276">
    <cfRule type="colorScale" priority="1">
      <colorScale>
        <cfvo type="num" val="0"/>
        <cfvo type="num" val="0"/>
        <color rgb="FFFF0000"/>
        <color theme="9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4BCE-6A79-41AB-84DE-2C86F77E7647}">
  <dimension ref="A1:AO311"/>
  <sheetViews>
    <sheetView tabSelected="1" topLeftCell="A245" zoomScale="80" zoomScaleNormal="80" workbookViewId="0">
      <selection activeCell="H14" sqref="H14"/>
    </sheetView>
  </sheetViews>
  <sheetFormatPr defaultRowHeight="14.5" x14ac:dyDescent="0.35"/>
  <cols>
    <col min="1" max="1" width="3" style="1" customWidth="1"/>
    <col min="2" max="2" width="12" customWidth="1"/>
    <col min="3" max="7" width="14" customWidth="1"/>
    <col min="8" max="8" width="13" customWidth="1"/>
    <col min="9" max="9" width="15" customWidth="1"/>
    <col min="10" max="10" width="14" customWidth="1"/>
    <col min="11" max="11" width="16" customWidth="1"/>
    <col min="12" max="12" width="14" customWidth="1"/>
    <col min="13" max="13" width="14.26953125" bestFit="1" customWidth="1"/>
    <col min="17" max="17" width="13.7265625" bestFit="1" customWidth="1"/>
    <col min="18" max="18" width="12.81640625" customWidth="1"/>
    <col min="19" max="19" width="14.26953125" bestFit="1" customWidth="1"/>
    <col min="21" max="41" width="8.7265625" style="1"/>
  </cols>
  <sheetData>
    <row r="1" spans="2:12" s="1" customFormat="1" x14ac:dyDescent="0.35"/>
    <row r="2" spans="2:12" s="1" customFormat="1" ht="20" x14ac:dyDescent="0.35">
      <c r="B2" s="115" t="s">
        <v>401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</row>
    <row r="3" spans="2:12" s="1" customFormat="1" x14ac:dyDescent="0.35">
      <c r="B3" s="51" t="s">
        <v>305</v>
      </c>
      <c r="C3" s="151" t="s">
        <v>402</v>
      </c>
      <c r="D3" s="114"/>
      <c r="E3" s="114"/>
      <c r="F3" s="114"/>
      <c r="G3" s="114"/>
      <c r="H3" s="114"/>
      <c r="I3" s="114"/>
      <c r="J3" s="114"/>
      <c r="K3" s="114"/>
      <c r="L3" s="114"/>
    </row>
    <row r="4" spans="2:12" s="1" customFormat="1" x14ac:dyDescent="0.35"/>
    <row r="5" spans="2:12" s="1" customFormat="1" ht="44.5" customHeight="1" x14ac:dyDescent="0.35">
      <c r="B5" s="117" t="s">
        <v>403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</row>
    <row r="6" spans="2:12" s="1" customFormat="1" x14ac:dyDescent="0.35"/>
    <row r="7" spans="2:12" s="1" customFormat="1" x14ac:dyDescent="0.35">
      <c r="B7" s="152" t="s">
        <v>2</v>
      </c>
    </row>
    <row r="8" spans="2:12" s="1" customFormat="1" x14ac:dyDescent="0.35">
      <c r="B8" s="153" t="s">
        <v>3</v>
      </c>
      <c r="C8" s="153" t="s">
        <v>4</v>
      </c>
      <c r="D8" s="153" t="s">
        <v>5</v>
      </c>
      <c r="E8" s="153" t="s">
        <v>6</v>
      </c>
      <c r="F8" s="153" t="s">
        <v>7</v>
      </c>
    </row>
    <row r="9" spans="2:12" s="1" customFormat="1" x14ac:dyDescent="0.35">
      <c r="B9" s="54" t="s">
        <v>404</v>
      </c>
      <c r="C9" s="55">
        <v>0.3</v>
      </c>
      <c r="D9" s="56">
        <v>0.15</v>
      </c>
      <c r="E9" s="56">
        <v>0.55000000000000004</v>
      </c>
      <c r="F9" s="57" t="s">
        <v>285</v>
      </c>
    </row>
    <row r="10" spans="2:12" s="1" customFormat="1" x14ac:dyDescent="0.35">
      <c r="B10" s="54" t="s">
        <v>405</v>
      </c>
      <c r="C10" s="55">
        <v>0.25</v>
      </c>
      <c r="D10" s="56">
        <v>0.15</v>
      </c>
      <c r="E10" s="56">
        <v>0.4</v>
      </c>
      <c r="F10" s="57" t="s">
        <v>11</v>
      </c>
    </row>
    <row r="11" spans="2:12" s="1" customFormat="1" x14ac:dyDescent="0.35">
      <c r="B11" s="54" t="s">
        <v>406</v>
      </c>
      <c r="C11" s="55">
        <v>0.2</v>
      </c>
      <c r="D11" s="56">
        <v>0</v>
      </c>
      <c r="E11" s="56">
        <v>0.4</v>
      </c>
      <c r="F11" s="57" t="s">
        <v>349</v>
      </c>
    </row>
    <row r="12" spans="2:12" s="1" customFormat="1" x14ac:dyDescent="0.35">
      <c r="B12" s="54" t="s">
        <v>407</v>
      </c>
      <c r="C12" s="55">
        <v>0.15</v>
      </c>
      <c r="D12" s="56">
        <v>0</v>
      </c>
      <c r="E12" s="56">
        <v>0.35</v>
      </c>
      <c r="F12" s="57" t="s">
        <v>347</v>
      </c>
    </row>
    <row r="13" spans="2:12" s="1" customFormat="1" x14ac:dyDescent="0.35">
      <c r="B13" s="54" t="s">
        <v>408</v>
      </c>
      <c r="C13" s="55">
        <v>0.1</v>
      </c>
      <c r="D13" s="56">
        <v>0</v>
      </c>
      <c r="E13" s="56">
        <v>0.3</v>
      </c>
      <c r="F13" s="57" t="s">
        <v>287</v>
      </c>
    </row>
    <row r="14" spans="2:12" s="1" customFormat="1" x14ac:dyDescent="0.35"/>
    <row r="15" spans="2:12" s="1" customFormat="1" x14ac:dyDescent="0.35"/>
    <row r="16" spans="2:12" s="1" customFormat="1" x14ac:dyDescent="0.35">
      <c r="B16" s="154" t="s">
        <v>16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</row>
    <row r="17" spans="2:20" s="1" customFormat="1" x14ac:dyDescent="0.35">
      <c r="B17" s="113" t="s">
        <v>409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</row>
    <row r="18" spans="2:20" s="1" customFormat="1" x14ac:dyDescent="0.35">
      <c r="B18" s="113" t="s">
        <v>410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</row>
    <row r="19" spans="2:20" s="1" customFormat="1" x14ac:dyDescent="0.35">
      <c r="B19" s="113" t="s">
        <v>411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</row>
    <row r="20" spans="2:20" s="1" customFormat="1" x14ac:dyDescent="0.35">
      <c r="B20" s="113" t="s">
        <v>412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</row>
    <row r="21" spans="2:20" s="1" customFormat="1" x14ac:dyDescent="0.35">
      <c r="B21" s="113" t="s">
        <v>413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</row>
    <row r="22" spans="2:20" s="1" customFormat="1" x14ac:dyDescent="0.35">
      <c r="B22" s="113" t="s">
        <v>414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</row>
    <row r="23" spans="2:20" s="1" customFormat="1" x14ac:dyDescent="0.35">
      <c r="B23" s="113" t="s">
        <v>415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/>
    </row>
    <row r="24" spans="2:20" s="1" customFormat="1" x14ac:dyDescent="0.35">
      <c r="B24" s="113" t="s">
        <v>416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</row>
    <row r="25" spans="2:20" s="1" customFormat="1" x14ac:dyDescent="0.35">
      <c r="B25" s="113" t="s">
        <v>417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</row>
    <row r="26" spans="2:20" s="1" customFormat="1" x14ac:dyDescent="0.35"/>
    <row r="27" spans="2:20" s="1" customFormat="1" x14ac:dyDescent="0.35">
      <c r="B27" s="122" t="s">
        <v>325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</row>
    <row r="28" spans="2:20" s="1" customFormat="1" ht="48.5" customHeight="1" x14ac:dyDescent="0.35">
      <c r="B28" s="113" t="s">
        <v>418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2:20" s="1" customFormat="1" x14ac:dyDescent="0.35"/>
    <row r="30" spans="2:20" s="1" customFormat="1" x14ac:dyDescent="0.35">
      <c r="B30" s="154" t="s">
        <v>379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2:20" x14ac:dyDescent="0.35">
      <c r="B31" s="123" t="s">
        <v>24</v>
      </c>
      <c r="C31" s="119" t="s">
        <v>400</v>
      </c>
      <c r="D31" s="119"/>
      <c r="E31" s="119"/>
      <c r="F31" s="119"/>
      <c r="G31" s="119" t="s">
        <v>271</v>
      </c>
      <c r="H31" s="119"/>
      <c r="I31" s="119"/>
      <c r="J31" s="119"/>
      <c r="K31" s="119" t="s">
        <v>270</v>
      </c>
      <c r="L31" s="119"/>
      <c r="M31" s="119"/>
      <c r="N31" s="119"/>
      <c r="O31" s="119" t="s">
        <v>329</v>
      </c>
      <c r="P31" s="119"/>
      <c r="Q31" s="119"/>
      <c r="R31" s="119"/>
      <c r="S31" s="120" t="s">
        <v>272</v>
      </c>
      <c r="T31" s="121" t="s">
        <v>273</v>
      </c>
    </row>
    <row r="32" spans="2:20" x14ac:dyDescent="0.35">
      <c r="B32" s="123"/>
      <c r="C32" s="14" t="s">
        <v>273</v>
      </c>
      <c r="D32" s="42" t="s">
        <v>274</v>
      </c>
      <c r="E32" s="30" t="s">
        <v>275</v>
      </c>
      <c r="F32" s="46" t="s">
        <v>276</v>
      </c>
      <c r="G32" s="13" t="s">
        <v>273</v>
      </c>
      <c r="H32" s="39" t="s">
        <v>274</v>
      </c>
      <c r="I32" s="30" t="s">
        <v>275</v>
      </c>
      <c r="J32" s="46" t="s">
        <v>276</v>
      </c>
      <c r="K32" s="14" t="s">
        <v>273</v>
      </c>
      <c r="L32" s="39" t="s">
        <v>274</v>
      </c>
      <c r="M32" s="30" t="s">
        <v>275</v>
      </c>
      <c r="N32" s="46" t="s">
        <v>276</v>
      </c>
      <c r="O32" s="14" t="s">
        <v>273</v>
      </c>
      <c r="P32" s="39" t="s">
        <v>274</v>
      </c>
      <c r="Q32" s="30" t="s">
        <v>275</v>
      </c>
      <c r="R32" s="46" t="s">
        <v>276</v>
      </c>
      <c r="S32" s="120"/>
      <c r="T32" s="121"/>
    </row>
    <row r="33" spans="2:20" x14ac:dyDescent="0.35">
      <c r="B33" s="28" t="s">
        <v>280</v>
      </c>
      <c r="C33" s="35" t="s">
        <v>277</v>
      </c>
      <c r="D33" s="38">
        <f t="shared" ref="D33:D96" si="0">E33/S33</f>
        <v>0.4</v>
      </c>
      <c r="E33" s="36">
        <v>40000</v>
      </c>
      <c r="F33" s="47">
        <v>0</v>
      </c>
      <c r="G33" s="35" t="s">
        <v>277</v>
      </c>
      <c r="H33" s="38">
        <f t="shared" ref="H33:H96" si="1">I33/S33</f>
        <v>0.25</v>
      </c>
      <c r="I33" s="36">
        <v>25000</v>
      </c>
      <c r="J33" s="47">
        <v>0</v>
      </c>
      <c r="K33" s="35" t="s">
        <v>277</v>
      </c>
      <c r="L33" s="38">
        <f t="shared" ref="L33:L96" si="2">M33/S33</f>
        <v>0.2</v>
      </c>
      <c r="M33" s="36">
        <v>20000</v>
      </c>
      <c r="N33" s="47">
        <v>0</v>
      </c>
      <c r="O33" s="35" t="s">
        <v>277</v>
      </c>
      <c r="P33" s="38">
        <f>Q33/S33</f>
        <v>0.15</v>
      </c>
      <c r="Q33" s="36">
        <v>15000</v>
      </c>
      <c r="R33" s="47">
        <v>0</v>
      </c>
      <c r="S33" s="37">
        <f t="shared" ref="S33:S96" si="3">Q33+E33+M33+I33</f>
        <v>100000</v>
      </c>
      <c r="T33" s="40">
        <v>0</v>
      </c>
    </row>
    <row r="34" spans="2:20" x14ac:dyDescent="0.35">
      <c r="B34" s="9" t="s">
        <v>25</v>
      </c>
      <c r="C34" s="19">
        <v>0.18090000000000001</v>
      </c>
      <c r="D34" s="38">
        <f t="shared" si="0"/>
        <v>0.43543510324483775</v>
      </c>
      <c r="E34" s="32">
        <f>((E33+F34)*C34)+E33+F34</f>
        <v>47236</v>
      </c>
      <c r="F34" s="47">
        <v>0</v>
      </c>
      <c r="G34" s="20">
        <v>5.2699999999999997E-2</v>
      </c>
      <c r="H34" s="38">
        <f t="shared" si="1"/>
        <v>0.24260232300884957</v>
      </c>
      <c r="I34" s="32">
        <f>((I33+J34)*G34)+I33+J34</f>
        <v>26317.5</v>
      </c>
      <c r="J34" s="47">
        <v>0</v>
      </c>
      <c r="K34" s="15">
        <v>-2.2499999999999999E-2</v>
      </c>
      <c r="L34" s="38">
        <f t="shared" si="2"/>
        <v>0.18021755162241887</v>
      </c>
      <c r="M34" s="32">
        <f>((M33+N34)*K34)+M33+N34</f>
        <v>19550</v>
      </c>
      <c r="N34" s="47">
        <v>0</v>
      </c>
      <c r="O34" s="19">
        <v>2.5100000000000001E-2</v>
      </c>
      <c r="P34" s="38">
        <f t="shared" ref="P34:P97" si="4">Q34/S34</f>
        <v>0.14174502212389381</v>
      </c>
      <c r="Q34" s="31">
        <f>((Q33+R34)*O34)+Q33+R34</f>
        <v>15376.5</v>
      </c>
      <c r="R34" s="47">
        <v>0</v>
      </c>
      <c r="S34" s="37">
        <f t="shared" si="3"/>
        <v>108480</v>
      </c>
      <c r="T34" s="40">
        <f>S34/S33-1</f>
        <v>8.4799999999999986E-2</v>
      </c>
    </row>
    <row r="35" spans="2:20" x14ac:dyDescent="0.35">
      <c r="B35" s="10" t="s">
        <v>26</v>
      </c>
      <c r="C35" s="17">
        <v>-3.85E-2</v>
      </c>
      <c r="D35" s="38">
        <f t="shared" si="0"/>
        <v>0.43477285107586744</v>
      </c>
      <c r="E35" s="32">
        <f t="shared" ref="E35:E98" si="5">((E34+F35)*C35)+E34+F35</f>
        <v>45417.413999999997</v>
      </c>
      <c r="F35" s="47">
        <v>0</v>
      </c>
      <c r="G35" s="15">
        <v>-4.7199999999999999E-2</v>
      </c>
      <c r="H35" s="38">
        <f t="shared" si="1"/>
        <v>0.24004153471623491</v>
      </c>
      <c r="I35" s="32">
        <f>((I34+J35)*G35)+I34+J35</f>
        <v>25075.313999999998</v>
      </c>
      <c r="J35" s="47">
        <v>0</v>
      </c>
      <c r="K35" s="15">
        <v>-3.5099999999999999E-2</v>
      </c>
      <c r="L35" s="38">
        <f t="shared" si="2"/>
        <v>0.18057976471889597</v>
      </c>
      <c r="M35" s="32">
        <f t="shared" ref="M35:M98" si="6">((M34+N35)*K35)+M34+N35</f>
        <v>18863.794999999998</v>
      </c>
      <c r="N35" s="47">
        <v>0</v>
      </c>
      <c r="O35" s="17">
        <v>-1.7600000000000001E-2</v>
      </c>
      <c r="P35" s="38">
        <f t="shared" si="4"/>
        <v>0.14460584948900168</v>
      </c>
      <c r="Q35" s="31">
        <f t="shared" ref="Q35:Q98" si="7">((Q34+R35)*O35)+Q34+R35</f>
        <v>15105.873600000001</v>
      </c>
      <c r="R35" s="47">
        <v>0</v>
      </c>
      <c r="S35" s="37">
        <f t="shared" si="3"/>
        <v>104462.39659999999</v>
      </c>
      <c r="T35" s="40">
        <f t="shared" ref="T35:T98" si="8">S35/S34-1</f>
        <v>-3.7035429572271461E-2</v>
      </c>
    </row>
    <row r="36" spans="2:20" x14ac:dyDescent="0.35">
      <c r="B36" s="11" t="s">
        <v>27</v>
      </c>
      <c r="C36" s="17">
        <v>-8.0999999999999996E-3</v>
      </c>
      <c r="D36" s="38">
        <f t="shared" si="0"/>
        <v>0.41984679048489693</v>
      </c>
      <c r="E36" s="32">
        <f t="shared" si="5"/>
        <v>45049.532946599997</v>
      </c>
      <c r="F36" s="47">
        <v>0</v>
      </c>
      <c r="G36" s="20">
        <v>6.2600000000000003E-2</v>
      </c>
      <c r="H36" s="38">
        <f t="shared" si="1"/>
        <v>0.24832287999585007</v>
      </c>
      <c r="I36" s="32">
        <f t="shared" ref="I36:I99" si="9">((I35+J36)*G36)+I35+J36</f>
        <v>26645.028656399998</v>
      </c>
      <c r="J36" s="47">
        <v>0</v>
      </c>
      <c r="K36" s="20">
        <v>3.4500000000000003E-2</v>
      </c>
      <c r="L36" s="38">
        <f t="shared" si="2"/>
        <v>0.18186959845915276</v>
      </c>
      <c r="M36" s="32">
        <f t="shared" si="6"/>
        <v>19514.595927499999</v>
      </c>
      <c r="N36" s="47">
        <v>0</v>
      </c>
      <c r="O36" s="19">
        <v>6.5199999999999994E-2</v>
      </c>
      <c r="P36" s="38">
        <f t="shared" si="4"/>
        <v>0.14996073106010024</v>
      </c>
      <c r="Q36" s="31">
        <f t="shared" si="7"/>
        <v>16090.776558720001</v>
      </c>
      <c r="R36" s="47">
        <v>0</v>
      </c>
      <c r="S36" s="37">
        <f t="shared" si="3"/>
        <v>107299.93408922</v>
      </c>
      <c r="T36" s="40">
        <f t="shared" si="8"/>
        <v>2.7163243249006541E-2</v>
      </c>
    </row>
    <row r="37" spans="2:20" x14ac:dyDescent="0.35">
      <c r="B37" s="10" t="s">
        <v>28</v>
      </c>
      <c r="C37" s="19">
        <v>6.6500000000000004E-2</v>
      </c>
      <c r="D37" s="38">
        <f t="shared" si="0"/>
        <v>0.43359502598769623</v>
      </c>
      <c r="E37" s="32">
        <f t="shared" si="5"/>
        <v>48045.326887548894</v>
      </c>
      <c r="F37" s="47">
        <v>0</v>
      </c>
      <c r="G37" s="20">
        <v>0.08</v>
      </c>
      <c r="H37" s="38">
        <f t="shared" si="1"/>
        <v>0.25970067959648752</v>
      </c>
      <c r="I37" s="32">
        <f t="shared" si="9"/>
        <v>28776.630948911999</v>
      </c>
      <c r="J37" s="47">
        <v>0</v>
      </c>
      <c r="K37" s="15">
        <v>-2.5399999999999999E-2</v>
      </c>
      <c r="L37" s="38">
        <f t="shared" si="2"/>
        <v>0.17164023842996146</v>
      </c>
      <c r="M37" s="32">
        <f t="shared" si="6"/>
        <v>19018.9251909415</v>
      </c>
      <c r="N37" s="47">
        <v>0</v>
      </c>
      <c r="O37" s="17">
        <v>-6.9900000000000004E-2</v>
      </c>
      <c r="P37" s="38">
        <f t="shared" si="4"/>
        <v>0.13506405598585478</v>
      </c>
      <c r="Q37" s="31">
        <f t="shared" si="7"/>
        <v>14966.031277265472</v>
      </c>
      <c r="R37" s="47">
        <v>0</v>
      </c>
      <c r="S37" s="37">
        <f t="shared" si="3"/>
        <v>110806.91430466787</v>
      </c>
      <c r="T37" s="40">
        <f t="shared" si="8"/>
        <v>3.2683899064950062E-2</v>
      </c>
    </row>
    <row r="38" spans="2:20" x14ac:dyDescent="0.35">
      <c r="B38" s="11" t="s">
        <v>29</v>
      </c>
      <c r="C38" s="17">
        <v>-8.43E-2</v>
      </c>
      <c r="D38" s="38">
        <f t="shared" si="0"/>
        <v>0.39571340521085607</v>
      </c>
      <c r="E38" s="32">
        <f t="shared" si="5"/>
        <v>43995.105830928522</v>
      </c>
      <c r="F38" s="47">
        <v>0</v>
      </c>
      <c r="G38" s="20">
        <v>7.7399999999999997E-2</v>
      </c>
      <c r="H38" s="38">
        <f t="shared" si="1"/>
        <v>0.27886455334101867</v>
      </c>
      <c r="I38" s="32">
        <f t="shared" si="9"/>
        <v>31003.942184357787</v>
      </c>
      <c r="J38" s="47">
        <v>0</v>
      </c>
      <c r="K38" s="20">
        <v>6.2700000000000006E-2</v>
      </c>
      <c r="L38" s="38">
        <f t="shared" si="2"/>
        <v>0.18179127965724728</v>
      </c>
      <c r="M38" s="32">
        <f t="shared" si="6"/>
        <v>20211.411800413531</v>
      </c>
      <c r="N38" s="47">
        <v>0</v>
      </c>
      <c r="O38" s="19">
        <v>6.7000000000000004E-2</v>
      </c>
      <c r="P38" s="38">
        <f t="shared" si="4"/>
        <v>0.14363076179087805</v>
      </c>
      <c r="Q38" s="31">
        <f t="shared" si="7"/>
        <v>15968.755372842259</v>
      </c>
      <c r="R38" s="47">
        <v>0</v>
      </c>
      <c r="S38" s="37">
        <f t="shared" si="3"/>
        <v>111179.21518854209</v>
      </c>
      <c r="T38" s="40">
        <f t="shared" si="8"/>
        <v>3.3599066106160258E-3</v>
      </c>
    </row>
    <row r="39" spans="2:20" x14ac:dyDescent="0.35">
      <c r="B39" s="10" t="s">
        <v>30</v>
      </c>
      <c r="C39" s="17">
        <v>-3.8E-3</v>
      </c>
      <c r="D39" s="38">
        <f t="shared" si="0"/>
        <v>0.41220289411675054</v>
      </c>
      <c r="E39" s="32">
        <f t="shared" si="5"/>
        <v>43827.924428770995</v>
      </c>
      <c r="F39" s="47">
        <v>0</v>
      </c>
      <c r="G39" s="15">
        <v>-0.10100000000000001</v>
      </c>
      <c r="H39" s="38">
        <f t="shared" si="1"/>
        <v>0.26214208093867913</v>
      </c>
      <c r="I39" s="32">
        <f t="shared" si="9"/>
        <v>27872.54402373765</v>
      </c>
      <c r="J39" s="47">
        <v>0</v>
      </c>
      <c r="K39" s="15">
        <v>-5.8900000000000001E-2</v>
      </c>
      <c r="L39" s="38">
        <f t="shared" si="2"/>
        <v>0.17889267440536549</v>
      </c>
      <c r="M39" s="32">
        <f t="shared" si="6"/>
        <v>19020.959645369174</v>
      </c>
      <c r="N39" s="47">
        <v>0</v>
      </c>
      <c r="O39" s="17">
        <v>-2.2800000000000001E-2</v>
      </c>
      <c r="P39" s="38">
        <f t="shared" si="4"/>
        <v>0.14676235053920492</v>
      </c>
      <c r="Q39" s="31">
        <f t="shared" si="7"/>
        <v>15604.667750341456</v>
      </c>
      <c r="R39" s="47">
        <v>0</v>
      </c>
      <c r="S39" s="37">
        <f t="shared" si="3"/>
        <v>106326.09584821927</v>
      </c>
      <c r="T39" s="40">
        <f t="shared" si="8"/>
        <v>-4.3651318567888064E-2</v>
      </c>
    </row>
    <row r="40" spans="2:20" x14ac:dyDescent="0.35">
      <c r="B40" s="11" t="s">
        <v>31</v>
      </c>
      <c r="C40" s="19">
        <v>9.4000000000000004E-3</v>
      </c>
      <c r="D40" s="38">
        <f t="shared" si="0"/>
        <v>0.40787747646154859</v>
      </c>
      <c r="E40" s="32">
        <f t="shared" si="5"/>
        <v>44239.906918401444</v>
      </c>
      <c r="F40" s="47">
        <v>0</v>
      </c>
      <c r="G40" s="20">
        <v>3.61E-2</v>
      </c>
      <c r="H40" s="38">
        <f t="shared" si="1"/>
        <v>0.26625256658125457</v>
      </c>
      <c r="I40" s="32">
        <f t="shared" si="9"/>
        <v>28878.742862994579</v>
      </c>
      <c r="J40" s="47">
        <v>0</v>
      </c>
      <c r="K40" s="20">
        <v>5.4999999999999997E-3</v>
      </c>
      <c r="L40" s="38">
        <f t="shared" si="2"/>
        <v>0.17633154721660463</v>
      </c>
      <c r="M40" s="32">
        <f>((M39+N40)*K40)+M39+N40</f>
        <v>19125.574923418706</v>
      </c>
      <c r="N40" s="47">
        <v>0</v>
      </c>
      <c r="O40" s="19">
        <v>3.9399999999999998E-2</v>
      </c>
      <c r="P40" s="38">
        <f t="shared" si="4"/>
        <v>0.14953840974059215</v>
      </c>
      <c r="Q40" s="31">
        <f t="shared" si="7"/>
        <v>16219.491659704909</v>
      </c>
      <c r="R40" s="47">
        <v>0</v>
      </c>
      <c r="S40" s="37">
        <f t="shared" si="3"/>
        <v>108463.71636451964</v>
      </c>
      <c r="T40" s="40">
        <f t="shared" si="8"/>
        <v>2.0104382647058161E-2</v>
      </c>
    </row>
    <row r="41" spans="2:20" x14ac:dyDescent="0.35">
      <c r="B41" s="10" t="s">
        <v>32</v>
      </c>
      <c r="C41" s="17">
        <v>-2.5700000000000001E-2</v>
      </c>
      <c r="D41" s="38">
        <f t="shared" si="0"/>
        <v>0.40425079807837422</v>
      </c>
      <c r="E41" s="32">
        <f t="shared" si="5"/>
        <v>43102.94131059853</v>
      </c>
      <c r="F41" s="47">
        <v>0</v>
      </c>
      <c r="G41" s="15">
        <v>-3.5099999999999999E-2</v>
      </c>
      <c r="H41" s="38">
        <f t="shared" si="1"/>
        <v>0.26133920707322156</v>
      </c>
      <c r="I41" s="32">
        <f t="shared" si="9"/>
        <v>27865.098988503469</v>
      </c>
      <c r="J41" s="47">
        <v>0</v>
      </c>
      <c r="K41" s="20">
        <v>2.7000000000000001E-3</v>
      </c>
      <c r="L41" s="38">
        <f t="shared" si="2"/>
        <v>0.17985788948224452</v>
      </c>
      <c r="M41" s="32">
        <f t="shared" si="6"/>
        <v>19177.213975711937</v>
      </c>
      <c r="N41" s="47">
        <v>0</v>
      </c>
      <c r="O41" s="19">
        <v>1.6E-2</v>
      </c>
      <c r="P41" s="38">
        <f t="shared" si="4"/>
        <v>0.15455210536615976</v>
      </c>
      <c r="Q41" s="31">
        <f t="shared" si="7"/>
        <v>16479.003526260189</v>
      </c>
      <c r="R41" s="47">
        <v>0</v>
      </c>
      <c r="S41" s="37">
        <f t="shared" si="3"/>
        <v>106624.25780107411</v>
      </c>
      <c r="T41" s="40">
        <f t="shared" si="8"/>
        <v>-1.6959206498729618E-2</v>
      </c>
    </row>
    <row r="42" spans="2:20" x14ac:dyDescent="0.35">
      <c r="B42" s="11" t="s">
        <v>33</v>
      </c>
      <c r="C42" s="19">
        <v>1.1999999999999999E-3</v>
      </c>
      <c r="D42" s="38">
        <f t="shared" si="0"/>
        <v>0.40220993008352512</v>
      </c>
      <c r="E42" s="32">
        <f t="shared" si="5"/>
        <v>43154.664840171245</v>
      </c>
      <c r="F42" s="47">
        <v>0</v>
      </c>
      <c r="G42" s="15">
        <v>-2.5000000000000001E-2</v>
      </c>
      <c r="H42" s="38">
        <f t="shared" si="1"/>
        <v>0.25321547667000055</v>
      </c>
      <c r="I42" s="32">
        <f t="shared" si="9"/>
        <v>27168.471513790882</v>
      </c>
      <c r="J42" s="47">
        <v>0</v>
      </c>
      <c r="K42" s="20">
        <v>4.4400000000000002E-2</v>
      </c>
      <c r="L42" s="38">
        <f t="shared" si="2"/>
        <v>0.18667124232859797</v>
      </c>
      <c r="M42" s="32">
        <f t="shared" si="6"/>
        <v>20028.682276233547</v>
      </c>
      <c r="N42" s="47">
        <v>0</v>
      </c>
      <c r="O42" s="19">
        <v>2.81E-2</v>
      </c>
      <c r="P42" s="38">
        <f t="shared" si="4"/>
        <v>0.15790335091787636</v>
      </c>
      <c r="Q42" s="31">
        <f t="shared" si="7"/>
        <v>16942.063525348101</v>
      </c>
      <c r="R42" s="47">
        <v>0</v>
      </c>
      <c r="S42" s="37">
        <f t="shared" si="3"/>
        <v>107293.88215554378</v>
      </c>
      <c r="T42" s="40">
        <f t="shared" si="8"/>
        <v>6.2802252346643161E-3</v>
      </c>
    </row>
    <row r="43" spans="2:20" x14ac:dyDescent="0.35">
      <c r="B43" s="10" t="s">
        <v>34</v>
      </c>
      <c r="C43" s="19">
        <v>7.4800000000000005E-2</v>
      </c>
      <c r="D43" s="38">
        <f t="shared" si="0"/>
        <v>0.41575056053950282</v>
      </c>
      <c r="E43" s="32">
        <f t="shared" si="5"/>
        <v>46382.633770216053</v>
      </c>
      <c r="F43" s="47">
        <v>0</v>
      </c>
      <c r="G43" s="15">
        <v>-2E-3</v>
      </c>
      <c r="H43" s="38">
        <f t="shared" si="1"/>
        <v>0.24303744160334786</v>
      </c>
      <c r="I43" s="32">
        <f t="shared" si="9"/>
        <v>27114.134570763301</v>
      </c>
      <c r="J43" s="47">
        <v>0</v>
      </c>
      <c r="K43" s="20">
        <v>1.5900000000000001E-2</v>
      </c>
      <c r="L43" s="38">
        <f t="shared" si="2"/>
        <v>0.18238149661063038</v>
      </c>
      <c r="M43" s="32">
        <f t="shared" si="6"/>
        <v>20347.138324425661</v>
      </c>
      <c r="N43" s="47">
        <v>0</v>
      </c>
      <c r="O43" s="19">
        <v>4.5900000000000003E-2</v>
      </c>
      <c r="P43" s="38">
        <f t="shared" si="4"/>
        <v>0.15883050124651896</v>
      </c>
      <c r="Q43" s="31">
        <f t="shared" si="7"/>
        <v>17719.70424116158</v>
      </c>
      <c r="R43" s="47">
        <v>0</v>
      </c>
      <c r="S43" s="37">
        <f t="shared" si="3"/>
        <v>111563.6109065666</v>
      </c>
      <c r="T43" s="40">
        <f t="shared" si="8"/>
        <v>3.9794708377062893E-2</v>
      </c>
    </row>
    <row r="44" spans="2:20" x14ac:dyDescent="0.35">
      <c r="B44" s="11" t="s">
        <v>35</v>
      </c>
      <c r="C44" s="19">
        <v>7.0199999999999999E-2</v>
      </c>
      <c r="D44" s="38">
        <f t="shared" si="0"/>
        <v>0.41799067205966295</v>
      </c>
      <c r="E44" s="32">
        <f t="shared" si="5"/>
        <v>49638.694660885216</v>
      </c>
      <c r="F44" s="47">
        <v>0</v>
      </c>
      <c r="G44" s="20">
        <v>8.3099999999999993E-2</v>
      </c>
      <c r="H44" s="38">
        <f t="shared" si="1"/>
        <v>0.24729226973959972</v>
      </c>
      <c r="I44" s="32">
        <f t="shared" si="9"/>
        <v>29367.319153593729</v>
      </c>
      <c r="J44" s="47">
        <v>0</v>
      </c>
      <c r="K44" s="20">
        <v>2.9399999999999999E-2</v>
      </c>
      <c r="L44" s="38">
        <f t="shared" si="2"/>
        <v>0.17637366483539546</v>
      </c>
      <c r="M44" s="32">
        <f t="shared" si="6"/>
        <v>20945.344191163775</v>
      </c>
      <c r="N44" s="47">
        <v>0</v>
      </c>
      <c r="O44" s="19">
        <v>6.1199999999999997E-2</v>
      </c>
      <c r="P44" s="38">
        <f t="shared" si="4"/>
        <v>0.15834339336534178</v>
      </c>
      <c r="Q44" s="31">
        <f t="shared" si="7"/>
        <v>18804.150140720671</v>
      </c>
      <c r="R44" s="47">
        <v>0</v>
      </c>
      <c r="S44" s="37">
        <f t="shared" si="3"/>
        <v>118755.5081463634</v>
      </c>
      <c r="T44" s="40">
        <f t="shared" si="8"/>
        <v>6.4464543423750742E-2</v>
      </c>
    </row>
    <row r="45" spans="2:20" x14ac:dyDescent="0.35">
      <c r="B45" s="10" t="s">
        <v>36</v>
      </c>
      <c r="C45" s="19">
        <v>3.9600000000000003E-2</v>
      </c>
      <c r="D45" s="38">
        <f t="shared" si="0"/>
        <v>0.43481189433765444</v>
      </c>
      <c r="E45" s="32">
        <f t="shared" si="5"/>
        <v>51604.386969456267</v>
      </c>
      <c r="F45" s="47">
        <v>0</v>
      </c>
      <c r="G45" s="15">
        <v>-3.3599999999999998E-2</v>
      </c>
      <c r="H45" s="38">
        <f t="shared" si="1"/>
        <v>0.23913107533068259</v>
      </c>
      <c r="I45" s="32">
        <f t="shared" si="9"/>
        <v>28380.577230032981</v>
      </c>
      <c r="J45" s="47">
        <v>0</v>
      </c>
      <c r="K45" s="15">
        <v>-3.2000000000000002E-3</v>
      </c>
      <c r="L45" s="38">
        <f t="shared" si="2"/>
        <v>0.1759180179656876</v>
      </c>
      <c r="M45" s="32">
        <f t="shared" si="6"/>
        <v>20878.319089752051</v>
      </c>
      <c r="N45" s="47">
        <v>0</v>
      </c>
      <c r="O45" s="17">
        <v>-5.2400000000000002E-2</v>
      </c>
      <c r="P45" s="38">
        <f t="shared" si="4"/>
        <v>0.15013901236597538</v>
      </c>
      <c r="Q45" s="31">
        <f t="shared" si="7"/>
        <v>17818.812673346907</v>
      </c>
      <c r="R45" s="47">
        <v>0</v>
      </c>
      <c r="S45" s="37">
        <f t="shared" si="3"/>
        <v>118682.09596258821</v>
      </c>
      <c r="T45" s="40">
        <f t="shared" si="8"/>
        <v>-6.1817918950513029E-4</v>
      </c>
    </row>
    <row r="46" spans="2:20" x14ac:dyDescent="0.35">
      <c r="B46" s="9" t="s">
        <v>37</v>
      </c>
      <c r="C46" s="19">
        <v>5.7000000000000002E-3</v>
      </c>
      <c r="D46" s="38">
        <f t="shared" si="0"/>
        <v>0.42760858575004917</v>
      </c>
      <c r="E46" s="32">
        <f t="shared" si="5"/>
        <v>51898.531975182166</v>
      </c>
      <c r="F46" s="47">
        <v>0</v>
      </c>
      <c r="G46" s="20">
        <v>2.29E-2</v>
      </c>
      <c r="H46" s="38">
        <f t="shared" si="1"/>
        <v>0.23919150209315859</v>
      </c>
      <c r="I46" s="32">
        <f t="shared" si="9"/>
        <v>29030.492448600737</v>
      </c>
      <c r="J46" s="47">
        <v>0</v>
      </c>
      <c r="K46" s="20">
        <v>1.12E-2</v>
      </c>
      <c r="L46" s="38">
        <f t="shared" si="2"/>
        <v>0.17394980047433375</v>
      </c>
      <c r="M46" s="32">
        <f t="shared" si="6"/>
        <v>21112.156263557274</v>
      </c>
      <c r="N46" s="47">
        <v>0</v>
      </c>
      <c r="O46" s="19">
        <v>8.4699999999999998E-2</v>
      </c>
      <c r="P46" s="38">
        <f t="shared" si="4"/>
        <v>0.15925011168245834</v>
      </c>
      <c r="Q46" s="31">
        <f t="shared" si="7"/>
        <v>19328.066106779392</v>
      </c>
      <c r="R46" s="47">
        <v>0</v>
      </c>
      <c r="S46" s="37">
        <f t="shared" si="3"/>
        <v>121369.24679411958</v>
      </c>
      <c r="T46" s="40">
        <f t="shared" si="8"/>
        <v>2.2641585571411049E-2</v>
      </c>
    </row>
    <row r="47" spans="2:20" x14ac:dyDescent="0.35">
      <c r="B47" s="10" t="s">
        <v>38</v>
      </c>
      <c r="C47" s="17">
        <v>-3.1E-2</v>
      </c>
      <c r="D47" s="38">
        <f t="shared" si="0"/>
        <v>0.42098484747281378</v>
      </c>
      <c r="E47" s="32">
        <f t="shared" si="5"/>
        <v>50289.67748395152</v>
      </c>
      <c r="F47" s="47">
        <v>0</v>
      </c>
      <c r="G47" s="20">
        <v>2.53E-2</v>
      </c>
      <c r="H47" s="38">
        <f t="shared" si="1"/>
        <v>0.24916840627289091</v>
      </c>
      <c r="I47" s="32">
        <f t="shared" si="9"/>
        <v>29764.963907550336</v>
      </c>
      <c r="J47" s="47">
        <v>0</v>
      </c>
      <c r="K47" s="15">
        <v>-2.2599999999999999E-2</v>
      </c>
      <c r="L47" s="38">
        <f t="shared" si="2"/>
        <v>0.17273985093700056</v>
      </c>
      <c r="M47" s="32">
        <f t="shared" si="6"/>
        <v>20635.021532000879</v>
      </c>
      <c r="N47" s="47">
        <v>0</v>
      </c>
      <c r="O47" s="17">
        <v>-2.9000000000000001E-2</v>
      </c>
      <c r="P47" s="38">
        <f t="shared" si="4"/>
        <v>0.15710689531729466</v>
      </c>
      <c r="Q47" s="31">
        <f t="shared" si="7"/>
        <v>18767.552189682789</v>
      </c>
      <c r="R47" s="47">
        <v>0</v>
      </c>
      <c r="S47" s="37">
        <f t="shared" si="3"/>
        <v>119457.21511318554</v>
      </c>
      <c r="T47" s="40">
        <f t="shared" si="8"/>
        <v>-1.5753839884805831E-2</v>
      </c>
    </row>
    <row r="48" spans="2:20" x14ac:dyDescent="0.35">
      <c r="B48" s="11" t="s">
        <v>39</v>
      </c>
      <c r="C48" s="19">
        <v>3.0099999999999998E-2</v>
      </c>
      <c r="D48" s="38">
        <f t="shared" si="0"/>
        <v>0.44049351678101378</v>
      </c>
      <c r="E48" s="32">
        <f t="shared" si="5"/>
        <v>51803.396776218462</v>
      </c>
      <c r="F48" s="47">
        <v>0</v>
      </c>
      <c r="G48" s="15">
        <v>-5.0200000000000002E-2</v>
      </c>
      <c r="H48" s="38">
        <f t="shared" si="1"/>
        <v>0.24039133468682369</v>
      </c>
      <c r="I48" s="32">
        <f t="shared" si="9"/>
        <v>28270.76271939131</v>
      </c>
      <c r="J48" s="47">
        <v>0</v>
      </c>
      <c r="K48" s="15">
        <v>-3.15E-2</v>
      </c>
      <c r="L48" s="38">
        <f t="shared" si="2"/>
        <v>0.16993617340580724</v>
      </c>
      <c r="M48" s="32">
        <f t="shared" si="6"/>
        <v>19985.018353742853</v>
      </c>
      <c r="N48" s="47">
        <v>0</v>
      </c>
      <c r="O48" s="17">
        <v>-6.5199999999999994E-2</v>
      </c>
      <c r="P48" s="38">
        <f t="shared" si="4"/>
        <v>0.14917897512635531</v>
      </c>
      <c r="Q48" s="31">
        <f t="shared" si="7"/>
        <v>17543.907786915472</v>
      </c>
      <c r="R48" s="47">
        <v>0</v>
      </c>
      <c r="S48" s="37">
        <f t="shared" si="3"/>
        <v>117603.08563626809</v>
      </c>
      <c r="T48" s="40">
        <f t="shared" si="8"/>
        <v>-1.552128496517069E-2</v>
      </c>
    </row>
    <row r="49" spans="2:20" x14ac:dyDescent="0.35">
      <c r="B49" s="10" t="s">
        <v>40</v>
      </c>
      <c r="C49" s="19">
        <v>6.5500000000000003E-2</v>
      </c>
      <c r="D49" s="38">
        <f t="shared" si="0"/>
        <v>0.45122748516750916</v>
      </c>
      <c r="E49" s="32">
        <f t="shared" si="5"/>
        <v>55196.519265060771</v>
      </c>
      <c r="F49" s="47">
        <v>0</v>
      </c>
      <c r="G49" s="20">
        <v>2.0199999999999999E-2</v>
      </c>
      <c r="H49" s="38">
        <f t="shared" si="1"/>
        <v>0.23577985625304046</v>
      </c>
      <c r="I49" s="32">
        <f t="shared" si="9"/>
        <v>28841.832126323014</v>
      </c>
      <c r="J49" s="47">
        <v>0</v>
      </c>
      <c r="K49" s="20">
        <v>4.1000000000000002E-2</v>
      </c>
      <c r="L49" s="38">
        <f t="shared" si="2"/>
        <v>0.17007447335927206</v>
      </c>
      <c r="M49" s="32">
        <f t="shared" si="6"/>
        <v>20804.404106246311</v>
      </c>
      <c r="N49" s="47">
        <v>0</v>
      </c>
      <c r="O49" s="17">
        <v>-3.5000000000000001E-3</v>
      </c>
      <c r="P49" s="38">
        <f t="shared" si="4"/>
        <v>0.14291818522017832</v>
      </c>
      <c r="Q49" s="31">
        <f t="shared" si="7"/>
        <v>17482.504109661266</v>
      </c>
      <c r="R49" s="47">
        <v>0</v>
      </c>
      <c r="S49" s="37">
        <f t="shared" si="3"/>
        <v>122325.25960729136</v>
      </c>
      <c r="T49" s="40">
        <f t="shared" si="8"/>
        <v>4.0153487006526101E-2</v>
      </c>
    </row>
    <row r="50" spans="2:20" x14ac:dyDescent="0.35">
      <c r="B50" s="11" t="s">
        <v>41</v>
      </c>
      <c r="C50" s="19">
        <v>7.7499999999999999E-2</v>
      </c>
      <c r="D50" s="38">
        <f t="shared" si="0"/>
        <v>0.48165537314187779</v>
      </c>
      <c r="E50" s="32">
        <f t="shared" si="5"/>
        <v>59474.249508102977</v>
      </c>
      <c r="F50" s="47">
        <v>0</v>
      </c>
      <c r="G50" s="15">
        <v>-6.9099999999999995E-2</v>
      </c>
      <c r="H50" s="38">
        <f t="shared" si="1"/>
        <v>0.2174369331918693</v>
      </c>
      <c r="I50" s="32">
        <f t="shared" si="9"/>
        <v>26848.861526394092</v>
      </c>
      <c r="J50" s="47">
        <v>0</v>
      </c>
      <c r="K50" s="15">
        <v>-1.37E-2</v>
      </c>
      <c r="L50" s="38">
        <f t="shared" si="2"/>
        <v>0.16617732090977877</v>
      </c>
      <c r="M50" s="32">
        <f t="shared" si="6"/>
        <v>20519.383769990738</v>
      </c>
      <c r="N50" s="47">
        <v>0</v>
      </c>
      <c r="O50" s="17">
        <v>-4.8399999999999999E-2</v>
      </c>
      <c r="P50" s="38">
        <f t="shared" si="4"/>
        <v>0.13473037275647429</v>
      </c>
      <c r="Q50" s="31">
        <f t="shared" si="7"/>
        <v>16636.350910753659</v>
      </c>
      <c r="R50" s="47">
        <v>0</v>
      </c>
      <c r="S50" s="37">
        <f t="shared" si="3"/>
        <v>123478.84571524145</v>
      </c>
      <c r="T50" s="40">
        <f t="shared" si="8"/>
        <v>9.4304815837180644E-3</v>
      </c>
    </row>
    <row r="51" spans="2:20" x14ac:dyDescent="0.35">
      <c r="B51" s="10" t="s">
        <v>42</v>
      </c>
      <c r="C51" s="19">
        <v>2.53E-2</v>
      </c>
      <c r="D51" s="38">
        <f t="shared" si="0"/>
        <v>0.50057987177908125</v>
      </c>
      <c r="E51" s="32">
        <f t="shared" si="5"/>
        <v>60978.948020657983</v>
      </c>
      <c r="F51" s="47">
        <v>0</v>
      </c>
      <c r="G51" s="15">
        <v>-2.81E-2</v>
      </c>
      <c r="H51" s="38">
        <f t="shared" si="1"/>
        <v>0.21421057748351394</v>
      </c>
      <c r="I51" s="32">
        <f t="shared" si="9"/>
        <v>26094.408517502419</v>
      </c>
      <c r="J51" s="47">
        <v>0</v>
      </c>
      <c r="K51" s="15">
        <v>-2.7900000000000001E-2</v>
      </c>
      <c r="L51" s="38">
        <f t="shared" si="2"/>
        <v>0.16374525054664502</v>
      </c>
      <c r="M51" s="32">
        <f t="shared" si="6"/>
        <v>19946.892962807997</v>
      </c>
      <c r="N51" s="47">
        <v>0</v>
      </c>
      <c r="O51" s="17">
        <v>-0.1106</v>
      </c>
      <c r="P51" s="38">
        <f t="shared" si="4"/>
        <v>0.12146430019075991</v>
      </c>
      <c r="Q51" s="31">
        <f t="shared" si="7"/>
        <v>14796.370500024304</v>
      </c>
      <c r="R51" s="47">
        <v>0</v>
      </c>
      <c r="S51" s="37">
        <f t="shared" si="3"/>
        <v>121816.6200009927</v>
      </c>
      <c r="T51" s="40">
        <f t="shared" si="8"/>
        <v>-1.3461623362450825E-2</v>
      </c>
    </row>
    <row r="52" spans="2:20" x14ac:dyDescent="0.35">
      <c r="B52" s="11" t="s">
        <v>43</v>
      </c>
      <c r="C52" s="19">
        <v>1.15E-2</v>
      </c>
      <c r="D52" s="38">
        <f t="shared" si="0"/>
        <v>0.51465651225247599</v>
      </c>
      <c r="E52" s="32">
        <f t="shared" si="5"/>
        <v>61680.205922895548</v>
      </c>
      <c r="F52" s="47">
        <v>0</v>
      </c>
      <c r="G52" s="15">
        <v>-1.9E-3</v>
      </c>
      <c r="H52" s="38">
        <f t="shared" si="1"/>
        <v>0.21731673439675375</v>
      </c>
      <c r="I52" s="32">
        <f t="shared" si="9"/>
        <v>26044.829141319166</v>
      </c>
      <c r="J52" s="47">
        <v>0</v>
      </c>
      <c r="K52" s="15">
        <v>-5.4399999999999997E-2</v>
      </c>
      <c r="L52" s="38">
        <f t="shared" si="2"/>
        <v>0.15738175296830864</v>
      </c>
      <c r="M52" s="32">
        <f t="shared" si="6"/>
        <v>18861.781985631242</v>
      </c>
      <c r="N52" s="47">
        <v>0</v>
      </c>
      <c r="O52" s="17">
        <v>-0.1038</v>
      </c>
      <c r="P52" s="38">
        <f t="shared" si="4"/>
        <v>0.11064500038246171</v>
      </c>
      <c r="Q52" s="31">
        <f t="shared" si="7"/>
        <v>13260.507242121781</v>
      </c>
      <c r="R52" s="47">
        <v>0</v>
      </c>
      <c r="S52" s="37">
        <f t="shared" si="3"/>
        <v>119847.32429196773</v>
      </c>
      <c r="T52" s="40">
        <f>S52/S51-1</f>
        <v>-1.6166067561297681E-2</v>
      </c>
    </row>
    <row r="53" spans="2:20" x14ac:dyDescent="0.35">
      <c r="B53" s="10" t="s">
        <v>44</v>
      </c>
      <c r="C53" s="19">
        <v>1.9900000000000001E-2</v>
      </c>
      <c r="D53" s="38">
        <f t="shared" si="0"/>
        <v>0.50005287872933124</v>
      </c>
      <c r="E53" s="32">
        <f t="shared" si="5"/>
        <v>62907.642020761166</v>
      </c>
      <c r="F53" s="47">
        <v>0</v>
      </c>
      <c r="G53" s="20">
        <v>6.9099999999999995E-2</v>
      </c>
      <c r="H53" s="38">
        <f t="shared" si="1"/>
        <v>0.22133615811088306</v>
      </c>
      <c r="I53" s="32">
        <f t="shared" si="9"/>
        <v>27844.526834984321</v>
      </c>
      <c r="J53" s="47">
        <v>0</v>
      </c>
      <c r="K53" s="20">
        <v>6.7400000000000002E-2</v>
      </c>
      <c r="L53" s="38">
        <f t="shared" si="2"/>
        <v>0.16003775270039977</v>
      </c>
      <c r="M53" s="32">
        <f t="shared" si="6"/>
        <v>20133.066091462788</v>
      </c>
      <c r="N53" s="47">
        <v>0</v>
      </c>
      <c r="O53" s="19">
        <v>0.1249</v>
      </c>
      <c r="P53" s="38">
        <f t="shared" si="4"/>
        <v>0.11857321045938597</v>
      </c>
      <c r="Q53" s="31">
        <f t="shared" si="7"/>
        <v>14916.744596662791</v>
      </c>
      <c r="R53" s="47">
        <v>0</v>
      </c>
      <c r="S53" s="37">
        <f t="shared" si="3"/>
        <v>125801.97954387106</v>
      </c>
      <c r="T53" s="40">
        <f t="shared" si="8"/>
        <v>4.968534163847349E-2</v>
      </c>
    </row>
    <row r="54" spans="2:20" x14ac:dyDescent="0.35">
      <c r="B54" s="11" t="s">
        <v>45</v>
      </c>
      <c r="C54" s="19">
        <v>0.1128</v>
      </c>
      <c r="D54" s="38">
        <f t="shared" si="0"/>
        <v>0.5287971862409554</v>
      </c>
      <c r="E54" s="32">
        <f t="shared" si="5"/>
        <v>70003.624040703027</v>
      </c>
      <c r="F54" s="47">
        <v>0</v>
      </c>
      <c r="G54" s="20">
        <v>2.9700000000000001E-2</v>
      </c>
      <c r="H54" s="38">
        <f t="shared" si="1"/>
        <v>0.2165804076768762</v>
      </c>
      <c r="I54" s="32">
        <f t="shared" si="9"/>
        <v>28671.509281983355</v>
      </c>
      <c r="J54" s="47">
        <v>0</v>
      </c>
      <c r="K54" s="15">
        <v>-3.5400000000000001E-2</v>
      </c>
      <c r="L54" s="38">
        <f t="shared" si="2"/>
        <v>0.14669853900182234</v>
      </c>
      <c r="M54" s="32">
        <f t="shared" si="6"/>
        <v>19420.355551825007</v>
      </c>
      <c r="N54" s="47">
        <v>0</v>
      </c>
      <c r="O54" s="17">
        <v>-4.2200000000000001E-2</v>
      </c>
      <c r="P54" s="38">
        <f t="shared" si="4"/>
        <v>0.10792386708034604</v>
      </c>
      <c r="Q54" s="31">
        <f t="shared" si="7"/>
        <v>14287.257974683622</v>
      </c>
      <c r="R54" s="47">
        <v>0</v>
      </c>
      <c r="S54" s="37">
        <f t="shared" si="3"/>
        <v>132382.74684919501</v>
      </c>
      <c r="T54" s="40">
        <f t="shared" si="8"/>
        <v>5.2310522689581695E-2</v>
      </c>
    </row>
    <row r="55" spans="2:20" x14ac:dyDescent="0.35">
      <c r="B55" s="10" t="s">
        <v>46</v>
      </c>
      <c r="C55" s="19">
        <v>0.10630000000000001</v>
      </c>
      <c r="D55" s="38">
        <f t="shared" si="0"/>
        <v>0.55639699957959821</v>
      </c>
      <c r="E55" s="32">
        <f t="shared" si="5"/>
        <v>77445.009276229757</v>
      </c>
      <c r="F55" s="47">
        <v>0</v>
      </c>
      <c r="G55" s="20">
        <v>1.6500000000000001E-2</v>
      </c>
      <c r="H55" s="38">
        <f t="shared" si="1"/>
        <v>0.20938679106810948</v>
      </c>
      <c r="I55" s="32">
        <f t="shared" si="9"/>
        <v>29144.589185136079</v>
      </c>
      <c r="J55" s="47">
        <v>0</v>
      </c>
      <c r="K55" s="15">
        <v>-3.5299999999999998E-2</v>
      </c>
      <c r="L55" s="38">
        <f t="shared" si="2"/>
        <v>0.13459867929982641</v>
      </c>
      <c r="M55" s="32">
        <f t="shared" si="6"/>
        <v>18734.817000845585</v>
      </c>
      <c r="N55" s="47">
        <v>0</v>
      </c>
      <c r="O55" s="17">
        <v>-2.9499999999999998E-2</v>
      </c>
      <c r="P55" s="38">
        <f t="shared" si="4"/>
        <v>9.9617530052465819E-2</v>
      </c>
      <c r="Q55" s="31">
        <f t="shared" si="7"/>
        <v>13865.783864430456</v>
      </c>
      <c r="R55" s="47">
        <v>0</v>
      </c>
      <c r="S55" s="37">
        <f t="shared" si="3"/>
        <v>139190.19932664189</v>
      </c>
      <c r="T55" s="40">
        <f t="shared" si="8"/>
        <v>5.1422505118447592E-2</v>
      </c>
    </row>
    <row r="56" spans="2:20" x14ac:dyDescent="0.35">
      <c r="B56" s="11" t="s">
        <v>47</v>
      </c>
      <c r="C56" s="17">
        <v>-3.4299999999999997E-2</v>
      </c>
      <c r="D56" s="38">
        <f t="shared" si="0"/>
        <v>0.55320627603846628</v>
      </c>
      <c r="E56" s="32">
        <f t="shared" si="5"/>
        <v>74788.645458055078</v>
      </c>
      <c r="F56" s="47">
        <v>0</v>
      </c>
      <c r="G56" s="20">
        <v>5.1999999999999998E-3</v>
      </c>
      <c r="H56" s="38">
        <f t="shared" si="1"/>
        <v>0.21670146574654131</v>
      </c>
      <c r="I56" s="32">
        <f t="shared" si="9"/>
        <v>29296.141048898786</v>
      </c>
      <c r="J56" s="47">
        <v>0</v>
      </c>
      <c r="K56" s="15">
        <v>-2.3800000000000002E-2</v>
      </c>
      <c r="L56" s="38">
        <f t="shared" si="2"/>
        <v>0.13528189856515296</v>
      </c>
      <c r="M56" s="32">
        <f t="shared" si="6"/>
        <v>18288.92835622546</v>
      </c>
      <c r="N56" s="47">
        <v>0</v>
      </c>
      <c r="O56" s="17">
        <v>-7.5600000000000001E-2</v>
      </c>
      <c r="P56" s="38">
        <f t="shared" si="4"/>
        <v>9.4810359649839554E-2</v>
      </c>
      <c r="Q56" s="31">
        <f t="shared" si="7"/>
        <v>12817.530604279513</v>
      </c>
      <c r="R56" s="47">
        <v>0</v>
      </c>
      <c r="S56" s="37">
        <f t="shared" si="3"/>
        <v>135191.24546745882</v>
      </c>
      <c r="T56" s="40">
        <f t="shared" si="8"/>
        <v>-2.8730139611328531E-2</v>
      </c>
    </row>
    <row r="57" spans="2:20" x14ac:dyDescent="0.35">
      <c r="B57" s="10" t="s">
        <v>48</v>
      </c>
      <c r="C57" s="17">
        <v>-5.8999999999999999E-3</v>
      </c>
      <c r="D57" s="38">
        <f t="shared" si="0"/>
        <v>0.54902904239325401</v>
      </c>
      <c r="E57" s="32">
        <f t="shared" si="5"/>
        <v>74347.392449852559</v>
      </c>
      <c r="F57" s="47">
        <v>0</v>
      </c>
      <c r="G57" s="20">
        <v>6.1400000000000003E-2</v>
      </c>
      <c r="H57" s="38">
        <f t="shared" si="1"/>
        <v>0.22962495179014694</v>
      </c>
      <c r="I57" s="32">
        <f t="shared" si="9"/>
        <v>31094.92410930117</v>
      </c>
      <c r="J57" s="47">
        <v>0</v>
      </c>
      <c r="K57" s="15">
        <v>-1.14E-2</v>
      </c>
      <c r="L57" s="38">
        <f t="shared" si="2"/>
        <v>0.13351757677774836</v>
      </c>
      <c r="M57" s="32">
        <f t="shared" si="6"/>
        <v>18080.434572964492</v>
      </c>
      <c r="N57" s="47">
        <v>0</v>
      </c>
      <c r="O57" s="17">
        <v>-7.2099999999999997E-2</v>
      </c>
      <c r="P57" s="38">
        <f t="shared" si="4"/>
        <v>8.7828429038850728E-2</v>
      </c>
      <c r="Q57" s="31">
        <f t="shared" si="7"/>
        <v>11893.38664771096</v>
      </c>
      <c r="R57" s="47">
        <v>0</v>
      </c>
      <c r="S57" s="37">
        <f t="shared" si="3"/>
        <v>135416.13777982918</v>
      </c>
      <c r="T57" s="40">
        <f t="shared" si="8"/>
        <v>1.6635123938146812E-3</v>
      </c>
    </row>
    <row r="58" spans="2:20" x14ac:dyDescent="0.35">
      <c r="B58" s="9" t="s">
        <v>49</v>
      </c>
      <c r="C58" s="17">
        <v>-6.3899999999999998E-2</v>
      </c>
      <c r="D58" s="38">
        <f t="shared" si="0"/>
        <v>0.52685478158492849</v>
      </c>
      <c r="E58" s="32">
        <f t="shared" si="5"/>
        <v>69596.59407230698</v>
      </c>
      <c r="F58" s="47">
        <v>0</v>
      </c>
      <c r="G58" s="20">
        <v>9.6100000000000005E-2</v>
      </c>
      <c r="H58" s="38">
        <f t="shared" si="1"/>
        <v>0.25801361183702709</v>
      </c>
      <c r="I58" s="32">
        <f t="shared" si="9"/>
        <v>34083.146316205013</v>
      </c>
      <c r="J58" s="47">
        <v>0</v>
      </c>
      <c r="K58" s="15">
        <v>-7.2800000000000004E-2</v>
      </c>
      <c r="L58" s="38">
        <f t="shared" si="2"/>
        <v>0.12690689752185916</v>
      </c>
      <c r="M58" s="32">
        <f t="shared" si="6"/>
        <v>16764.178936052678</v>
      </c>
      <c r="N58" s="47">
        <v>0</v>
      </c>
      <c r="O58" s="17">
        <v>-2.01E-2</v>
      </c>
      <c r="P58" s="38">
        <f t="shared" si="4"/>
        <v>8.8224709056185208E-2</v>
      </c>
      <c r="Q58" s="31">
        <f t="shared" si="7"/>
        <v>11654.32957609197</v>
      </c>
      <c r="R58" s="47">
        <v>0</v>
      </c>
      <c r="S58" s="37">
        <f t="shared" si="3"/>
        <v>132098.24890065665</v>
      </c>
      <c r="T58" s="40">
        <f t="shared" si="8"/>
        <v>-2.450142895499674E-2</v>
      </c>
    </row>
    <row r="59" spans="2:20" x14ac:dyDescent="0.35">
      <c r="B59" s="10" t="s">
        <v>50</v>
      </c>
      <c r="C59" s="19">
        <v>3.7499999999999999E-2</v>
      </c>
      <c r="D59" s="38">
        <f t="shared" si="0"/>
        <v>0.54538397717288334</v>
      </c>
      <c r="E59" s="32">
        <f t="shared" si="5"/>
        <v>72206.466350018498</v>
      </c>
      <c r="F59" s="47">
        <v>0</v>
      </c>
      <c r="G59" s="20">
        <v>4.0000000000000002E-4</v>
      </c>
      <c r="H59" s="38">
        <f t="shared" si="1"/>
        <v>0.2575370073244061</v>
      </c>
      <c r="I59" s="32">
        <f t="shared" si="9"/>
        <v>34096.779574731496</v>
      </c>
      <c r="J59" s="47">
        <v>0</v>
      </c>
      <c r="K59" s="15">
        <v>-8.3000000000000004E-2</v>
      </c>
      <c r="L59" s="38">
        <f t="shared" si="2"/>
        <v>0.11611221398399046</v>
      </c>
      <c r="M59" s="32">
        <f t="shared" si="6"/>
        <v>15372.752084360305</v>
      </c>
      <c r="N59" s="47">
        <v>0</v>
      </c>
      <c r="O59" s="17">
        <v>-8.0199999999999994E-2</v>
      </c>
      <c r="P59" s="38">
        <f t="shared" si="4"/>
        <v>8.0966801518720183E-2</v>
      </c>
      <c r="Q59" s="31">
        <f t="shared" si="7"/>
        <v>10719.652344089394</v>
      </c>
      <c r="R59" s="47">
        <v>0</v>
      </c>
      <c r="S59" s="37">
        <f t="shared" si="3"/>
        <v>132395.65035319969</v>
      </c>
      <c r="T59" s="40">
        <f t="shared" si="8"/>
        <v>2.2513655935492149E-3</v>
      </c>
    </row>
    <row r="60" spans="2:20" x14ac:dyDescent="0.35">
      <c r="B60" s="11" t="s">
        <v>51</v>
      </c>
      <c r="C60" s="17">
        <v>-3.8100000000000002E-2</v>
      </c>
      <c r="D60" s="38">
        <f t="shared" si="0"/>
        <v>0.53166488858558536</v>
      </c>
      <c r="E60" s="32">
        <f t="shared" si="5"/>
        <v>69455.399982082788</v>
      </c>
      <c r="F60" s="47">
        <v>0</v>
      </c>
      <c r="G60" s="15">
        <v>-1.9599999999999999E-2</v>
      </c>
      <c r="H60" s="38">
        <f t="shared" si="1"/>
        <v>0.25588723889348591</v>
      </c>
      <c r="I60" s="32">
        <f t="shared" si="9"/>
        <v>33428.482695066756</v>
      </c>
      <c r="J60" s="47">
        <v>0</v>
      </c>
      <c r="K60" s="20">
        <v>3.6799999999999999E-2</v>
      </c>
      <c r="L60" s="38">
        <f t="shared" si="2"/>
        <v>0.1220052658146272</v>
      </c>
      <c r="M60" s="32">
        <f t="shared" si="6"/>
        <v>15938.469361064765</v>
      </c>
      <c r="N60" s="47">
        <v>0</v>
      </c>
      <c r="O60" s="19">
        <v>0.1022</v>
      </c>
      <c r="P60" s="38">
        <f t="shared" si="4"/>
        <v>9.0442606706301568E-2</v>
      </c>
      <c r="Q60" s="31">
        <f t="shared" si="7"/>
        <v>11815.20081365533</v>
      </c>
      <c r="R60" s="47">
        <v>0</v>
      </c>
      <c r="S60" s="37">
        <f t="shared" si="3"/>
        <v>130637.55285186964</v>
      </c>
      <c r="T60" s="40">
        <f t="shared" si="8"/>
        <v>-1.3279118284021174E-2</v>
      </c>
    </row>
    <row r="61" spans="2:20" x14ac:dyDescent="0.35">
      <c r="B61" s="10" t="s">
        <v>52</v>
      </c>
      <c r="C61" s="19">
        <v>0.14630000000000001</v>
      </c>
      <c r="D61" s="38">
        <f t="shared" si="0"/>
        <v>0.5710735148693159</v>
      </c>
      <c r="E61" s="32">
        <f t="shared" si="5"/>
        <v>79616.724999461498</v>
      </c>
      <c r="F61" s="47">
        <v>0</v>
      </c>
      <c r="G61" s="15">
        <v>-6.7000000000000004E-2</v>
      </c>
      <c r="H61" s="38">
        <f t="shared" si="1"/>
        <v>0.22371031959942098</v>
      </c>
      <c r="I61" s="32">
        <f t="shared" si="9"/>
        <v>31188.774354497284</v>
      </c>
      <c r="J61" s="47">
        <v>0</v>
      </c>
      <c r="K61" s="20">
        <v>2.41E-2</v>
      </c>
      <c r="L61" s="38">
        <f t="shared" si="2"/>
        <v>0.11707837553939843</v>
      </c>
      <c r="M61" s="32">
        <f t="shared" si="6"/>
        <v>16322.586472666426</v>
      </c>
      <c r="N61" s="47">
        <v>0</v>
      </c>
      <c r="O61" s="19">
        <v>0.04</v>
      </c>
      <c r="P61" s="38">
        <f t="shared" si="4"/>
        <v>8.8137789991864779E-2</v>
      </c>
      <c r="Q61" s="31">
        <f t="shared" si="7"/>
        <v>12287.808846201544</v>
      </c>
      <c r="R61" s="47">
        <v>0</v>
      </c>
      <c r="S61" s="37">
        <f t="shared" si="3"/>
        <v>139415.89467282675</v>
      </c>
      <c r="T61" s="40">
        <f t="shared" si="8"/>
        <v>6.7196159368592134E-2</v>
      </c>
    </row>
    <row r="62" spans="2:20" x14ac:dyDescent="0.35">
      <c r="B62" s="11" t="s">
        <v>53</v>
      </c>
      <c r="C62" s="19">
        <v>5.5E-2</v>
      </c>
      <c r="D62" s="38">
        <f t="shared" si="0"/>
        <v>0.59160336301968031</v>
      </c>
      <c r="E62" s="32">
        <f t="shared" si="5"/>
        <v>83995.644874431877</v>
      </c>
      <c r="F62" s="47">
        <v>0</v>
      </c>
      <c r="G62" s="15">
        <v>-2.6200000000000001E-2</v>
      </c>
      <c r="H62" s="38">
        <f t="shared" si="1"/>
        <v>0.21391534725369438</v>
      </c>
      <c r="I62" s="32">
        <f t="shared" si="9"/>
        <v>30371.628466409456</v>
      </c>
      <c r="J62" s="47">
        <v>0</v>
      </c>
      <c r="K62" s="15">
        <v>-2.9600000000000001E-2</v>
      </c>
      <c r="L62" s="38">
        <f t="shared" si="2"/>
        <v>0.11156131668166172</v>
      </c>
      <c r="M62" s="32">
        <f t="shared" si="6"/>
        <v>15839.437913075499</v>
      </c>
      <c r="N62" s="47">
        <v>0</v>
      </c>
      <c r="O62" s="17">
        <v>-4.19E-2</v>
      </c>
      <c r="P62" s="38">
        <f t="shared" si="4"/>
        <v>8.2919973044963555E-2</v>
      </c>
      <c r="Q62" s="31">
        <f t="shared" si="7"/>
        <v>11772.949655545699</v>
      </c>
      <c r="R62" s="47">
        <v>0</v>
      </c>
      <c r="S62" s="37">
        <f t="shared" si="3"/>
        <v>141979.66090946255</v>
      </c>
      <c r="T62" s="40">
        <f t="shared" si="8"/>
        <v>1.8389339627682411E-2</v>
      </c>
    </row>
    <row r="63" spans="2:20" x14ac:dyDescent="0.35">
      <c r="B63" s="10" t="s">
        <v>54</v>
      </c>
      <c r="C63" s="17">
        <v>-0.1239</v>
      </c>
      <c r="D63" s="38">
        <f t="shared" si="0"/>
        <v>0.5720241779316666</v>
      </c>
      <c r="E63" s="32">
        <f t="shared" si="5"/>
        <v>73588.584474489762</v>
      </c>
      <c r="F63" s="47">
        <v>0</v>
      </c>
      <c r="G63" s="20">
        <v>1.5699999999999999E-2</v>
      </c>
      <c r="H63" s="38">
        <f t="shared" si="1"/>
        <v>0.23979353364534933</v>
      </c>
      <c r="I63" s="32">
        <f t="shared" si="9"/>
        <v>30848.463033332086</v>
      </c>
      <c r="J63" s="47">
        <v>0</v>
      </c>
      <c r="K63" s="15">
        <v>-0.11</v>
      </c>
      <c r="L63" s="38">
        <f t="shared" si="2"/>
        <v>0.10958060885514352</v>
      </c>
      <c r="M63" s="32">
        <f t="shared" si="6"/>
        <v>14097.099742637194</v>
      </c>
      <c r="N63" s="47">
        <v>0</v>
      </c>
      <c r="O63" s="17">
        <v>-0.1411</v>
      </c>
      <c r="P63" s="38">
        <f t="shared" si="4"/>
        <v>7.8601679567840518E-2</v>
      </c>
      <c r="Q63" s="31">
        <f t="shared" si="7"/>
        <v>10111.786459148201</v>
      </c>
      <c r="R63" s="47">
        <v>0</v>
      </c>
      <c r="S63" s="37">
        <f t="shared" si="3"/>
        <v>128645.93370960724</v>
      </c>
      <c r="T63" s="40">
        <f t="shared" si="8"/>
        <v>-9.3912938757882647E-2</v>
      </c>
    </row>
    <row r="64" spans="2:20" x14ac:dyDescent="0.35">
      <c r="B64" s="11" t="s">
        <v>55</v>
      </c>
      <c r="C64" s="17">
        <v>-0.109</v>
      </c>
      <c r="D64" s="38">
        <f t="shared" si="0"/>
        <v>0.54964887809410745</v>
      </c>
      <c r="E64" s="32">
        <f t="shared" si="5"/>
        <v>65567.428766770376</v>
      </c>
      <c r="F64" s="47">
        <v>0</v>
      </c>
      <c r="G64" s="15">
        <v>-3.2599999999999997E-2</v>
      </c>
      <c r="H64" s="38">
        <f t="shared" si="1"/>
        <v>0.25017090913503903</v>
      </c>
      <c r="I64" s="32">
        <f t="shared" si="9"/>
        <v>29842.803138445459</v>
      </c>
      <c r="J64" s="47">
        <v>0</v>
      </c>
      <c r="K64" s="15">
        <v>-3.04E-2</v>
      </c>
      <c r="L64" s="38">
        <f t="shared" si="2"/>
        <v>0.11458283732437595</v>
      </c>
      <c r="M64" s="32">
        <f t="shared" si="6"/>
        <v>13668.547910461024</v>
      </c>
      <c r="N64" s="47">
        <v>0</v>
      </c>
      <c r="O64" s="19">
        <v>9.7999999999999997E-3</v>
      </c>
      <c r="P64" s="38">
        <f t="shared" si="4"/>
        <v>8.5597375446477553E-2</v>
      </c>
      <c r="Q64" s="31">
        <f t="shared" si="7"/>
        <v>10210.881966447854</v>
      </c>
      <c r="R64" s="47">
        <v>0</v>
      </c>
      <c r="S64" s="37">
        <f t="shared" si="3"/>
        <v>119289.66178212472</v>
      </c>
      <c r="T64" s="40">
        <f t="shared" si="8"/>
        <v>-7.272885864082157E-2</v>
      </c>
    </row>
    <row r="65" spans="2:20" x14ac:dyDescent="0.35">
      <c r="B65" s="10" t="s">
        <v>56</v>
      </c>
      <c r="C65" s="17">
        <v>-5.45E-2</v>
      </c>
      <c r="D65" s="38">
        <f t="shared" si="0"/>
        <v>0.53529289560206983</v>
      </c>
      <c r="E65" s="32">
        <f t="shared" si="5"/>
        <v>61994.003898981391</v>
      </c>
      <c r="F65" s="47">
        <v>0</v>
      </c>
      <c r="G65" s="15">
        <v>-4.8500000000000001E-2</v>
      </c>
      <c r="H65" s="38">
        <f t="shared" si="1"/>
        <v>0.24518291261108549</v>
      </c>
      <c r="I65" s="32">
        <f t="shared" si="9"/>
        <v>28395.427186230852</v>
      </c>
      <c r="J65" s="47">
        <v>0</v>
      </c>
      <c r="K65" s="20">
        <v>5.9499999999999997E-2</v>
      </c>
      <c r="L65" s="38">
        <f t="shared" si="2"/>
        <v>0.1250446552763923</v>
      </c>
      <c r="M65" s="32">
        <f t="shared" si="6"/>
        <v>14481.826511133455</v>
      </c>
      <c r="N65" s="47">
        <v>0</v>
      </c>
      <c r="O65" s="19">
        <v>7.1599999999999997E-2</v>
      </c>
      <c r="P65" s="38">
        <f t="shared" si="4"/>
        <v>9.4479536510452392E-2</v>
      </c>
      <c r="Q65" s="31">
        <f t="shared" si="7"/>
        <v>10941.98111524552</v>
      </c>
      <c r="R65" s="47">
        <v>0</v>
      </c>
      <c r="S65" s="37">
        <f t="shared" si="3"/>
        <v>115813.23871159121</v>
      </c>
      <c r="T65" s="40">
        <f t="shared" si="8"/>
        <v>-2.9142702046410229E-2</v>
      </c>
    </row>
    <row r="66" spans="2:20" x14ac:dyDescent="0.35">
      <c r="B66" s="11" t="s">
        <v>57</v>
      </c>
      <c r="C66" s="17">
        <v>-7.9100000000000004E-2</v>
      </c>
      <c r="D66" s="38">
        <f t="shared" si="0"/>
        <v>0.46964248904072353</v>
      </c>
      <c r="E66" s="32">
        <f t="shared" si="5"/>
        <v>57090.27819057196</v>
      </c>
      <c r="F66" s="47">
        <v>0</v>
      </c>
      <c r="G66" s="20">
        <v>0.2581</v>
      </c>
      <c r="H66" s="38">
        <f t="shared" si="1"/>
        <v>0.29387916070594405</v>
      </c>
      <c r="I66" s="32">
        <f t="shared" si="9"/>
        <v>35724.286942997038</v>
      </c>
      <c r="J66" s="47">
        <v>0</v>
      </c>
      <c r="K66" s="20">
        <v>9.11E-2</v>
      </c>
      <c r="L66" s="38">
        <f t="shared" si="2"/>
        <v>0.12998496394246989</v>
      </c>
      <c r="M66" s="32">
        <f t="shared" si="6"/>
        <v>15801.120906297712</v>
      </c>
      <c r="N66" s="47">
        <v>0</v>
      </c>
      <c r="O66" s="19">
        <v>0.18310000000000001</v>
      </c>
      <c r="P66" s="38">
        <f t="shared" si="4"/>
        <v>0.10649338631086254</v>
      </c>
      <c r="Q66" s="31">
        <f t="shared" si="7"/>
        <v>12945.457857446976</v>
      </c>
      <c r="R66" s="47">
        <v>0</v>
      </c>
      <c r="S66" s="37">
        <f t="shared" si="3"/>
        <v>121561.14389731368</v>
      </c>
      <c r="T66" s="40">
        <f t="shared" si="8"/>
        <v>4.9630812933540547E-2</v>
      </c>
    </row>
    <row r="67" spans="2:20" x14ac:dyDescent="0.35">
      <c r="B67" s="10" t="s">
        <v>58</v>
      </c>
      <c r="C67" s="17">
        <v>-0.28239999999999998</v>
      </c>
      <c r="D67" s="38">
        <f t="shared" si="0"/>
        <v>0.4250396778288727</v>
      </c>
      <c r="E67" s="32">
        <f t="shared" si="5"/>
        <v>40967.983629554437</v>
      </c>
      <c r="F67" s="47">
        <v>0</v>
      </c>
      <c r="G67" s="15">
        <v>-0.10829999999999999</v>
      </c>
      <c r="H67" s="38">
        <f t="shared" si="1"/>
        <v>0.33049677052524096</v>
      </c>
      <c r="I67" s="32">
        <f t="shared" si="9"/>
        <v>31855.346667070458</v>
      </c>
      <c r="J67" s="47">
        <v>0</v>
      </c>
      <c r="K67" s="15">
        <v>-0.1089</v>
      </c>
      <c r="L67" s="38">
        <f t="shared" si="2"/>
        <v>0.14608284703022262</v>
      </c>
      <c r="M67" s="32">
        <f t="shared" si="6"/>
        <v>14080.378839601892</v>
      </c>
      <c r="N67" s="47">
        <v>0</v>
      </c>
      <c r="O67" s="17">
        <v>-0.26750000000000002</v>
      </c>
      <c r="P67" s="38">
        <f t="shared" si="4"/>
        <v>9.8380704615663797E-2</v>
      </c>
      <c r="Q67" s="31">
        <f t="shared" si="7"/>
        <v>9482.5478805799103</v>
      </c>
      <c r="R67" s="47">
        <v>0</v>
      </c>
      <c r="S67" s="37">
        <f t="shared" si="3"/>
        <v>96386.257016806689</v>
      </c>
      <c r="T67" s="40">
        <f t="shared" si="8"/>
        <v>-0.2070964954210448</v>
      </c>
    </row>
    <row r="68" spans="2:20" x14ac:dyDescent="0.35">
      <c r="B68" s="11" t="s">
        <v>59</v>
      </c>
      <c r="C68" s="19">
        <v>1.7899999999999999E-2</v>
      </c>
      <c r="D68" s="38">
        <f t="shared" si="0"/>
        <v>0.40414289952718374</v>
      </c>
      <c r="E68" s="32">
        <f t="shared" si="5"/>
        <v>41701.310536523459</v>
      </c>
      <c r="F68" s="47">
        <v>0</v>
      </c>
      <c r="G68" s="20">
        <v>0.2334</v>
      </c>
      <c r="H68" s="38">
        <f t="shared" si="1"/>
        <v>0.38077772000605237</v>
      </c>
      <c r="I68" s="32">
        <f t="shared" si="9"/>
        <v>39290.384579164704</v>
      </c>
      <c r="J68" s="47">
        <v>0</v>
      </c>
      <c r="K68" s="20">
        <v>8.6999999999999994E-3</v>
      </c>
      <c r="L68" s="38">
        <f t="shared" si="2"/>
        <v>0.13764537079206476</v>
      </c>
      <c r="M68" s="32">
        <f t="shared" si="6"/>
        <v>14202.878135506427</v>
      </c>
      <c r="N68" s="47">
        <v>0</v>
      </c>
      <c r="O68" s="17">
        <v>-0.15740000000000001</v>
      </c>
      <c r="P68" s="38">
        <f t="shared" si="4"/>
        <v>7.7434009674699184E-2</v>
      </c>
      <c r="Q68" s="31">
        <f t="shared" si="7"/>
        <v>7989.9948441766319</v>
      </c>
      <c r="R68" s="47">
        <v>0</v>
      </c>
      <c r="S68" s="37">
        <f t="shared" si="3"/>
        <v>103184.56809537121</v>
      </c>
      <c r="T68" s="40">
        <f t="shared" si="8"/>
        <v>7.0531954336385594E-2</v>
      </c>
    </row>
    <row r="69" spans="2:20" x14ac:dyDescent="0.35">
      <c r="B69" s="10" t="s">
        <v>60</v>
      </c>
      <c r="C69" s="19">
        <v>9.9000000000000008E-3</v>
      </c>
      <c r="D69" s="38">
        <f t="shared" si="0"/>
        <v>0.38733569674340934</v>
      </c>
      <c r="E69" s="32">
        <f t="shared" si="5"/>
        <v>42114.153510835044</v>
      </c>
      <c r="F69" s="47">
        <v>0</v>
      </c>
      <c r="G69" s="20">
        <v>9.1200000000000003E-2</v>
      </c>
      <c r="H69" s="38">
        <f t="shared" si="1"/>
        <v>0.39432116160103231</v>
      </c>
      <c r="I69" s="32">
        <f t="shared" si="9"/>
        <v>42873.667652784527</v>
      </c>
      <c r="J69" s="47">
        <v>0</v>
      </c>
      <c r="K69" s="20">
        <v>2.2800000000000001E-2</v>
      </c>
      <c r="L69" s="38">
        <f t="shared" si="2"/>
        <v>0.13360617398266142</v>
      </c>
      <c r="M69" s="32">
        <f t="shared" si="6"/>
        <v>14526.703756995974</v>
      </c>
      <c r="N69" s="47">
        <v>0</v>
      </c>
      <c r="O69" s="19">
        <v>0.15310000000000001</v>
      </c>
      <c r="P69" s="38">
        <f t="shared" si="4"/>
        <v>8.4736967672896873E-2</v>
      </c>
      <c r="Q69" s="31">
        <f t="shared" si="7"/>
        <v>9213.2630548200741</v>
      </c>
      <c r="R69" s="47">
        <v>0</v>
      </c>
      <c r="S69" s="37">
        <f t="shared" si="3"/>
        <v>108727.78797543563</v>
      </c>
      <c r="T69" s="40">
        <f t="shared" si="8"/>
        <v>5.3721404105126824E-2</v>
      </c>
    </row>
    <row r="70" spans="2:20" x14ac:dyDescent="0.35">
      <c r="B70" s="9" t="s">
        <v>61</v>
      </c>
      <c r="C70" s="17">
        <v>-2.0000000000000001E-4</v>
      </c>
      <c r="D70" s="38">
        <f t="shared" si="0"/>
        <v>0.39285221496553557</v>
      </c>
      <c r="E70" s="32">
        <f t="shared" si="5"/>
        <v>42105.730680132874</v>
      </c>
      <c r="F70" s="47">
        <v>0</v>
      </c>
      <c r="G70" s="20">
        <v>3.7900000000000003E-2</v>
      </c>
      <c r="H70" s="38">
        <f t="shared" si="1"/>
        <v>0.41517782255830643</v>
      </c>
      <c r="I70" s="32">
        <f t="shared" si="9"/>
        <v>44498.579656825059</v>
      </c>
      <c r="J70" s="47">
        <v>0</v>
      </c>
      <c r="K70" s="15">
        <v>-9.9000000000000005E-2</v>
      </c>
      <c r="L70" s="38">
        <f t="shared" si="2"/>
        <v>0.12211805227141802</v>
      </c>
      <c r="M70" s="32">
        <f t="shared" si="6"/>
        <v>13088.560085053372</v>
      </c>
      <c r="N70" s="47">
        <v>0</v>
      </c>
      <c r="O70" s="17">
        <v>-0.18740000000000001</v>
      </c>
      <c r="P70" s="38">
        <f t="shared" si="4"/>
        <v>6.9851910204739923E-2</v>
      </c>
      <c r="Q70" s="31">
        <f t="shared" si="7"/>
        <v>7486.697558346792</v>
      </c>
      <c r="R70" s="47">
        <v>0</v>
      </c>
      <c r="S70" s="37">
        <f t="shared" si="3"/>
        <v>107179.5679803581</v>
      </c>
      <c r="T70" s="40">
        <f t="shared" si="8"/>
        <v>-1.423941408085394E-2</v>
      </c>
    </row>
    <row r="71" spans="2:20" x14ac:dyDescent="0.35">
      <c r="B71" s="10" t="s">
        <v>62</v>
      </c>
      <c r="C71" s="17">
        <v>-1.23E-2</v>
      </c>
      <c r="D71" s="38">
        <f t="shared" si="0"/>
        <v>0.3918769097651903</v>
      </c>
      <c r="E71" s="32">
        <f t="shared" si="5"/>
        <v>41587.830192767236</v>
      </c>
      <c r="F71" s="47">
        <v>0</v>
      </c>
      <c r="G71" s="20">
        <v>4.48E-2</v>
      </c>
      <c r="H71" s="38">
        <f t="shared" si="1"/>
        <v>0.4380893802838251</v>
      </c>
      <c r="I71" s="32">
        <f t="shared" si="9"/>
        <v>46492.116025450821</v>
      </c>
      <c r="J71" s="47">
        <v>0</v>
      </c>
      <c r="K71" s="15">
        <v>-8.7400000000000005E-2</v>
      </c>
      <c r="L71" s="38">
        <f t="shared" si="2"/>
        <v>0.11255265605851805</v>
      </c>
      <c r="M71" s="32">
        <f t="shared" si="6"/>
        <v>11944.619933619708</v>
      </c>
      <c r="N71" s="47">
        <v>0</v>
      </c>
      <c r="O71" s="17">
        <v>-0.1852</v>
      </c>
      <c r="P71" s="38">
        <f t="shared" si="4"/>
        <v>5.7481053892466515E-2</v>
      </c>
      <c r="Q71" s="31">
        <f t="shared" si="7"/>
        <v>6100.1611705409659</v>
      </c>
      <c r="R71" s="47">
        <v>0</v>
      </c>
      <c r="S71" s="37">
        <f t="shared" si="3"/>
        <v>106124.72732237873</v>
      </c>
      <c r="T71" s="40">
        <f t="shared" si="8"/>
        <v>-9.8418073319037624E-3</v>
      </c>
    </row>
    <row r="72" spans="2:20" x14ac:dyDescent="0.35">
      <c r="B72" s="11" t="s">
        <v>63</v>
      </c>
      <c r="C72" s="19">
        <v>9.1999999999999998E-2</v>
      </c>
      <c r="D72" s="38">
        <f t="shared" si="0"/>
        <v>0.41607542594366176</v>
      </c>
      <c r="E72" s="32">
        <f t="shared" si="5"/>
        <v>45413.910570501823</v>
      </c>
      <c r="F72" s="47">
        <v>0</v>
      </c>
      <c r="G72" s="15">
        <v>-3.7499999999999999E-2</v>
      </c>
      <c r="H72" s="38">
        <f t="shared" si="1"/>
        <v>0.40998051550131392</v>
      </c>
      <c r="I72" s="32">
        <f t="shared" si="9"/>
        <v>44748.661674496412</v>
      </c>
      <c r="J72" s="47">
        <v>0</v>
      </c>
      <c r="K72" s="20">
        <v>7.5300000000000006E-2</v>
      </c>
      <c r="L72" s="38">
        <f t="shared" si="2"/>
        <v>0.11767525479145505</v>
      </c>
      <c r="M72" s="32">
        <f t="shared" si="6"/>
        <v>12844.049814621272</v>
      </c>
      <c r="N72" s="47">
        <v>0</v>
      </c>
      <c r="O72" s="19">
        <v>6.7999999999999996E-3</v>
      </c>
      <c r="P72" s="38">
        <f t="shared" si="4"/>
        <v>5.626880376356929E-2</v>
      </c>
      <c r="Q72" s="31">
        <f t="shared" si="7"/>
        <v>6141.6422665006448</v>
      </c>
      <c r="R72" s="47">
        <v>0</v>
      </c>
      <c r="S72" s="37">
        <f t="shared" si="3"/>
        <v>109148.26432612014</v>
      </c>
      <c r="T72" s="40">
        <f t="shared" si="8"/>
        <v>2.8490410105429076E-2</v>
      </c>
    </row>
    <row r="73" spans="2:20" x14ac:dyDescent="0.35">
      <c r="B73" s="10" t="s">
        <v>64</v>
      </c>
      <c r="C73" s="19">
        <v>0.1183</v>
      </c>
      <c r="D73" s="38">
        <f t="shared" si="0"/>
        <v>0.45422440677641612</v>
      </c>
      <c r="E73" s="32">
        <f t="shared" si="5"/>
        <v>50786.376190992189</v>
      </c>
      <c r="F73" s="47">
        <v>0</v>
      </c>
      <c r="G73" s="15">
        <v>-9.7500000000000003E-2</v>
      </c>
      <c r="H73" s="38">
        <f t="shared" si="1"/>
        <v>0.36120229645041096</v>
      </c>
      <c r="I73" s="32">
        <f t="shared" si="9"/>
        <v>40385.66716123301</v>
      </c>
      <c r="J73" s="47">
        <v>0</v>
      </c>
      <c r="K73" s="20">
        <v>2.2599999999999999E-2</v>
      </c>
      <c r="L73" s="38">
        <f t="shared" si="2"/>
        <v>0.11747109330521995</v>
      </c>
      <c r="M73" s="32">
        <f t="shared" si="6"/>
        <v>13134.325340431713</v>
      </c>
      <c r="N73" s="47">
        <v>0</v>
      </c>
      <c r="O73" s="19">
        <v>0.22159999999999999</v>
      </c>
      <c r="P73" s="38">
        <f t="shared" si="4"/>
        <v>6.7102203467953009E-2</v>
      </c>
      <c r="Q73" s="31">
        <f t="shared" si="7"/>
        <v>7502.6301927571876</v>
      </c>
      <c r="R73" s="47">
        <v>0</v>
      </c>
      <c r="S73" s="37">
        <f t="shared" si="3"/>
        <v>111808.9988854141</v>
      </c>
      <c r="T73" s="40">
        <f t="shared" si="8"/>
        <v>2.4377250300051001E-2</v>
      </c>
    </row>
    <row r="74" spans="2:20" x14ac:dyDescent="0.35">
      <c r="B74" s="11" t="s">
        <v>65</v>
      </c>
      <c r="C74" s="19">
        <v>0.12509999999999999</v>
      </c>
      <c r="D74" s="38">
        <f t="shared" si="0"/>
        <v>0.48433794947672237</v>
      </c>
      <c r="E74" s="32">
        <f t="shared" si="5"/>
        <v>57139.751852485308</v>
      </c>
      <c r="F74" s="47">
        <v>0</v>
      </c>
      <c r="G74" s="20">
        <v>1.6299999999999999E-2</v>
      </c>
      <c r="H74" s="38">
        <f t="shared" si="1"/>
        <v>0.34790393114317708</v>
      </c>
      <c r="I74" s="32">
        <f t="shared" si="9"/>
        <v>41043.953535961111</v>
      </c>
      <c r="J74" s="47">
        <v>0</v>
      </c>
      <c r="K74" s="15">
        <v>-3.2000000000000001E-2</v>
      </c>
      <c r="L74" s="38">
        <f t="shared" si="2"/>
        <v>0.10776885675915611</v>
      </c>
      <c r="M74" s="32">
        <f t="shared" si="6"/>
        <v>12714.026929537898</v>
      </c>
      <c r="N74" s="47">
        <v>0</v>
      </c>
      <c r="O74" s="17">
        <v>-5.67E-2</v>
      </c>
      <c r="P74" s="38">
        <f t="shared" si="4"/>
        <v>5.9989262620944339E-2</v>
      </c>
      <c r="Q74" s="31">
        <f t="shared" si="7"/>
        <v>7077.2310608278549</v>
      </c>
      <c r="R74" s="47">
        <v>0</v>
      </c>
      <c r="S74" s="37">
        <f t="shared" si="3"/>
        <v>117974.96337881219</v>
      </c>
      <c r="T74" s="40">
        <f t="shared" si="8"/>
        <v>5.5147300797471432E-2</v>
      </c>
    </row>
    <row r="75" spans="2:20" x14ac:dyDescent="0.35">
      <c r="B75" s="10" t="s">
        <v>66</v>
      </c>
      <c r="C75" s="17">
        <v>-6.2899999999999998E-2</v>
      </c>
      <c r="D75" s="38">
        <f t="shared" si="0"/>
        <v>0.4847982623489116</v>
      </c>
      <c r="E75" s="32">
        <f t="shared" si="5"/>
        <v>53545.66146096398</v>
      </c>
      <c r="F75" s="47">
        <v>0</v>
      </c>
      <c r="G75" s="15">
        <v>-7.6499999999999999E-2</v>
      </c>
      <c r="H75" s="38">
        <f t="shared" si="1"/>
        <v>0.34318069840198578</v>
      </c>
      <c r="I75" s="32">
        <f t="shared" si="9"/>
        <v>37904.09109046009</v>
      </c>
      <c r="J75" s="47">
        <v>0</v>
      </c>
      <c r="K75" s="15">
        <v>-2.3300000000000001E-2</v>
      </c>
      <c r="L75" s="38">
        <f t="shared" si="2"/>
        <v>0.1124297076447649</v>
      </c>
      <c r="M75" s="32">
        <f t="shared" si="6"/>
        <v>12417.790102079665</v>
      </c>
      <c r="N75" s="47">
        <v>0</v>
      </c>
      <c r="O75" s="17">
        <v>-7.0000000000000007E-2</v>
      </c>
      <c r="P75" s="38">
        <f t="shared" si="4"/>
        <v>5.9591331604337737E-2</v>
      </c>
      <c r="Q75" s="31">
        <f t="shared" si="7"/>
        <v>6581.8248865699052</v>
      </c>
      <c r="R75" s="47">
        <v>0</v>
      </c>
      <c r="S75" s="37">
        <f t="shared" si="3"/>
        <v>110449.36754007364</v>
      </c>
      <c r="T75" s="40">
        <f t="shared" si="8"/>
        <v>-6.3789770500493392E-2</v>
      </c>
    </row>
    <row r="76" spans="2:20" x14ac:dyDescent="0.35">
      <c r="B76" s="11" t="s">
        <v>67</v>
      </c>
      <c r="C76" s="19">
        <v>4.6800000000000001E-2</v>
      </c>
      <c r="D76" s="38">
        <f t="shared" si="0"/>
        <v>0.49384694935001527</v>
      </c>
      <c r="E76" s="32">
        <f t="shared" si="5"/>
        <v>56051.598417337096</v>
      </c>
      <c r="F76" s="47">
        <v>0</v>
      </c>
      <c r="G76" s="15">
        <v>-8.3000000000000001E-3</v>
      </c>
      <c r="H76" s="38">
        <f t="shared" si="1"/>
        <v>0.33118508790318235</v>
      </c>
      <c r="I76" s="32">
        <f t="shared" si="9"/>
        <v>37589.487134409268</v>
      </c>
      <c r="J76" s="47">
        <v>0</v>
      </c>
      <c r="K76" s="20">
        <v>3.4000000000000002E-2</v>
      </c>
      <c r="L76" s="38">
        <f t="shared" si="2"/>
        <v>0.11312777016980302</v>
      </c>
      <c r="M76" s="32">
        <f t="shared" si="6"/>
        <v>12839.994965550373</v>
      </c>
      <c r="N76" s="47">
        <v>0</v>
      </c>
      <c r="O76" s="19">
        <v>6.6400000000000001E-2</v>
      </c>
      <c r="P76" s="38">
        <f t="shared" si="4"/>
        <v>6.1840192576999353E-2</v>
      </c>
      <c r="Q76" s="31">
        <f t="shared" si="7"/>
        <v>7018.8580590381471</v>
      </c>
      <c r="R76" s="47">
        <v>0</v>
      </c>
      <c r="S76" s="37">
        <f t="shared" si="3"/>
        <v>113499.93857633488</v>
      </c>
      <c r="T76" s="40">
        <f t="shared" si="8"/>
        <v>2.761963335964257E-2</v>
      </c>
    </row>
    <row r="77" spans="2:20" x14ac:dyDescent="0.35">
      <c r="B77" s="10" t="s">
        <v>68</v>
      </c>
      <c r="C77" s="19">
        <v>9.4999999999999998E-3</v>
      </c>
      <c r="D77" s="38">
        <f t="shared" si="0"/>
        <v>0.4909962497247034</v>
      </c>
      <c r="E77" s="32">
        <f t="shared" si="5"/>
        <v>56584.088602301796</v>
      </c>
      <c r="F77" s="47">
        <v>0</v>
      </c>
      <c r="G77" s="15">
        <v>-5.4000000000000003E-3</v>
      </c>
      <c r="H77" s="38">
        <f t="shared" si="1"/>
        <v>0.32441334057959942</v>
      </c>
      <c r="I77" s="32">
        <f t="shared" si="9"/>
        <v>37386.503903883458</v>
      </c>
      <c r="J77" s="47">
        <v>0</v>
      </c>
      <c r="K77" s="20">
        <v>3.2500000000000001E-2</v>
      </c>
      <c r="L77" s="38">
        <f t="shared" si="2"/>
        <v>0.11503732215239773</v>
      </c>
      <c r="M77" s="32">
        <f t="shared" si="6"/>
        <v>13257.294801930761</v>
      </c>
      <c r="N77" s="47">
        <v>0</v>
      </c>
      <c r="O77" s="19">
        <v>0.14199999999999999</v>
      </c>
      <c r="P77" s="38">
        <f t="shared" si="4"/>
        <v>6.9553087543299294E-2</v>
      </c>
      <c r="Q77" s="31">
        <f t="shared" si="7"/>
        <v>8015.5359034215635</v>
      </c>
      <c r="R77" s="47">
        <v>0</v>
      </c>
      <c r="S77" s="37">
        <f t="shared" si="3"/>
        <v>115243.42321153759</v>
      </c>
      <c r="T77" s="40">
        <f t="shared" si="8"/>
        <v>1.5361106420600512E-2</v>
      </c>
    </row>
    <row r="78" spans="2:20" x14ac:dyDescent="0.35">
      <c r="B78" s="11" t="s">
        <v>69</v>
      </c>
      <c r="C78" s="19">
        <v>0.1045</v>
      </c>
      <c r="D78" s="38">
        <f t="shared" si="0"/>
        <v>0.51539107112530125</v>
      </c>
      <c r="E78" s="32">
        <f t="shared" si="5"/>
        <v>62497.125861242333</v>
      </c>
      <c r="F78" s="47">
        <v>0</v>
      </c>
      <c r="G78" s="20">
        <v>7.6E-3</v>
      </c>
      <c r="H78" s="38">
        <f t="shared" si="1"/>
        <v>0.3106560808889488</v>
      </c>
      <c r="I78" s="32">
        <f t="shared" si="9"/>
        <v>37670.641333552972</v>
      </c>
      <c r="J78" s="47">
        <v>0</v>
      </c>
      <c r="K78" s="15">
        <v>-1.55E-2</v>
      </c>
      <c r="L78" s="38">
        <f t="shared" si="2"/>
        <v>0.10763350408975601</v>
      </c>
      <c r="M78" s="32">
        <f t="shared" si="6"/>
        <v>13051.806732500834</v>
      </c>
      <c r="N78" s="47">
        <v>0</v>
      </c>
      <c r="O78" s="19">
        <v>3.3E-3</v>
      </c>
      <c r="P78" s="38">
        <f t="shared" si="4"/>
        <v>6.6319343895993893E-2</v>
      </c>
      <c r="Q78" s="31">
        <f t="shared" si="7"/>
        <v>8041.9871719028542</v>
      </c>
      <c r="R78" s="47">
        <v>0</v>
      </c>
      <c r="S78" s="37">
        <f t="shared" si="3"/>
        <v>121261.561099199</v>
      </c>
      <c r="T78" s="40">
        <f t="shared" si="8"/>
        <v>5.2221096180167015E-2</v>
      </c>
    </row>
    <row r="79" spans="2:20" x14ac:dyDescent="0.35">
      <c r="B79" s="10" t="s">
        <v>70</v>
      </c>
      <c r="C79" s="17">
        <v>-1.3100000000000001E-2</v>
      </c>
      <c r="D79" s="38">
        <f t="shared" si="0"/>
        <v>0.51641049013970042</v>
      </c>
      <c r="E79" s="32">
        <f t="shared" si="5"/>
        <v>61678.413512460058</v>
      </c>
      <c r="F79" s="47">
        <v>0</v>
      </c>
      <c r="G79" s="20">
        <v>6.1000000000000004E-3</v>
      </c>
      <c r="H79" s="38">
        <f t="shared" si="1"/>
        <v>0.31732626826641969</v>
      </c>
      <c r="I79" s="32">
        <f t="shared" si="9"/>
        <v>37900.432245687647</v>
      </c>
      <c r="J79" s="47">
        <v>0</v>
      </c>
      <c r="K79" s="15">
        <v>-4.9399999999999999E-2</v>
      </c>
      <c r="L79" s="38">
        <f t="shared" si="2"/>
        <v>0.10387960885205397</v>
      </c>
      <c r="M79" s="32">
        <f t="shared" si="6"/>
        <v>12407.047479915293</v>
      </c>
      <c r="N79" s="47">
        <v>0</v>
      </c>
      <c r="O79" s="17">
        <v>-7.3499999999999996E-2</v>
      </c>
      <c r="P79" s="38">
        <f t="shared" si="4"/>
        <v>6.2383632741825901E-2</v>
      </c>
      <c r="Q79" s="31">
        <f t="shared" si="7"/>
        <v>7450.9011147679948</v>
      </c>
      <c r="R79" s="47">
        <v>0</v>
      </c>
      <c r="S79" s="37">
        <f t="shared" si="3"/>
        <v>119436.794352831</v>
      </c>
      <c r="T79" s="40">
        <f t="shared" si="8"/>
        <v>-1.5048187816708358E-2</v>
      </c>
    </row>
    <row r="80" spans="2:20" x14ac:dyDescent="0.35">
      <c r="B80" s="11" t="s">
        <v>71</v>
      </c>
      <c r="C80" s="19">
        <v>0.1168</v>
      </c>
      <c r="D80" s="38">
        <f t="shared" si="0"/>
        <v>0.51763260638320407</v>
      </c>
      <c r="E80" s="32">
        <f t="shared" si="5"/>
        <v>68882.45221071539</v>
      </c>
      <c r="F80" s="47">
        <v>0</v>
      </c>
      <c r="G80" s="20">
        <v>0.1351</v>
      </c>
      <c r="H80" s="38">
        <f t="shared" si="1"/>
        <v>0.32328928627973286</v>
      </c>
      <c r="I80" s="32">
        <f t="shared" si="9"/>
        <v>43020.780642080048</v>
      </c>
      <c r="J80" s="47">
        <v>0</v>
      </c>
      <c r="K80" s="20">
        <v>6.2899999999999998E-2</v>
      </c>
      <c r="L80" s="38">
        <f t="shared" si="2"/>
        <v>9.91000507775322E-2</v>
      </c>
      <c r="M80" s="32">
        <f t="shared" si="6"/>
        <v>13187.450766401964</v>
      </c>
      <c r="N80" s="47">
        <v>0</v>
      </c>
      <c r="O80" s="19">
        <v>7.1199999999999999E-2</v>
      </c>
      <c r="P80" s="38">
        <f t="shared" si="4"/>
        <v>5.9978056559530847E-2</v>
      </c>
      <c r="Q80" s="31">
        <f t="shared" si="7"/>
        <v>7981.4052741394762</v>
      </c>
      <c r="R80" s="47">
        <v>0</v>
      </c>
      <c r="S80" s="37">
        <f t="shared" si="3"/>
        <v>133072.08889333688</v>
      </c>
      <c r="T80" s="40">
        <f t="shared" si="8"/>
        <v>0.11416326613912253</v>
      </c>
    </row>
    <row r="81" spans="2:20" x14ac:dyDescent="0.35">
      <c r="B81" s="10" t="s">
        <v>72</v>
      </c>
      <c r="C81" s="17">
        <v>-2.5399999999999999E-2</v>
      </c>
      <c r="D81" s="38">
        <f t="shared" si="0"/>
        <v>0.52068406015552993</v>
      </c>
      <c r="E81" s="32">
        <f t="shared" si="5"/>
        <v>67132.837924563224</v>
      </c>
      <c r="F81" s="47">
        <v>0</v>
      </c>
      <c r="G81" s="15">
        <v>-7.1599999999999997E-2</v>
      </c>
      <c r="H81" s="38">
        <f t="shared" si="1"/>
        <v>0.3097795143423801</v>
      </c>
      <c r="I81" s="32">
        <f t="shared" si="9"/>
        <v>39940.492748107114</v>
      </c>
      <c r="J81" s="47">
        <v>0</v>
      </c>
      <c r="K81" s="20">
        <v>1.66E-2</v>
      </c>
      <c r="L81" s="38">
        <f t="shared" si="2"/>
        <v>0.10398010046544681</v>
      </c>
      <c r="M81" s="32">
        <f t="shared" si="6"/>
        <v>13406.362449124237</v>
      </c>
      <c r="N81" s="47">
        <v>0</v>
      </c>
      <c r="O81" s="19">
        <v>5.8999999999999997E-2</v>
      </c>
      <c r="P81" s="38">
        <f t="shared" si="4"/>
        <v>6.555632503664327E-2</v>
      </c>
      <c r="Q81" s="31">
        <f t="shared" si="7"/>
        <v>8452.3081853137046</v>
      </c>
      <c r="R81" s="47">
        <v>0</v>
      </c>
      <c r="S81" s="37">
        <f t="shared" si="3"/>
        <v>128932.00130710826</v>
      </c>
      <c r="T81" s="40">
        <f t="shared" si="8"/>
        <v>-3.1111614919843045E-2</v>
      </c>
    </row>
    <row r="82" spans="2:20" x14ac:dyDescent="0.35">
      <c r="B82" s="9" t="s">
        <v>73</v>
      </c>
      <c r="C82" s="17">
        <v>-7.3700000000000002E-2</v>
      </c>
      <c r="D82" s="38">
        <f t="shared" si="0"/>
        <v>0.49124037372293844</v>
      </c>
      <c r="E82" s="32">
        <f t="shared" si="5"/>
        <v>62185.147769522911</v>
      </c>
      <c r="F82" s="47">
        <v>0</v>
      </c>
      <c r="G82" s="20">
        <v>5.3499999999999999E-2</v>
      </c>
      <c r="H82" s="38">
        <f t="shared" si="1"/>
        <v>0.33239565706470398</v>
      </c>
      <c r="I82" s="32">
        <f t="shared" si="9"/>
        <v>42077.309110130846</v>
      </c>
      <c r="J82" s="47">
        <v>0</v>
      </c>
      <c r="K82" s="20">
        <v>2.8899999999999999E-2</v>
      </c>
      <c r="L82" s="38">
        <f t="shared" si="2"/>
        <v>0.10896612481698351</v>
      </c>
      <c r="M82" s="32">
        <f t="shared" si="6"/>
        <v>13793.806323903927</v>
      </c>
      <c r="N82" s="47">
        <v>0</v>
      </c>
      <c r="O82" s="19">
        <v>9.4000000000000004E-3</v>
      </c>
      <c r="P82" s="38">
        <f t="shared" si="4"/>
        <v>6.7397844395373954E-2</v>
      </c>
      <c r="Q82" s="31">
        <f t="shared" si="7"/>
        <v>8531.7598822556538</v>
      </c>
      <c r="R82" s="47">
        <v>0</v>
      </c>
      <c r="S82" s="37">
        <f t="shared" si="3"/>
        <v>126588.02308581336</v>
      </c>
      <c r="T82" s="40">
        <f t="shared" si="8"/>
        <v>-1.8179956857349078E-2</v>
      </c>
    </row>
    <row r="83" spans="2:20" x14ac:dyDescent="0.35">
      <c r="B83" s="10" t="s">
        <v>74</v>
      </c>
      <c r="C83" s="19">
        <v>3.6400000000000002E-2</v>
      </c>
      <c r="D83" s="38">
        <f t="shared" si="0"/>
        <v>0.49798287797324975</v>
      </c>
      <c r="E83" s="32">
        <f t="shared" si="5"/>
        <v>64448.687148333542</v>
      </c>
      <c r="F83" s="47">
        <v>0</v>
      </c>
      <c r="G83" s="20">
        <v>3.5000000000000001E-3</v>
      </c>
      <c r="H83" s="38">
        <f t="shared" si="1"/>
        <v>0.32626138167633434</v>
      </c>
      <c r="I83" s="32">
        <f t="shared" si="9"/>
        <v>42224.579692016305</v>
      </c>
      <c r="J83" s="47">
        <v>0</v>
      </c>
      <c r="K83" s="20">
        <v>8.6E-3</v>
      </c>
      <c r="L83" s="38">
        <f t="shared" si="2"/>
        <v>0.10749875227142355</v>
      </c>
      <c r="M83" s="32">
        <f t="shared" si="6"/>
        <v>13912.433058289502</v>
      </c>
      <c r="N83" s="47">
        <v>0</v>
      </c>
      <c r="O83" s="19">
        <v>3.5400000000000001E-2</v>
      </c>
      <c r="P83" s="38">
        <f t="shared" si="4"/>
        <v>6.8256988078992276E-2</v>
      </c>
      <c r="Q83" s="31">
        <f t="shared" si="7"/>
        <v>8833.7841820875037</v>
      </c>
      <c r="R83" s="47">
        <v>0</v>
      </c>
      <c r="S83" s="37">
        <f t="shared" si="3"/>
        <v>129419.48408072686</v>
      </c>
      <c r="T83" s="40">
        <f t="shared" si="8"/>
        <v>2.2367526768263701E-2</v>
      </c>
    </row>
    <row r="84" spans="2:20" x14ac:dyDescent="0.35">
      <c r="B84" s="11" t="s">
        <v>75</v>
      </c>
      <c r="C84" s="19">
        <v>5.7000000000000002E-2</v>
      </c>
      <c r="D84" s="38">
        <f t="shared" si="0"/>
        <v>0.50925141520605732</v>
      </c>
      <c r="E84" s="32">
        <f t="shared" si="5"/>
        <v>68122.262315788554</v>
      </c>
      <c r="F84" s="47">
        <v>0</v>
      </c>
      <c r="G84" s="15">
        <v>-1.2200000000000001E-2</v>
      </c>
      <c r="H84" s="38">
        <f t="shared" si="1"/>
        <v>0.31180102559143508</v>
      </c>
      <c r="I84" s="32">
        <f t="shared" si="9"/>
        <v>41709.439819773703</v>
      </c>
      <c r="J84" s="47">
        <v>0</v>
      </c>
      <c r="K84" s="20">
        <v>3.9100000000000003E-2</v>
      </c>
      <c r="L84" s="38">
        <f t="shared" si="2"/>
        <v>0.108069617610768</v>
      </c>
      <c r="M84" s="32">
        <f t="shared" si="6"/>
        <v>14456.40919086862</v>
      </c>
      <c r="N84" s="47">
        <v>0</v>
      </c>
      <c r="O84" s="19">
        <v>7.3300000000000004E-2</v>
      </c>
      <c r="P84" s="38">
        <f t="shared" si="4"/>
        <v>7.0877941591739477E-2</v>
      </c>
      <c r="Q84" s="31">
        <f t="shared" si="7"/>
        <v>9481.3005626345184</v>
      </c>
      <c r="R84" s="47">
        <v>0</v>
      </c>
      <c r="S84" s="37">
        <f t="shared" si="3"/>
        <v>133769.41188906541</v>
      </c>
      <c r="T84" s="40">
        <f t="shared" si="8"/>
        <v>3.3611073628026622E-2</v>
      </c>
    </row>
    <row r="85" spans="2:20" x14ac:dyDescent="0.35">
      <c r="B85" s="10" t="s">
        <v>76</v>
      </c>
      <c r="C85" s="17">
        <v>-5.1400000000000001E-2</v>
      </c>
      <c r="D85" s="38">
        <f t="shared" si="0"/>
        <v>0.49207828912479568</v>
      </c>
      <c r="E85" s="32">
        <f t="shared" si="5"/>
        <v>64620.778032757022</v>
      </c>
      <c r="F85" s="47">
        <v>0</v>
      </c>
      <c r="G85" s="20">
        <v>2.3699999999999999E-2</v>
      </c>
      <c r="H85" s="38">
        <f t="shared" si="1"/>
        <v>0.32513901207079332</v>
      </c>
      <c r="I85" s="32">
        <f t="shared" si="9"/>
        <v>42697.953543502343</v>
      </c>
      <c r="J85" s="47">
        <v>0</v>
      </c>
      <c r="K85" s="15">
        <v>-1.9E-2</v>
      </c>
      <c r="L85" s="38">
        <f t="shared" si="2"/>
        <v>0.10799196941058224</v>
      </c>
      <c r="M85" s="32">
        <f t="shared" si="6"/>
        <v>14181.737416242117</v>
      </c>
      <c r="N85" s="47">
        <v>0</v>
      </c>
      <c r="O85" s="19">
        <v>3.5900000000000001E-2</v>
      </c>
      <c r="P85" s="38">
        <f t="shared" si="4"/>
        <v>7.4790729393828873E-2</v>
      </c>
      <c r="Q85" s="31">
        <f t="shared" si="7"/>
        <v>9821.6792528330971</v>
      </c>
      <c r="R85" s="47">
        <v>0</v>
      </c>
      <c r="S85" s="37">
        <f t="shared" si="3"/>
        <v>131322.14824533457</v>
      </c>
      <c r="T85" s="40">
        <f t="shared" si="8"/>
        <v>-1.829464306653561E-2</v>
      </c>
    </row>
    <row r="86" spans="2:20" x14ac:dyDescent="0.35">
      <c r="B86" s="11" t="s">
        <v>77</v>
      </c>
      <c r="C86" s="17">
        <v>-7.8E-2</v>
      </c>
      <c r="D86" s="38">
        <f t="shared" si="0"/>
        <v>0.46152997528475831</v>
      </c>
      <c r="E86" s="32">
        <f t="shared" si="5"/>
        <v>59580.35734620197</v>
      </c>
      <c r="F86" s="47">
        <v>0</v>
      </c>
      <c r="G86" s="20">
        <v>7.9799999999999996E-2</v>
      </c>
      <c r="H86" s="38">
        <f t="shared" si="1"/>
        <v>0.35714715301890537</v>
      </c>
      <c r="I86" s="32">
        <f t="shared" si="9"/>
        <v>46105.250236273831</v>
      </c>
      <c r="J86" s="47">
        <v>0</v>
      </c>
      <c r="K86" s="15">
        <v>-3.7100000000000001E-2</v>
      </c>
      <c r="L86" s="38">
        <f t="shared" si="2"/>
        <v>0.10578094332145035</v>
      </c>
      <c r="M86" s="32">
        <f t="shared" si="6"/>
        <v>13655.594958099535</v>
      </c>
      <c r="N86" s="47">
        <v>0</v>
      </c>
      <c r="O86" s="17">
        <v>-7.1000000000000004E-3</v>
      </c>
      <c r="P86" s="38">
        <f t="shared" si="4"/>
        <v>7.5541928374885908E-2</v>
      </c>
      <c r="Q86" s="31">
        <f t="shared" si="7"/>
        <v>9751.9453301379817</v>
      </c>
      <c r="R86" s="47">
        <v>0</v>
      </c>
      <c r="S86" s="37">
        <f t="shared" si="3"/>
        <v>129093.14787071332</v>
      </c>
      <c r="T86" s="40">
        <f t="shared" si="8"/>
        <v>-1.6973529632313467E-2</v>
      </c>
    </row>
    <row r="87" spans="2:20" x14ac:dyDescent="0.35">
      <c r="B87" s="10" t="s">
        <v>78</v>
      </c>
      <c r="C87" s="17">
        <v>-2.7699999999999999E-2</v>
      </c>
      <c r="D87" s="38">
        <f t="shared" si="0"/>
        <v>0.45575622017120138</v>
      </c>
      <c r="E87" s="32">
        <f t="shared" si="5"/>
        <v>57929.981447712176</v>
      </c>
      <c r="F87" s="47">
        <v>0</v>
      </c>
      <c r="G87" s="20">
        <v>2.2100000000000002E-2</v>
      </c>
      <c r="H87" s="38">
        <f t="shared" si="1"/>
        <v>0.37074302316641966</v>
      </c>
      <c r="I87" s="32">
        <f t="shared" si="9"/>
        <v>47124.17626649548</v>
      </c>
      <c r="J87" s="47">
        <v>0</v>
      </c>
      <c r="K87" s="15">
        <v>-5.4899999999999997E-2</v>
      </c>
      <c r="L87" s="38">
        <f t="shared" si="2"/>
        <v>0.10153542826540649</v>
      </c>
      <c r="M87" s="32">
        <f t="shared" si="6"/>
        <v>12905.90279489987</v>
      </c>
      <c r="N87" s="47">
        <v>0</v>
      </c>
      <c r="O87" s="17">
        <v>-6.2E-2</v>
      </c>
      <c r="P87" s="38">
        <f t="shared" si="4"/>
        <v>7.1965328396972505E-2</v>
      </c>
      <c r="Q87" s="31">
        <f t="shared" si="7"/>
        <v>9147.3247196694265</v>
      </c>
      <c r="R87" s="47">
        <v>0</v>
      </c>
      <c r="S87" s="37">
        <f t="shared" si="3"/>
        <v>127107.38522877696</v>
      </c>
      <c r="T87" s="40">
        <f t="shared" si="8"/>
        <v>-1.5382401581260585E-2</v>
      </c>
    </row>
    <row r="88" spans="2:20" x14ac:dyDescent="0.35">
      <c r="B88" s="11" t="s">
        <v>79</v>
      </c>
      <c r="C88" s="19">
        <v>0.1072</v>
      </c>
      <c r="D88" s="38">
        <f t="shared" si="0"/>
        <v>0.49000056142850779</v>
      </c>
      <c r="E88" s="32">
        <f t="shared" si="5"/>
        <v>64140.075458906926</v>
      </c>
      <c r="F88" s="47">
        <v>0</v>
      </c>
      <c r="G88" s="15">
        <v>-7.4999999999999997E-2</v>
      </c>
      <c r="H88" s="38">
        <f t="shared" si="1"/>
        <v>0.33300642714499301</v>
      </c>
      <c r="I88" s="32">
        <f t="shared" si="9"/>
        <v>43589.863046508319</v>
      </c>
      <c r="J88" s="47">
        <v>0</v>
      </c>
      <c r="K88" s="20">
        <v>3.9600000000000003E-2</v>
      </c>
      <c r="L88" s="38">
        <f t="shared" si="2"/>
        <v>0.10249950585446871</v>
      </c>
      <c r="M88" s="32">
        <f t="shared" si="6"/>
        <v>13416.976545577905</v>
      </c>
      <c r="N88" s="47">
        <v>0</v>
      </c>
      <c r="O88" s="19">
        <v>6.6000000000000003E-2</v>
      </c>
      <c r="P88" s="38">
        <f t="shared" si="4"/>
        <v>7.4493505572030522E-2</v>
      </c>
      <c r="Q88" s="31">
        <f t="shared" si="7"/>
        <v>9751.048151167608</v>
      </c>
      <c r="R88" s="47">
        <v>0</v>
      </c>
      <c r="S88" s="37">
        <f t="shared" si="3"/>
        <v>130897.96320216075</v>
      </c>
      <c r="T88" s="40">
        <f t="shared" si="8"/>
        <v>2.98218546983815E-2</v>
      </c>
    </row>
    <row r="89" spans="2:20" x14ac:dyDescent="0.35">
      <c r="B89" s="10" t="s">
        <v>80</v>
      </c>
      <c r="C89" s="17">
        <v>-3.9300000000000002E-2</v>
      </c>
      <c r="D89" s="38">
        <f t="shared" si="0"/>
        <v>0.47420034254338939</v>
      </c>
      <c r="E89" s="32">
        <f t="shared" si="5"/>
        <v>61619.370493371884</v>
      </c>
      <c r="F89" s="47">
        <v>0</v>
      </c>
      <c r="G89" s="20">
        <v>5.4399999999999997E-2</v>
      </c>
      <c r="H89" s="38">
        <f t="shared" si="1"/>
        <v>0.35370036493588086</v>
      </c>
      <c r="I89" s="32">
        <f t="shared" si="9"/>
        <v>45961.151596238371</v>
      </c>
      <c r="J89" s="47">
        <v>0</v>
      </c>
      <c r="K89" s="15">
        <v>-4.9299999999999997E-2</v>
      </c>
      <c r="L89" s="38">
        <f t="shared" si="2"/>
        <v>9.8161855859619271E-2</v>
      </c>
      <c r="M89" s="32">
        <f t="shared" si="6"/>
        <v>12755.519601880915</v>
      </c>
      <c r="N89" s="47">
        <v>0</v>
      </c>
      <c r="O89" s="17">
        <v>-1.47E-2</v>
      </c>
      <c r="P89" s="38">
        <f t="shared" si="4"/>
        <v>7.3937436661110481E-2</v>
      </c>
      <c r="Q89" s="31">
        <f t="shared" si="7"/>
        <v>9607.7077433454433</v>
      </c>
      <c r="R89" s="47">
        <v>0</v>
      </c>
      <c r="S89" s="37">
        <f t="shared" si="3"/>
        <v>129943.74943483662</v>
      </c>
      <c r="T89" s="40">
        <f t="shared" si="8"/>
        <v>-7.2897525979868094E-3</v>
      </c>
    </row>
    <row r="90" spans="2:20" x14ac:dyDescent="0.35">
      <c r="B90" s="11" t="s">
        <v>81</v>
      </c>
      <c r="C90" s="19">
        <v>9.7699999999999995E-2</v>
      </c>
      <c r="D90" s="38">
        <f t="shared" si="0"/>
        <v>0.49296108185744397</v>
      </c>
      <c r="E90" s="32">
        <f t="shared" si="5"/>
        <v>67639.582990574316</v>
      </c>
      <c r="F90" s="47">
        <v>0</v>
      </c>
      <c r="G90" s="20">
        <v>1.2800000000000001E-2</v>
      </c>
      <c r="H90" s="38">
        <f t="shared" si="1"/>
        <v>0.3392550390630934</v>
      </c>
      <c r="I90" s="32">
        <f t="shared" si="9"/>
        <v>46549.45433667022</v>
      </c>
      <c r="J90" s="47">
        <v>0</v>
      </c>
      <c r="K90" s="20">
        <v>5.11E-2</v>
      </c>
      <c r="L90" s="38">
        <f t="shared" si="2"/>
        <v>9.7713350078825478E-2</v>
      </c>
      <c r="M90" s="32">
        <f t="shared" si="6"/>
        <v>13407.326653537029</v>
      </c>
      <c r="N90" s="47">
        <v>0</v>
      </c>
      <c r="O90" s="19">
        <v>6.9999999999999999E-4</v>
      </c>
      <c r="P90" s="38">
        <f t="shared" si="4"/>
        <v>7.0070529000637163E-2</v>
      </c>
      <c r="Q90" s="31">
        <f t="shared" si="7"/>
        <v>9614.4331387657858</v>
      </c>
      <c r="R90" s="47">
        <v>0</v>
      </c>
      <c r="S90" s="37">
        <f t="shared" si="3"/>
        <v>137210.79711954735</v>
      </c>
      <c r="T90" s="40">
        <f t="shared" si="8"/>
        <v>5.592456517775779E-2</v>
      </c>
    </row>
    <row r="91" spans="2:20" x14ac:dyDescent="0.35">
      <c r="B91" s="10" t="s">
        <v>82</v>
      </c>
      <c r="C91" s="19">
        <v>3.5999999999999999E-3</v>
      </c>
      <c r="D91" s="38">
        <f t="shared" si="0"/>
        <v>0.48345853947264145</v>
      </c>
      <c r="E91" s="32">
        <f t="shared" si="5"/>
        <v>67883.085489340388</v>
      </c>
      <c r="F91" s="47">
        <v>0</v>
      </c>
      <c r="G91" s="20">
        <v>4.19E-2</v>
      </c>
      <c r="H91" s="38">
        <f t="shared" si="1"/>
        <v>0.34541269412546355</v>
      </c>
      <c r="I91" s="32">
        <f t="shared" si="9"/>
        <v>48499.876473376702</v>
      </c>
      <c r="J91" s="47">
        <v>0</v>
      </c>
      <c r="K91" s="20">
        <v>3.9300000000000002E-2</v>
      </c>
      <c r="L91" s="38">
        <f t="shared" si="2"/>
        <v>9.923863441802501E-2</v>
      </c>
      <c r="M91" s="32">
        <f t="shared" si="6"/>
        <v>13934.234591021035</v>
      </c>
      <c r="N91" s="47">
        <v>0</v>
      </c>
      <c r="O91" s="19">
        <v>4.99E-2</v>
      </c>
      <c r="P91" s="38">
        <f t="shared" si="4"/>
        <v>7.1890131983870023E-2</v>
      </c>
      <c r="Q91" s="31">
        <f t="shared" si="7"/>
        <v>10094.193352390199</v>
      </c>
      <c r="R91" s="47">
        <v>0</v>
      </c>
      <c r="S91" s="37">
        <f t="shared" si="3"/>
        <v>140411.38990612832</v>
      </c>
      <c r="T91" s="40">
        <f t="shared" si="8"/>
        <v>2.3326100086660029E-2</v>
      </c>
    </row>
    <row r="92" spans="2:20" x14ac:dyDescent="0.35">
      <c r="B92" s="11" t="s">
        <v>83</v>
      </c>
      <c r="C92" s="17">
        <v>-1.5299999999999999E-2</v>
      </c>
      <c r="D92" s="38">
        <f t="shared" si="0"/>
        <v>0.47375428725802943</v>
      </c>
      <c r="E92" s="32">
        <f t="shared" si="5"/>
        <v>66844.474281353483</v>
      </c>
      <c r="F92" s="47">
        <v>0</v>
      </c>
      <c r="G92" s="20">
        <v>3.3399999999999999E-2</v>
      </c>
      <c r="H92" s="38">
        <f t="shared" si="1"/>
        <v>0.35521944455907861</v>
      </c>
      <c r="I92" s="32">
        <f t="shared" si="9"/>
        <v>50119.772347587481</v>
      </c>
      <c r="J92" s="47">
        <v>0</v>
      </c>
      <c r="K92" s="20">
        <v>1.12E-2</v>
      </c>
      <c r="L92" s="38">
        <f t="shared" si="2"/>
        <v>9.9863738427838925E-2</v>
      </c>
      <c r="M92" s="32">
        <f t="shared" si="6"/>
        <v>14090.298018440471</v>
      </c>
      <c r="N92" s="47">
        <v>0</v>
      </c>
      <c r="O92" s="17">
        <v>-5.3E-3</v>
      </c>
      <c r="P92" s="38">
        <f t="shared" si="4"/>
        <v>7.1162529755053036E-2</v>
      </c>
      <c r="Q92" s="31">
        <f t="shared" si="7"/>
        <v>10040.694127622532</v>
      </c>
      <c r="R92" s="47">
        <v>0</v>
      </c>
      <c r="S92" s="37">
        <f t="shared" si="3"/>
        <v>141095.23877500396</v>
      </c>
      <c r="T92" s="40">
        <f t="shared" si="8"/>
        <v>4.8703233358264875E-3</v>
      </c>
    </row>
    <row r="93" spans="2:20" x14ac:dyDescent="0.35">
      <c r="B93" s="10" t="s">
        <v>84</v>
      </c>
      <c r="C93" s="17">
        <v>-6.0000000000000001E-3</v>
      </c>
      <c r="D93" s="38">
        <f t="shared" si="0"/>
        <v>0.47377900518450489</v>
      </c>
      <c r="E93" s="32">
        <f t="shared" si="5"/>
        <v>66443.407435665358</v>
      </c>
      <c r="F93" s="47">
        <v>0</v>
      </c>
      <c r="G93" s="15">
        <v>-1.46E-2</v>
      </c>
      <c r="H93" s="38">
        <f t="shared" si="1"/>
        <v>0.35216449044519105</v>
      </c>
      <c r="I93" s="32">
        <f t="shared" si="9"/>
        <v>49388.023671312701</v>
      </c>
      <c r="J93" s="47">
        <v>0</v>
      </c>
      <c r="K93" s="20">
        <v>2.4E-2</v>
      </c>
      <c r="L93" s="38">
        <f t="shared" si="2"/>
        <v>0.10288310215906962</v>
      </c>
      <c r="M93" s="32">
        <f t="shared" si="6"/>
        <v>14428.465170883042</v>
      </c>
      <c r="N93" s="47">
        <v>0</v>
      </c>
      <c r="O93" s="17">
        <v>-5.8999999999999999E-3</v>
      </c>
      <c r="P93" s="38">
        <f t="shared" si="4"/>
        <v>7.1173402211234457E-2</v>
      </c>
      <c r="Q93" s="31">
        <f t="shared" si="7"/>
        <v>9981.4540322695593</v>
      </c>
      <c r="R93" s="47">
        <v>0</v>
      </c>
      <c r="S93" s="37">
        <f t="shared" si="3"/>
        <v>140241.35031013066</v>
      </c>
      <c r="T93" s="40">
        <f t="shared" si="8"/>
        <v>-6.0518588173974486E-3</v>
      </c>
    </row>
    <row r="94" spans="2:20" x14ac:dyDescent="0.35">
      <c r="B94" s="9" t="s">
        <v>85</v>
      </c>
      <c r="C94" s="17">
        <v>-4.2500000000000003E-2</v>
      </c>
      <c r="D94" s="38">
        <f t="shared" si="0"/>
        <v>0.46819576296576071</v>
      </c>
      <c r="E94" s="32">
        <f t="shared" si="5"/>
        <v>63619.56261964958</v>
      </c>
      <c r="F94" s="47">
        <v>0</v>
      </c>
      <c r="G94" s="15">
        <v>-5.0599999999999999E-2</v>
      </c>
      <c r="H94" s="38">
        <f t="shared" si="1"/>
        <v>0.34507037444042804</v>
      </c>
      <c r="I94" s="32">
        <f t="shared" si="9"/>
        <v>46888.989673544282</v>
      </c>
      <c r="J94" s="47">
        <v>0</v>
      </c>
      <c r="K94" s="20">
        <v>3.5400000000000001E-2</v>
      </c>
      <c r="L94" s="38">
        <f t="shared" si="2"/>
        <v>0.10994237037584631</v>
      </c>
      <c r="M94" s="32">
        <f t="shared" si="6"/>
        <v>14939.232837932303</v>
      </c>
      <c r="N94" s="47">
        <v>0</v>
      </c>
      <c r="O94" s="19">
        <v>4.5400000000000003E-2</v>
      </c>
      <c r="P94" s="38">
        <f t="shared" si="4"/>
        <v>7.6791492217964857E-2</v>
      </c>
      <c r="Q94" s="31">
        <f t="shared" si="7"/>
        <v>10434.612045334597</v>
      </c>
      <c r="R94" s="47">
        <v>0</v>
      </c>
      <c r="S94" s="37">
        <f t="shared" si="3"/>
        <v>135882.39717646077</v>
      </c>
      <c r="T94" s="40">
        <f t="shared" si="8"/>
        <v>-3.1081796660046845E-2</v>
      </c>
    </row>
    <row r="95" spans="2:20" x14ac:dyDescent="0.35">
      <c r="B95" s="10" t="s">
        <v>86</v>
      </c>
      <c r="C95" s="19">
        <v>3.3E-3</v>
      </c>
      <c r="D95" s="38">
        <f t="shared" si="0"/>
        <v>0.45925190326167203</v>
      </c>
      <c r="E95" s="32">
        <f t="shared" si="5"/>
        <v>63829.507176294421</v>
      </c>
      <c r="F95" s="47">
        <v>0</v>
      </c>
      <c r="G95" s="20">
        <v>4.7300000000000002E-2</v>
      </c>
      <c r="H95" s="38">
        <f t="shared" si="1"/>
        <v>0.35332262802623549</v>
      </c>
      <c r="I95" s="32">
        <f t="shared" si="9"/>
        <v>49106.838885102923</v>
      </c>
      <c r="J95" s="47">
        <v>0</v>
      </c>
      <c r="K95" s="20">
        <v>2.0500000000000001E-2</v>
      </c>
      <c r="L95" s="38">
        <f t="shared" si="2"/>
        <v>0.10969094517039928</v>
      </c>
      <c r="M95" s="32">
        <f t="shared" si="6"/>
        <v>15245.487111109915</v>
      </c>
      <c r="N95" s="47">
        <v>0</v>
      </c>
      <c r="O95" s="19">
        <v>3.5400000000000001E-2</v>
      </c>
      <c r="P95" s="38">
        <f t="shared" si="4"/>
        <v>7.7734523541693093E-2</v>
      </c>
      <c r="Q95" s="31">
        <f t="shared" si="7"/>
        <v>10803.997311739442</v>
      </c>
      <c r="R95" s="47">
        <v>0</v>
      </c>
      <c r="S95" s="37">
        <f t="shared" si="3"/>
        <v>138985.83048424672</v>
      </c>
      <c r="T95" s="40">
        <f t="shared" si="8"/>
        <v>2.2839112146040064E-2</v>
      </c>
    </row>
    <row r="96" spans="2:20" x14ac:dyDescent="0.35">
      <c r="B96" s="11" t="s">
        <v>87</v>
      </c>
      <c r="C96" s="19">
        <v>2.23E-2</v>
      </c>
      <c r="D96" s="38">
        <f t="shared" si="0"/>
        <v>0.46853199344107033</v>
      </c>
      <c r="E96" s="32">
        <f t="shared" si="5"/>
        <v>65252.905186325785</v>
      </c>
      <c r="F96" s="47">
        <v>0</v>
      </c>
      <c r="G96" s="15">
        <v>-7.0000000000000001E-3</v>
      </c>
      <c r="H96" s="38">
        <f t="shared" si="1"/>
        <v>0.35013105046261633</v>
      </c>
      <c r="I96" s="32">
        <f t="shared" si="9"/>
        <v>48763.0910129072</v>
      </c>
      <c r="J96" s="47">
        <v>0</v>
      </c>
      <c r="K96" s="15">
        <v>-2.1499999999999998E-2</v>
      </c>
      <c r="L96" s="38">
        <f t="shared" si="2"/>
        <v>0.10711284011258804</v>
      </c>
      <c r="M96" s="32">
        <f t="shared" si="6"/>
        <v>14917.709138221051</v>
      </c>
      <c r="N96" s="47">
        <v>0</v>
      </c>
      <c r="O96" s="17">
        <v>-4.3200000000000002E-2</v>
      </c>
      <c r="P96" s="38">
        <f t="shared" si="4"/>
        <v>7.4224115983725261E-2</v>
      </c>
      <c r="Q96" s="31">
        <f t="shared" si="7"/>
        <v>10337.264627872299</v>
      </c>
      <c r="R96" s="47">
        <v>0</v>
      </c>
      <c r="S96" s="37">
        <f t="shared" si="3"/>
        <v>139270.96996532634</v>
      </c>
      <c r="T96" s="40">
        <f t="shared" si="8"/>
        <v>2.0515723083867066E-3</v>
      </c>
    </row>
    <row r="97" spans="2:20" x14ac:dyDescent="0.35">
      <c r="B97" s="10" t="s">
        <v>88</v>
      </c>
      <c r="C97" s="17">
        <v>-2.6200000000000001E-2</v>
      </c>
      <c r="D97" s="38">
        <f t="shared" ref="D97:D160" si="10">E97/S97</f>
        <v>0.45128305627711351</v>
      </c>
      <c r="E97" s="32">
        <f t="shared" si="5"/>
        <v>63543.279070444049</v>
      </c>
      <c r="F97" s="47">
        <v>0</v>
      </c>
      <c r="G97" s="20">
        <v>6.1199999999999997E-2</v>
      </c>
      <c r="H97" s="38">
        <f t="shared" ref="H97:H160" si="11">I97/S97</f>
        <v>0.36750891109631612</v>
      </c>
      <c r="I97" s="32">
        <f t="shared" si="9"/>
        <v>51747.392182897122</v>
      </c>
      <c r="J97" s="47">
        <v>0</v>
      </c>
      <c r="K97" s="15">
        <v>-1.1999999999999999E-3</v>
      </c>
      <c r="L97" s="38">
        <f t="shared" ref="L97:L160" si="12">M97/S97</f>
        <v>0.10581812804857149</v>
      </c>
      <c r="M97" s="32">
        <f t="shared" si="6"/>
        <v>14899.807887255185</v>
      </c>
      <c r="N97" s="47">
        <v>0</v>
      </c>
      <c r="O97" s="19">
        <v>2.69E-2</v>
      </c>
      <c r="P97" s="38">
        <f t="shared" si="4"/>
        <v>7.5389904577999017E-2</v>
      </c>
      <c r="Q97" s="31">
        <f t="shared" si="7"/>
        <v>10615.337046362063</v>
      </c>
      <c r="R97" s="47">
        <v>0</v>
      </c>
      <c r="S97" s="37">
        <f t="shared" ref="S97:S160" si="13">Q97+E97+M97+I97</f>
        <v>140805.8161869584</v>
      </c>
      <c r="T97" s="40">
        <f t="shared" si="8"/>
        <v>1.1020575371982977E-2</v>
      </c>
    </row>
    <row r="98" spans="2:20" x14ac:dyDescent="0.35">
      <c r="B98" s="11" t="s">
        <v>89</v>
      </c>
      <c r="C98" s="17">
        <v>-2.7900000000000001E-2</v>
      </c>
      <c r="D98" s="38">
        <f t="shared" si="10"/>
        <v>0.4463940150033549</v>
      </c>
      <c r="E98" s="32">
        <f t="shared" si="5"/>
        <v>61770.421584378659</v>
      </c>
      <c r="F98" s="47">
        <v>0</v>
      </c>
      <c r="G98" s="15">
        <v>-1.38E-2</v>
      </c>
      <c r="H98" s="38">
        <f t="shared" si="11"/>
        <v>0.36880029886659615</v>
      </c>
      <c r="I98" s="32">
        <f t="shared" si="9"/>
        <v>51033.278170773141</v>
      </c>
      <c r="J98" s="47">
        <v>0</v>
      </c>
      <c r="K98" s="15">
        <v>-9.1000000000000004E-3</v>
      </c>
      <c r="L98" s="38">
        <f t="shared" si="12"/>
        <v>0.10669603853149903</v>
      </c>
      <c r="M98" s="32">
        <f t="shared" si="6"/>
        <v>14764.219635481162</v>
      </c>
      <c r="N98" s="47">
        <v>0</v>
      </c>
      <c r="O98" s="19">
        <v>1.8200000000000001E-2</v>
      </c>
      <c r="P98" s="38">
        <f t="shared" ref="P98:P161" si="14">Q98/S98</f>
        <v>7.8109647598549839E-2</v>
      </c>
      <c r="Q98" s="31">
        <f t="shared" si="7"/>
        <v>10808.536180605854</v>
      </c>
      <c r="R98" s="47">
        <v>0</v>
      </c>
      <c r="S98" s="37">
        <f t="shared" si="13"/>
        <v>138376.45557123882</v>
      </c>
      <c r="T98" s="40">
        <f t="shared" si="8"/>
        <v>-1.7253268945182865E-2</v>
      </c>
    </row>
    <row r="99" spans="2:20" x14ac:dyDescent="0.35">
      <c r="B99" s="10" t="s">
        <v>90</v>
      </c>
      <c r="C99" s="17">
        <v>-3.78E-2</v>
      </c>
      <c r="D99" s="38">
        <f t="shared" si="10"/>
        <v>0.44625363656737771</v>
      </c>
      <c r="E99" s="32">
        <f t="shared" ref="E99:E162" si="15">((E98+F99)*C99)+E98+F99</f>
        <v>59435.499648489145</v>
      </c>
      <c r="F99" s="47">
        <v>0</v>
      </c>
      <c r="G99" s="15">
        <v>-3.5499999999999997E-2</v>
      </c>
      <c r="H99" s="38">
        <f t="shared" si="11"/>
        <v>0.36956560805655553</v>
      </c>
      <c r="I99" s="32">
        <f t="shared" si="9"/>
        <v>49221.596795710691</v>
      </c>
      <c r="J99" s="47">
        <v>0</v>
      </c>
      <c r="K99" s="15">
        <v>-3.1199999999999999E-2</v>
      </c>
      <c r="L99" s="38">
        <f t="shared" si="12"/>
        <v>0.10739411355194564</v>
      </c>
      <c r="M99" s="32">
        <f t="shared" ref="M99:M162" si="16">((M98+N99)*K99)+M98+N99</f>
        <v>14303.57598285415</v>
      </c>
      <c r="N99" s="47">
        <v>0</v>
      </c>
      <c r="O99" s="17">
        <v>-5.3800000000000001E-2</v>
      </c>
      <c r="P99" s="38">
        <f t="shared" si="14"/>
        <v>7.6786641824121191E-2</v>
      </c>
      <c r="Q99" s="31">
        <f t="shared" ref="Q99:Q162" si="17">((Q98+R99)*O99)+Q98+R99</f>
        <v>10227.036934089259</v>
      </c>
      <c r="R99" s="47">
        <v>0</v>
      </c>
      <c r="S99" s="37">
        <f t="shared" si="13"/>
        <v>133187.70936114324</v>
      </c>
      <c r="T99" s="40">
        <f t="shared" ref="T99:T162" si="18">S99/S98-1</f>
        <v>-3.7497319819875918E-2</v>
      </c>
    </row>
    <row r="100" spans="2:20" x14ac:dyDescent="0.35">
      <c r="B100" s="11" t="s">
        <v>91</v>
      </c>
      <c r="C100" s="17">
        <v>-3.7900000000000003E-2</v>
      </c>
      <c r="D100" s="38">
        <f t="shared" si="10"/>
        <v>0.42377632778888036</v>
      </c>
      <c r="E100" s="32">
        <f t="shared" si="15"/>
        <v>57182.894211811406</v>
      </c>
      <c r="F100" s="47">
        <v>0</v>
      </c>
      <c r="G100" s="20">
        <v>8.43E-2</v>
      </c>
      <c r="H100" s="38">
        <f t="shared" si="11"/>
        <v>0.39552661905616049</v>
      </c>
      <c r="I100" s="32">
        <f t="shared" ref="I100:I163" si="19">((I99+J100)*G100)+I99+J100</f>
        <v>53370.977405589103</v>
      </c>
      <c r="J100" s="47">
        <v>0</v>
      </c>
      <c r="K100" s="15">
        <v>-2.1499999999999998E-2</v>
      </c>
      <c r="L100" s="38">
        <f t="shared" si="12"/>
        <v>0.10372322654484288</v>
      </c>
      <c r="M100" s="32">
        <f t="shared" si="16"/>
        <v>13996.049099222786</v>
      </c>
      <c r="N100" s="47">
        <v>0</v>
      </c>
      <c r="O100" s="19">
        <v>1.5599999999999999E-2</v>
      </c>
      <c r="P100" s="38">
        <f t="shared" si="14"/>
        <v>7.69738266101163E-2</v>
      </c>
      <c r="Q100" s="31">
        <f t="shared" si="17"/>
        <v>10386.578710261052</v>
      </c>
      <c r="R100" s="47">
        <v>0</v>
      </c>
      <c r="S100" s="37">
        <f t="shared" si="13"/>
        <v>134936.49942688434</v>
      </c>
      <c r="T100" s="40">
        <f t="shared" si="18"/>
        <v>1.3130266104353527E-2</v>
      </c>
    </row>
    <row r="101" spans="2:20" x14ac:dyDescent="0.35">
      <c r="B101" s="10" t="s">
        <v>92</v>
      </c>
      <c r="C101" s="17">
        <v>-5.4699999999999999E-2</v>
      </c>
      <c r="D101" s="38">
        <f t="shared" si="10"/>
        <v>0.39050134218564075</v>
      </c>
      <c r="E101" s="32">
        <f t="shared" si="15"/>
        <v>54054.989898425323</v>
      </c>
      <c r="F101" s="47">
        <v>0</v>
      </c>
      <c r="G101" s="20">
        <v>0.14180000000000001</v>
      </c>
      <c r="H101" s="38">
        <f t="shared" si="11"/>
        <v>0.44023233207160989</v>
      </c>
      <c r="I101" s="32">
        <f t="shared" si="19"/>
        <v>60938.982001701639</v>
      </c>
      <c r="J101" s="47">
        <v>0</v>
      </c>
      <c r="K101" s="15">
        <v>-3.9300000000000002E-2</v>
      </c>
      <c r="L101" s="38">
        <f t="shared" si="12"/>
        <v>9.7135949210950798E-2</v>
      </c>
      <c r="M101" s="32">
        <f t="shared" si="16"/>
        <v>13446.00436962333</v>
      </c>
      <c r="N101" s="47">
        <v>0</v>
      </c>
      <c r="O101" s="17">
        <v>-3.8699999999999998E-2</v>
      </c>
      <c r="P101" s="38">
        <f t="shared" si="14"/>
        <v>7.2130376531798601E-2</v>
      </c>
      <c r="Q101" s="31">
        <f t="shared" si="17"/>
        <v>9984.6181141739489</v>
      </c>
      <c r="R101" s="47">
        <v>0</v>
      </c>
      <c r="S101" s="37">
        <f t="shared" si="13"/>
        <v>138424.59438392424</v>
      </c>
      <c r="T101" s="40">
        <f t="shared" si="18"/>
        <v>2.5849899559087897E-2</v>
      </c>
    </row>
    <row r="102" spans="2:20" x14ac:dyDescent="0.35">
      <c r="B102" s="11" t="s">
        <v>93</v>
      </c>
      <c r="C102" s="17">
        <v>-9.2100000000000001E-2</v>
      </c>
      <c r="D102" s="38">
        <f t="shared" si="10"/>
        <v>0.3622318235078904</v>
      </c>
      <c r="E102" s="32">
        <f t="shared" si="15"/>
        <v>49076.52532878035</v>
      </c>
      <c r="F102" s="47">
        <v>0</v>
      </c>
      <c r="G102" s="20">
        <v>1.83E-2</v>
      </c>
      <c r="H102" s="38">
        <f t="shared" si="11"/>
        <v>0.4580192531662044</v>
      </c>
      <c r="I102" s="32">
        <f t="shared" si="19"/>
        <v>62054.165372332776</v>
      </c>
      <c r="J102" s="47">
        <v>0</v>
      </c>
      <c r="K102" s="20">
        <v>6.1400000000000003E-2</v>
      </c>
      <c r="L102" s="38">
        <f t="shared" si="12"/>
        <v>0.10533801419165803</v>
      </c>
      <c r="M102" s="32">
        <f t="shared" si="16"/>
        <v>14271.589037918202</v>
      </c>
      <c r="N102" s="47">
        <v>0</v>
      </c>
      <c r="O102" s="19">
        <v>9.7000000000000003E-3</v>
      </c>
      <c r="P102" s="38">
        <f t="shared" si="14"/>
        <v>7.4410909134247208E-2</v>
      </c>
      <c r="Q102" s="31">
        <f t="shared" si="17"/>
        <v>10081.468909881436</v>
      </c>
      <c r="R102" s="47">
        <v>0</v>
      </c>
      <c r="S102" s="37">
        <f t="shared" si="13"/>
        <v>135483.74864891276</v>
      </c>
      <c r="T102" s="40">
        <f t="shared" si="18"/>
        <v>-2.1245110004476264E-2</v>
      </c>
    </row>
    <row r="103" spans="2:20" x14ac:dyDescent="0.35">
      <c r="B103" s="10" t="s">
        <v>94</v>
      </c>
      <c r="C103" s="19">
        <v>9.8699999999999996E-2</v>
      </c>
      <c r="D103" s="38">
        <f t="shared" si="10"/>
        <v>0.38795570493269793</v>
      </c>
      <c r="E103" s="32">
        <f t="shared" si="15"/>
        <v>53920.378378730973</v>
      </c>
      <c r="F103" s="47">
        <v>0</v>
      </c>
      <c r="G103" s="15">
        <v>-3.27E-2</v>
      </c>
      <c r="H103" s="38">
        <f t="shared" si="11"/>
        <v>0.43187825502938998</v>
      </c>
      <c r="I103" s="32">
        <f t="shared" si="19"/>
        <v>60024.994164657495</v>
      </c>
      <c r="J103" s="47">
        <v>0</v>
      </c>
      <c r="K103" s="20">
        <v>1.49E-2</v>
      </c>
      <c r="L103" s="38">
        <f t="shared" si="12"/>
        <v>0.10421369519318882</v>
      </c>
      <c r="M103" s="32">
        <f t="shared" si="16"/>
        <v>14484.235714583183</v>
      </c>
      <c r="N103" s="47">
        <v>0</v>
      </c>
      <c r="O103" s="19">
        <v>4.7100000000000003E-2</v>
      </c>
      <c r="P103" s="38">
        <f t="shared" si="14"/>
        <v>7.5952344844723269E-2</v>
      </c>
      <c r="Q103" s="31">
        <f t="shared" si="17"/>
        <v>10556.306095536851</v>
      </c>
      <c r="R103" s="47">
        <v>0</v>
      </c>
      <c r="S103" s="37">
        <f t="shared" si="13"/>
        <v>138985.9143535085</v>
      </c>
      <c r="T103" s="40">
        <f t="shared" si="18"/>
        <v>2.5849341633372713E-2</v>
      </c>
    </row>
    <row r="104" spans="2:20" x14ac:dyDescent="0.35">
      <c r="B104" s="11" t="s">
        <v>95</v>
      </c>
      <c r="C104" s="19">
        <v>4.3099999999999999E-2</v>
      </c>
      <c r="D104" s="38">
        <f t="shared" si="10"/>
        <v>0.37332180226271228</v>
      </c>
      <c r="E104" s="32">
        <f t="shared" si="15"/>
        <v>56244.346686854275</v>
      </c>
      <c r="F104" s="47">
        <v>0</v>
      </c>
      <c r="G104" s="20">
        <v>0.12180000000000001</v>
      </c>
      <c r="H104" s="38">
        <f t="shared" si="11"/>
        <v>0.44694289672887977</v>
      </c>
      <c r="I104" s="32">
        <f t="shared" si="19"/>
        <v>67336.038453912784</v>
      </c>
      <c r="J104" s="47">
        <v>0</v>
      </c>
      <c r="K104" s="20">
        <v>9.6699999999999994E-2</v>
      </c>
      <c r="L104" s="38">
        <f t="shared" si="12"/>
        <v>0.10543575313055016</v>
      </c>
      <c r="M104" s="32">
        <f t="shared" si="16"/>
        <v>15884.861308183377</v>
      </c>
      <c r="N104" s="47">
        <v>0</v>
      </c>
      <c r="O104" s="19">
        <v>6.0400000000000002E-2</v>
      </c>
      <c r="P104" s="38">
        <f t="shared" si="14"/>
        <v>7.4299547877857808E-2</v>
      </c>
      <c r="Q104" s="31">
        <f t="shared" si="17"/>
        <v>11193.906983707277</v>
      </c>
      <c r="R104" s="47">
        <v>0</v>
      </c>
      <c r="S104" s="37">
        <f t="shared" si="13"/>
        <v>150659.15343265771</v>
      </c>
      <c r="T104" s="40">
        <f t="shared" si="18"/>
        <v>8.3988648298981561E-2</v>
      </c>
    </row>
    <row r="105" spans="2:20" x14ac:dyDescent="0.35">
      <c r="B105" s="10" t="s">
        <v>96</v>
      </c>
      <c r="C105" s="17">
        <v>-1.6299999999999999E-2</v>
      </c>
      <c r="D105" s="38">
        <f t="shared" si="10"/>
        <v>0.38337835238900653</v>
      </c>
      <c r="E105" s="32">
        <f t="shared" si="15"/>
        <v>55327.563835858549</v>
      </c>
      <c r="F105" s="47">
        <v>0</v>
      </c>
      <c r="G105" s="15">
        <v>-9.35E-2</v>
      </c>
      <c r="H105" s="38">
        <f t="shared" si="11"/>
        <v>0.42296205679714555</v>
      </c>
      <c r="I105" s="32">
        <f t="shared" si="19"/>
        <v>61040.118858471942</v>
      </c>
      <c r="J105" s="47">
        <v>0</v>
      </c>
      <c r="K105" s="20">
        <v>2.0199999999999999E-2</v>
      </c>
      <c r="L105" s="38">
        <f t="shared" si="12"/>
        <v>0.1122935431642659</v>
      </c>
      <c r="M105" s="32">
        <f t="shared" si="16"/>
        <v>16205.735506608682</v>
      </c>
      <c r="N105" s="47">
        <v>0</v>
      </c>
      <c r="O105" s="19">
        <v>4.9000000000000002E-2</v>
      </c>
      <c r="P105" s="38">
        <f t="shared" si="14"/>
        <v>8.1366047649581955E-2</v>
      </c>
      <c r="Q105" s="31">
        <f t="shared" si="17"/>
        <v>11742.408425908932</v>
      </c>
      <c r="R105" s="47">
        <v>0</v>
      </c>
      <c r="S105" s="37">
        <f t="shared" si="13"/>
        <v>144315.82662684811</v>
      </c>
      <c r="T105" s="40">
        <f t="shared" si="18"/>
        <v>-4.2103826161780211E-2</v>
      </c>
    </row>
    <row r="106" spans="2:20" x14ac:dyDescent="0.35">
      <c r="B106" s="9" t="s">
        <v>97</v>
      </c>
      <c r="C106" s="19">
        <v>7.4399999999999994E-2</v>
      </c>
      <c r="D106" s="38">
        <f t="shared" si="10"/>
        <v>0.39425136181535569</v>
      </c>
      <c r="E106" s="32">
        <f t="shared" si="15"/>
        <v>59443.934585246425</v>
      </c>
      <c r="F106" s="47">
        <v>0</v>
      </c>
      <c r="G106" s="20">
        <v>4.3499999999999997E-2</v>
      </c>
      <c r="H106" s="38">
        <f t="shared" si="11"/>
        <v>0.42244821418530293</v>
      </c>
      <c r="I106" s="32">
        <f t="shared" si="19"/>
        <v>63695.364028815471</v>
      </c>
      <c r="J106" s="47">
        <v>0</v>
      </c>
      <c r="K106" s="15">
        <v>-1.9099999999999999E-2</v>
      </c>
      <c r="L106" s="38">
        <f t="shared" si="12"/>
        <v>0.10542876898267797</v>
      </c>
      <c r="M106" s="32">
        <f t="shared" si="16"/>
        <v>15896.205958432456</v>
      </c>
      <c r="N106" s="47">
        <v>0</v>
      </c>
      <c r="O106" s="17">
        <v>-1E-4</v>
      </c>
      <c r="P106" s="38">
        <f t="shared" si="14"/>
        <v>7.7871655016663349E-2</v>
      </c>
      <c r="Q106" s="31">
        <f t="shared" si="17"/>
        <v>11741.234185066342</v>
      </c>
      <c r="R106" s="47">
        <v>0</v>
      </c>
      <c r="S106" s="37">
        <f t="shared" si="13"/>
        <v>150776.7387575607</v>
      </c>
      <c r="T106" s="40">
        <f t="shared" si="18"/>
        <v>4.4769255609215408E-2</v>
      </c>
    </row>
    <row r="107" spans="2:20" x14ac:dyDescent="0.35">
      <c r="B107" s="10" t="s">
        <v>98</v>
      </c>
      <c r="C107" s="19">
        <v>1.8100000000000002E-2</v>
      </c>
      <c r="D107" s="38">
        <f t="shared" si="10"/>
        <v>0.40958614513322789</v>
      </c>
      <c r="E107" s="32">
        <f t="shared" si="15"/>
        <v>60519.869801239387</v>
      </c>
      <c r="F107" s="47">
        <v>0</v>
      </c>
      <c r="G107" s="15">
        <v>-5.7000000000000002E-2</v>
      </c>
      <c r="H107" s="38">
        <f t="shared" si="11"/>
        <v>0.4065058400677099</v>
      </c>
      <c r="I107" s="32">
        <f t="shared" si="19"/>
        <v>60064.728279172989</v>
      </c>
      <c r="J107" s="47">
        <v>0</v>
      </c>
      <c r="K107" s="20">
        <v>4.5999999999999999E-3</v>
      </c>
      <c r="L107" s="38">
        <f t="shared" si="12"/>
        <v>0.10807716084907598</v>
      </c>
      <c r="M107" s="32">
        <f t="shared" si="16"/>
        <v>15969.328505841246</v>
      </c>
      <c r="N107" s="47">
        <v>0</v>
      </c>
      <c r="O107" s="17">
        <v>-4.5699999999999998E-2</v>
      </c>
      <c r="P107" s="38">
        <f t="shared" si="14"/>
        <v>7.5830853949986302E-2</v>
      </c>
      <c r="Q107" s="31">
        <f t="shared" si="17"/>
        <v>11204.659782808809</v>
      </c>
      <c r="R107" s="47">
        <v>0</v>
      </c>
      <c r="S107" s="37">
        <f t="shared" si="13"/>
        <v>147758.58636906242</v>
      </c>
      <c r="T107" s="40">
        <f t="shared" si="18"/>
        <v>-2.0017360856645627E-2</v>
      </c>
    </row>
    <row r="108" spans="2:20" x14ac:dyDescent="0.35">
      <c r="B108" s="11" t="s">
        <v>99</v>
      </c>
      <c r="C108" s="19">
        <v>6.7000000000000002E-3</v>
      </c>
      <c r="D108" s="38">
        <f t="shared" si="10"/>
        <v>0.39341355845348663</v>
      </c>
      <c r="E108" s="32">
        <f t="shared" si="15"/>
        <v>60925.352928907691</v>
      </c>
      <c r="F108" s="47">
        <v>0</v>
      </c>
      <c r="G108" s="20">
        <v>5.8900000000000001E-2</v>
      </c>
      <c r="H108" s="38">
        <f t="shared" si="11"/>
        <v>0.41070097570220282</v>
      </c>
      <c r="I108" s="32">
        <f t="shared" si="19"/>
        <v>63602.540774816276</v>
      </c>
      <c r="J108" s="47">
        <v>0</v>
      </c>
      <c r="K108" s="20">
        <v>0.1109</v>
      </c>
      <c r="L108" s="38">
        <f t="shared" si="12"/>
        <v>0.11455469442997607</v>
      </c>
      <c r="M108" s="32">
        <f t="shared" si="16"/>
        <v>17740.327037139039</v>
      </c>
      <c r="N108" s="47">
        <v>0</v>
      </c>
      <c r="O108" s="19">
        <v>0.1241</v>
      </c>
      <c r="P108" s="38">
        <f t="shared" si="14"/>
        <v>8.133077141433448E-2</v>
      </c>
      <c r="Q108" s="31">
        <f t="shared" si="17"/>
        <v>12595.158061855382</v>
      </c>
      <c r="R108" s="47">
        <v>0</v>
      </c>
      <c r="S108" s="37">
        <f t="shared" si="13"/>
        <v>154863.37880271839</v>
      </c>
      <c r="T108" s="40">
        <f t="shared" si="18"/>
        <v>4.8083787265736699E-2</v>
      </c>
    </row>
    <row r="109" spans="2:20" x14ac:dyDescent="0.35">
      <c r="B109" s="10" t="s">
        <v>100</v>
      </c>
      <c r="C109" s="17">
        <v>-3.6700000000000003E-2</v>
      </c>
      <c r="D109" s="38">
        <f t="shared" si="10"/>
        <v>0.37647288644763344</v>
      </c>
      <c r="E109" s="32">
        <f t="shared" si="15"/>
        <v>58689.392476416775</v>
      </c>
      <c r="F109" s="47">
        <v>0</v>
      </c>
      <c r="G109" s="20">
        <v>3.1600000000000003E-2</v>
      </c>
      <c r="H109" s="38">
        <f t="shared" si="11"/>
        <v>0.42088155019714202</v>
      </c>
      <c r="I109" s="32">
        <f t="shared" si="19"/>
        <v>65612.381063300476</v>
      </c>
      <c r="J109" s="47">
        <v>0</v>
      </c>
      <c r="K109" s="20">
        <v>2.5899999999999999E-2</v>
      </c>
      <c r="L109" s="38">
        <f t="shared" si="12"/>
        <v>0.11674565909024297</v>
      </c>
      <c r="M109" s="32">
        <f t="shared" si="16"/>
        <v>18199.801507400942</v>
      </c>
      <c r="N109" s="47">
        <v>0</v>
      </c>
      <c r="O109" s="19">
        <v>6.3200000000000006E-2</v>
      </c>
      <c r="P109" s="38">
        <f t="shared" si="14"/>
        <v>8.5899904264981453E-2</v>
      </c>
      <c r="Q109" s="31">
        <f t="shared" si="17"/>
        <v>13391.172051364641</v>
      </c>
      <c r="R109" s="47">
        <v>0</v>
      </c>
      <c r="S109" s="37">
        <f t="shared" si="13"/>
        <v>155892.74709848285</v>
      </c>
      <c r="T109" s="40">
        <f t="shared" si="18"/>
        <v>6.6469445760690693E-3</v>
      </c>
    </row>
    <row r="110" spans="2:20" x14ac:dyDescent="0.35">
      <c r="B110" s="11" t="s">
        <v>101</v>
      </c>
      <c r="C110" s="17">
        <v>-7.5999999999999998E-2</v>
      </c>
      <c r="D110" s="38">
        <f t="shared" si="10"/>
        <v>0.35690320453088709</v>
      </c>
      <c r="E110" s="32">
        <f t="shared" si="15"/>
        <v>54228.998648209097</v>
      </c>
      <c r="F110" s="47">
        <v>0</v>
      </c>
      <c r="G110" s="20">
        <v>2.5999999999999999E-3</v>
      </c>
      <c r="H110" s="38">
        <f t="shared" si="11"/>
        <v>0.4329446337420213</v>
      </c>
      <c r="I110" s="32">
        <f t="shared" si="19"/>
        <v>65782.973254065058</v>
      </c>
      <c r="J110" s="47">
        <v>0</v>
      </c>
      <c r="K110" s="20">
        <v>2.8E-3</v>
      </c>
      <c r="L110" s="38">
        <f t="shared" si="12"/>
        <v>0.12011571725704491</v>
      </c>
      <c r="M110" s="32">
        <f t="shared" si="16"/>
        <v>18250.760951621665</v>
      </c>
      <c r="N110" s="47">
        <v>0</v>
      </c>
      <c r="O110" s="19">
        <v>2.1600000000000001E-2</v>
      </c>
      <c r="P110" s="38">
        <f t="shared" si="14"/>
        <v>9.0036444470046662E-2</v>
      </c>
      <c r="Q110" s="31">
        <f t="shared" si="17"/>
        <v>13680.421367674118</v>
      </c>
      <c r="R110" s="47">
        <v>0</v>
      </c>
      <c r="S110" s="37">
        <f t="shared" si="13"/>
        <v>151943.15422156994</v>
      </c>
      <c r="T110" s="40">
        <f t="shared" si="18"/>
        <v>-2.5335321561931412E-2</v>
      </c>
    </row>
    <row r="111" spans="2:20" x14ac:dyDescent="0.35">
      <c r="B111" s="10" t="s">
        <v>102</v>
      </c>
      <c r="C111" s="19">
        <v>2.3400000000000001E-2</v>
      </c>
      <c r="D111" s="38">
        <f t="shared" si="10"/>
        <v>0.34862888551248067</v>
      </c>
      <c r="E111" s="32">
        <f t="shared" si="15"/>
        <v>55497.95721657719</v>
      </c>
      <c r="F111" s="47">
        <v>0</v>
      </c>
      <c r="G111" s="20">
        <v>5.4899999999999997E-2</v>
      </c>
      <c r="H111" s="38">
        <f t="shared" si="11"/>
        <v>0.43592438237330128</v>
      </c>
      <c r="I111" s="32">
        <f t="shared" si="19"/>
        <v>69394.458485713229</v>
      </c>
      <c r="J111" s="47">
        <v>0</v>
      </c>
      <c r="K111" s="20">
        <v>7.0999999999999994E-2</v>
      </c>
      <c r="L111" s="38">
        <f t="shared" si="12"/>
        <v>0.12278825214589512</v>
      </c>
      <c r="M111" s="32">
        <f t="shared" si="16"/>
        <v>19546.564979186802</v>
      </c>
      <c r="N111" s="47">
        <v>0</v>
      </c>
      <c r="O111" s="19">
        <v>7.8200000000000006E-2</v>
      </c>
      <c r="P111" s="38">
        <f t="shared" si="14"/>
        <v>9.2658479968323035E-2</v>
      </c>
      <c r="Q111" s="31">
        <f t="shared" si="17"/>
        <v>14750.230318626234</v>
      </c>
      <c r="R111" s="47">
        <v>0</v>
      </c>
      <c r="S111" s="37">
        <f t="shared" si="13"/>
        <v>159189.21100010345</v>
      </c>
      <c r="T111" s="40">
        <f t="shared" si="18"/>
        <v>4.7689261261267379E-2</v>
      </c>
    </row>
    <row r="112" spans="2:20" x14ac:dyDescent="0.35">
      <c r="B112" s="11" t="s">
        <v>103</v>
      </c>
      <c r="C112" s="17">
        <v>-4.3E-3</v>
      </c>
      <c r="D112" s="38">
        <f t="shared" si="10"/>
        <v>0.34919260755715997</v>
      </c>
      <c r="E112" s="32">
        <f t="shared" si="15"/>
        <v>55259.316000545907</v>
      </c>
      <c r="F112" s="47">
        <v>0</v>
      </c>
      <c r="G112" s="15">
        <v>-8.6E-3</v>
      </c>
      <c r="H112" s="38">
        <f t="shared" si="11"/>
        <v>0.43474364456468534</v>
      </c>
      <c r="I112" s="32">
        <f t="shared" si="19"/>
        <v>68797.666142736096</v>
      </c>
      <c r="J112" s="47">
        <v>0</v>
      </c>
      <c r="K112" s="15">
        <v>-6.1999999999999998E-3</v>
      </c>
      <c r="L112" s="38">
        <f t="shared" si="12"/>
        <v>0.12275211286796806</v>
      </c>
      <c r="M112" s="32">
        <f t="shared" si="16"/>
        <v>19425.376276315845</v>
      </c>
      <c r="N112" s="47">
        <v>0</v>
      </c>
      <c r="O112" s="19">
        <v>1.1000000000000001E-3</v>
      </c>
      <c r="P112" s="38">
        <f t="shared" si="14"/>
        <v>9.3311635010186647E-2</v>
      </c>
      <c r="Q112" s="31">
        <f t="shared" si="17"/>
        <v>14766.455571976723</v>
      </c>
      <c r="R112" s="47">
        <v>0</v>
      </c>
      <c r="S112" s="37">
        <f t="shared" si="13"/>
        <v>158248.81399157457</v>
      </c>
      <c r="T112" s="40">
        <f t="shared" si="18"/>
        <v>-5.907416731453341E-3</v>
      </c>
    </row>
    <row r="113" spans="2:20" x14ac:dyDescent="0.35">
      <c r="B113" s="10" t="s">
        <v>104</v>
      </c>
      <c r="C113" s="19">
        <v>0.01</v>
      </c>
      <c r="D113" s="38">
        <f t="shared" si="10"/>
        <v>0.34238197585733654</v>
      </c>
      <c r="E113" s="32">
        <f t="shared" si="15"/>
        <v>55811.909160551368</v>
      </c>
      <c r="F113" s="47">
        <v>0</v>
      </c>
      <c r="G113" s="20">
        <v>5.3199999999999997E-2</v>
      </c>
      <c r="H113" s="38">
        <f t="shared" si="11"/>
        <v>0.44449673096029763</v>
      </c>
      <c r="I113" s="32">
        <f t="shared" si="19"/>
        <v>72457.701981529652</v>
      </c>
      <c r="J113" s="47">
        <v>0</v>
      </c>
      <c r="K113" s="20">
        <v>2.47E-2</v>
      </c>
      <c r="L113" s="38">
        <f t="shared" si="12"/>
        <v>0.12210970762208515</v>
      </c>
      <c r="M113" s="32">
        <f t="shared" si="16"/>
        <v>19905.183070340845</v>
      </c>
      <c r="N113" s="47">
        <v>0</v>
      </c>
      <c r="O113" s="19">
        <v>4.7000000000000002E-3</v>
      </c>
      <c r="P113" s="38">
        <f t="shared" si="14"/>
        <v>9.1011585560280758E-2</v>
      </c>
      <c r="Q113" s="31">
        <f t="shared" si="17"/>
        <v>14835.857913165013</v>
      </c>
      <c r="R113" s="47">
        <v>0</v>
      </c>
      <c r="S113" s="37">
        <f t="shared" si="13"/>
        <v>163010.65212558687</v>
      </c>
      <c r="T113" s="40">
        <f t="shared" si="18"/>
        <v>3.0090829838799404E-2</v>
      </c>
    </row>
    <row r="114" spans="2:20" x14ac:dyDescent="0.35">
      <c r="B114" s="11" t="s">
        <v>105</v>
      </c>
      <c r="C114" s="19">
        <v>1.54E-2</v>
      </c>
      <c r="D114" s="38">
        <f t="shared" si="10"/>
        <v>0.34074616514972011</v>
      </c>
      <c r="E114" s="32">
        <f t="shared" si="15"/>
        <v>56671.41256162386</v>
      </c>
      <c r="F114" s="47">
        <v>0</v>
      </c>
      <c r="G114" s="20">
        <v>3.7199999999999997E-2</v>
      </c>
      <c r="H114" s="38">
        <f t="shared" si="11"/>
        <v>0.45187051418406149</v>
      </c>
      <c r="I114" s="32">
        <f t="shared" si="19"/>
        <v>75153.128495242549</v>
      </c>
      <c r="J114" s="47">
        <v>0</v>
      </c>
      <c r="K114" s="20">
        <v>1.4200000000000001E-2</v>
      </c>
      <c r="L114" s="38">
        <f t="shared" si="12"/>
        <v>0.1213826798559287</v>
      </c>
      <c r="M114" s="32">
        <f t="shared" si="16"/>
        <v>20187.836669939687</v>
      </c>
      <c r="N114" s="47">
        <v>0</v>
      </c>
      <c r="O114" s="17">
        <v>-3.5900000000000001E-2</v>
      </c>
      <c r="P114" s="38">
        <f t="shared" si="14"/>
        <v>8.6000640810289714E-2</v>
      </c>
      <c r="Q114" s="31">
        <f t="shared" si="17"/>
        <v>14303.25061408239</v>
      </c>
      <c r="R114" s="47">
        <v>0</v>
      </c>
      <c r="S114" s="37">
        <f t="shared" si="13"/>
        <v>166315.62834088848</v>
      </c>
      <c r="T114" s="40">
        <f t="shared" si="18"/>
        <v>2.0274602746545467E-2</v>
      </c>
    </row>
    <row r="115" spans="2:20" x14ac:dyDescent="0.35">
      <c r="B115" s="10" t="s">
        <v>106</v>
      </c>
      <c r="C115" s="17">
        <v>-1.23E-2</v>
      </c>
      <c r="D115" s="38">
        <f t="shared" si="10"/>
        <v>0.34346341471495856</v>
      </c>
      <c r="E115" s="32">
        <f t="shared" si="15"/>
        <v>55974.354187115889</v>
      </c>
      <c r="F115" s="47">
        <v>0</v>
      </c>
      <c r="G115" s="15">
        <v>-2.86E-2</v>
      </c>
      <c r="H115" s="38">
        <f t="shared" si="11"/>
        <v>0.44795723487364925</v>
      </c>
      <c r="I115" s="32">
        <f t="shared" si="19"/>
        <v>73003.749020278614</v>
      </c>
      <c r="J115" s="47">
        <v>0</v>
      </c>
      <c r="K115" s="15">
        <v>-1.89E-2</v>
      </c>
      <c r="L115" s="38">
        <f t="shared" si="12"/>
        <v>0.12153306478369486</v>
      </c>
      <c r="M115" s="32">
        <f t="shared" si="16"/>
        <v>19806.286556877825</v>
      </c>
      <c r="N115" s="47">
        <v>0</v>
      </c>
      <c r="O115" s="17">
        <v>-8.2000000000000007E-3</v>
      </c>
      <c r="P115" s="38">
        <f t="shared" si="14"/>
        <v>8.7046285627697326E-2</v>
      </c>
      <c r="Q115" s="31">
        <f t="shared" si="17"/>
        <v>14185.963959046914</v>
      </c>
      <c r="R115" s="47">
        <v>0</v>
      </c>
      <c r="S115" s="37">
        <f t="shared" si="13"/>
        <v>162970.35372331925</v>
      </c>
      <c r="T115" s="40">
        <f t="shared" si="18"/>
        <v>-2.0114012440927032E-2</v>
      </c>
    </row>
    <row r="116" spans="2:20" x14ac:dyDescent="0.35">
      <c r="B116" s="11" t="s">
        <v>107</v>
      </c>
      <c r="C116" s="17">
        <v>-1.6000000000000001E-3</v>
      </c>
      <c r="D116" s="38">
        <f t="shared" si="10"/>
        <v>0.33629424078313941</v>
      </c>
      <c r="E116" s="32">
        <f t="shared" si="15"/>
        <v>55884.795220416505</v>
      </c>
      <c r="F116" s="47">
        <v>0</v>
      </c>
      <c r="G116" s="20">
        <v>2.9700000000000001E-2</v>
      </c>
      <c r="H116" s="38">
        <f t="shared" si="11"/>
        <v>0.45235734048622755</v>
      </c>
      <c r="I116" s="32">
        <f t="shared" si="19"/>
        <v>75171.960366180894</v>
      </c>
      <c r="J116" s="47">
        <v>0</v>
      </c>
      <c r="K116" s="20">
        <v>3.56E-2</v>
      </c>
      <c r="L116" s="38">
        <f t="shared" si="12"/>
        <v>0.12343003889959669</v>
      </c>
      <c r="M116" s="32">
        <f t="shared" si="16"/>
        <v>20511.390358302677</v>
      </c>
      <c r="N116" s="47">
        <v>0</v>
      </c>
      <c r="O116" s="19">
        <v>2.9899999999999999E-2</v>
      </c>
      <c r="P116" s="38">
        <f t="shared" si="14"/>
        <v>8.7918379831036328E-2</v>
      </c>
      <c r="Q116" s="31">
        <f t="shared" si="17"/>
        <v>14610.124281422417</v>
      </c>
      <c r="R116" s="47">
        <v>0</v>
      </c>
      <c r="S116" s="37">
        <f t="shared" si="13"/>
        <v>166178.27022632249</v>
      </c>
      <c r="T116" s="40">
        <f t="shared" si="18"/>
        <v>1.9684049458771113E-2</v>
      </c>
    </row>
    <row r="117" spans="2:20" x14ac:dyDescent="0.35">
      <c r="B117" s="10" t="s">
        <v>108</v>
      </c>
      <c r="C117" s="19">
        <v>5.91E-2</v>
      </c>
      <c r="D117" s="38">
        <f t="shared" si="10"/>
        <v>0.35722879944870378</v>
      </c>
      <c r="E117" s="32">
        <f t="shared" si="15"/>
        <v>59187.586617943118</v>
      </c>
      <c r="F117" s="47">
        <v>0</v>
      </c>
      <c r="G117" s="15">
        <v>-4.6100000000000002E-2</v>
      </c>
      <c r="H117" s="38">
        <f t="shared" si="11"/>
        <v>0.4327873487928271</v>
      </c>
      <c r="I117" s="32">
        <f t="shared" si="19"/>
        <v>71706.532993299959</v>
      </c>
      <c r="J117" s="47">
        <v>0</v>
      </c>
      <c r="K117" s="15">
        <v>-1.66E-2</v>
      </c>
      <c r="L117" s="38">
        <f t="shared" si="12"/>
        <v>0.12174219729514354</v>
      </c>
      <c r="M117" s="32">
        <f t="shared" si="16"/>
        <v>20170.901278354853</v>
      </c>
      <c r="N117" s="47">
        <v>0</v>
      </c>
      <c r="O117" s="19">
        <v>6.9999999999999999E-4</v>
      </c>
      <c r="P117" s="38">
        <f t="shared" si="14"/>
        <v>8.8241654463325422E-2</v>
      </c>
      <c r="Q117" s="31">
        <f t="shared" si="17"/>
        <v>14620.351368419413</v>
      </c>
      <c r="R117" s="47">
        <v>0</v>
      </c>
      <c r="S117" s="37">
        <f t="shared" si="13"/>
        <v>165685.37225801736</v>
      </c>
      <c r="T117" s="40">
        <f t="shared" si="18"/>
        <v>-2.9660795459829359E-3</v>
      </c>
    </row>
    <row r="118" spans="2:20" x14ac:dyDescent="0.35">
      <c r="B118" s="9" t="s">
        <v>109</v>
      </c>
      <c r="C118" s="17">
        <v>-1.4500000000000001E-2</v>
      </c>
      <c r="D118" s="38">
        <f t="shared" si="10"/>
        <v>0.35831928812545394</v>
      </c>
      <c r="E118" s="32">
        <f t="shared" si="15"/>
        <v>58329.366611982943</v>
      </c>
      <c r="F118" s="47">
        <v>0</v>
      </c>
      <c r="G118" s="15">
        <v>-3.56E-2</v>
      </c>
      <c r="H118" s="38">
        <f t="shared" si="11"/>
        <v>0.42481403125224071</v>
      </c>
      <c r="I118" s="32">
        <f t="shared" si="19"/>
        <v>69153.780418738475</v>
      </c>
      <c r="J118" s="47">
        <v>0</v>
      </c>
      <c r="K118" s="20">
        <v>0.02</v>
      </c>
      <c r="L118" s="38">
        <f t="shared" si="12"/>
        <v>0.1263887450670961</v>
      </c>
      <c r="M118" s="32">
        <f t="shared" si="16"/>
        <v>20574.319303921951</v>
      </c>
      <c r="N118" s="47">
        <v>0</v>
      </c>
      <c r="O118" s="19">
        <v>7.4000000000000003E-3</v>
      </c>
      <c r="P118" s="38">
        <f t="shared" si="14"/>
        <v>9.047793555520936E-2</v>
      </c>
      <c r="Q118" s="31">
        <f t="shared" si="17"/>
        <v>14728.541968545716</v>
      </c>
      <c r="R118" s="47">
        <v>0</v>
      </c>
      <c r="S118" s="37">
        <f t="shared" si="13"/>
        <v>162786.00830318907</v>
      </c>
      <c r="T118" s="40">
        <f t="shared" si="18"/>
        <v>-1.7499215020099657E-2</v>
      </c>
    </row>
    <row r="119" spans="2:20" x14ac:dyDescent="0.35">
      <c r="B119" s="10" t="s">
        <v>110</v>
      </c>
      <c r="C119" s="17">
        <v>-3.61E-2</v>
      </c>
      <c r="D119" s="38">
        <f t="shared" si="10"/>
        <v>0.35844550300690703</v>
      </c>
      <c r="E119" s="32">
        <f t="shared" si="15"/>
        <v>56223.676477290355</v>
      </c>
      <c r="F119" s="47">
        <v>0</v>
      </c>
      <c r="G119" s="15">
        <v>-5.74E-2</v>
      </c>
      <c r="H119" s="38">
        <f t="shared" si="11"/>
        <v>0.41557293678968599</v>
      </c>
      <c r="I119" s="32">
        <f t="shared" si="19"/>
        <v>65184.353422702887</v>
      </c>
      <c r="J119" s="47">
        <v>0</v>
      </c>
      <c r="K119" s="20">
        <v>3.5999999999999999E-3</v>
      </c>
      <c r="L119" s="38">
        <f t="shared" si="12"/>
        <v>0.13164065169134648</v>
      </c>
      <c r="M119" s="32">
        <f t="shared" si="16"/>
        <v>20648.386853416072</v>
      </c>
      <c r="N119" s="47">
        <v>0</v>
      </c>
      <c r="O119" s="19">
        <v>4.7000000000000002E-3</v>
      </c>
      <c r="P119" s="38">
        <f t="shared" si="14"/>
        <v>9.4340908512060492E-2</v>
      </c>
      <c r="Q119" s="31">
        <f t="shared" si="17"/>
        <v>14797.766115797882</v>
      </c>
      <c r="R119" s="47">
        <v>0</v>
      </c>
      <c r="S119" s="37">
        <f t="shared" si="13"/>
        <v>156854.1828692072</v>
      </c>
      <c r="T119" s="40">
        <f t="shared" si="18"/>
        <v>-3.6439405915856371E-2</v>
      </c>
    </row>
    <row r="120" spans="2:20" x14ac:dyDescent="0.35">
      <c r="B120" s="11" t="s">
        <v>111</v>
      </c>
      <c r="C120" s="19">
        <v>1.17E-2</v>
      </c>
      <c r="D120" s="38">
        <f t="shared" si="10"/>
        <v>0.35191561054674586</v>
      </c>
      <c r="E120" s="32">
        <f t="shared" si="15"/>
        <v>56881.493492074653</v>
      </c>
      <c r="F120" s="47">
        <v>0</v>
      </c>
      <c r="G120" s="20">
        <v>3.3799999999999997E-2</v>
      </c>
      <c r="H120" s="38">
        <f t="shared" si="11"/>
        <v>0.41691491398621094</v>
      </c>
      <c r="I120" s="32">
        <f t="shared" si="19"/>
        <v>67387.584568390244</v>
      </c>
      <c r="J120" s="47">
        <v>0</v>
      </c>
      <c r="K120" s="20">
        <v>6.0600000000000001E-2</v>
      </c>
      <c r="L120" s="38">
        <f t="shared" si="12"/>
        <v>0.13548939148685382</v>
      </c>
      <c r="M120" s="32">
        <f t="shared" si="16"/>
        <v>21899.679096733085</v>
      </c>
      <c r="N120" s="47">
        <v>0</v>
      </c>
      <c r="O120" s="19">
        <v>4.5100000000000001E-2</v>
      </c>
      <c r="P120" s="38">
        <f t="shared" si="14"/>
        <v>9.5680083980189387E-2</v>
      </c>
      <c r="Q120" s="31">
        <f t="shared" si="17"/>
        <v>15465.145367620366</v>
      </c>
      <c r="R120" s="47">
        <v>0</v>
      </c>
      <c r="S120" s="37">
        <f t="shared" si="13"/>
        <v>161633.90252481835</v>
      </c>
      <c r="T120" s="40">
        <f t="shared" si="18"/>
        <v>3.0472376115061595E-2</v>
      </c>
    </row>
    <row r="121" spans="2:20" x14ac:dyDescent="0.35">
      <c r="B121" s="10" t="s">
        <v>112</v>
      </c>
      <c r="C121" s="19">
        <v>4.7999999999999996E-3</v>
      </c>
      <c r="D121" s="38">
        <f t="shared" si="10"/>
        <v>0.36285534901084437</v>
      </c>
      <c r="E121" s="32">
        <f t="shared" si="15"/>
        <v>57154.524660836614</v>
      </c>
      <c r="F121" s="47">
        <v>0</v>
      </c>
      <c r="G121" s="15">
        <v>-8.2299999999999998E-2</v>
      </c>
      <c r="H121" s="38">
        <f t="shared" si="11"/>
        <v>0.39261196789974834</v>
      </c>
      <c r="I121" s="32">
        <f t="shared" si="19"/>
        <v>61841.586358411725</v>
      </c>
      <c r="J121" s="47">
        <v>0</v>
      </c>
      <c r="K121" s="20">
        <v>1.06E-2</v>
      </c>
      <c r="L121" s="38">
        <f t="shared" si="12"/>
        <v>0.14050764582446365</v>
      </c>
      <c r="M121" s="32">
        <f t="shared" si="16"/>
        <v>22131.815695158457</v>
      </c>
      <c r="N121" s="47">
        <v>0</v>
      </c>
      <c r="O121" s="19">
        <v>5.9499999999999997E-2</v>
      </c>
      <c r="P121" s="38">
        <f t="shared" si="14"/>
        <v>0.10402503726494373</v>
      </c>
      <c r="Q121" s="31">
        <f t="shared" si="17"/>
        <v>16385.321516993776</v>
      </c>
      <c r="R121" s="47">
        <v>0</v>
      </c>
      <c r="S121" s="37">
        <f t="shared" si="13"/>
        <v>157513.24823140056</v>
      </c>
      <c r="T121" s="40">
        <f t="shared" si="18"/>
        <v>-2.549374994385889E-2</v>
      </c>
    </row>
    <row r="122" spans="2:20" x14ac:dyDescent="0.35">
      <c r="B122" s="11" t="s">
        <v>113</v>
      </c>
      <c r="C122" s="17">
        <v>-2.9100000000000001E-2</v>
      </c>
      <c r="D122" s="38">
        <f t="shared" si="10"/>
        <v>0.35411007746982198</v>
      </c>
      <c r="E122" s="32">
        <f t="shared" si="15"/>
        <v>55491.327993206272</v>
      </c>
      <c r="F122" s="47">
        <v>0</v>
      </c>
      <c r="G122" s="15">
        <v>-9.7999999999999997E-3</v>
      </c>
      <c r="H122" s="38">
        <f t="shared" si="11"/>
        <v>0.39076594806513781</v>
      </c>
      <c r="I122" s="32">
        <f t="shared" si="19"/>
        <v>61235.538812099287</v>
      </c>
      <c r="J122" s="47">
        <v>0</v>
      </c>
      <c r="K122" s="20">
        <v>7.3999999999999996E-2</v>
      </c>
      <c r="L122" s="38">
        <f t="shared" si="12"/>
        <v>0.15168215644789648</v>
      </c>
      <c r="M122" s="32">
        <f t="shared" si="16"/>
        <v>23769.570056600183</v>
      </c>
      <c r="N122" s="47">
        <v>0</v>
      </c>
      <c r="O122" s="17">
        <v>-1.0699999999999999E-2</v>
      </c>
      <c r="P122" s="38">
        <f t="shared" si="14"/>
        <v>0.10344181801714371</v>
      </c>
      <c r="Q122" s="31">
        <f t="shared" si="17"/>
        <v>16209.998576761942</v>
      </c>
      <c r="R122" s="47">
        <v>0</v>
      </c>
      <c r="S122" s="37">
        <f t="shared" si="13"/>
        <v>156706.43543866769</v>
      </c>
      <c r="T122" s="40">
        <f t="shared" si="18"/>
        <v>-5.1221900493576555E-3</v>
      </c>
    </row>
    <row r="123" spans="2:20" x14ac:dyDescent="0.35">
      <c r="B123" s="10" t="s">
        <v>114</v>
      </c>
      <c r="C123" s="17">
        <v>-0.10730000000000001</v>
      </c>
      <c r="D123" s="38">
        <f t="shared" si="10"/>
        <v>0.33809999348097602</v>
      </c>
      <c r="E123" s="32">
        <f t="shared" si="15"/>
        <v>49537.108499535243</v>
      </c>
      <c r="F123" s="47">
        <v>0</v>
      </c>
      <c r="G123" s="15">
        <v>-7.85E-2</v>
      </c>
      <c r="H123" s="38">
        <f t="shared" si="11"/>
        <v>0.38513535876664245</v>
      </c>
      <c r="I123" s="32">
        <f t="shared" si="19"/>
        <v>56428.54901534949</v>
      </c>
      <c r="J123" s="47">
        <v>0</v>
      </c>
      <c r="K123" s="20">
        <v>2.0199999999999999E-2</v>
      </c>
      <c r="L123" s="38">
        <f t="shared" si="12"/>
        <v>0.16550882474658216</v>
      </c>
      <c r="M123" s="32">
        <f t="shared" si="16"/>
        <v>24249.715371743507</v>
      </c>
      <c r="N123" s="47">
        <v>0</v>
      </c>
      <c r="O123" s="19">
        <v>5.5999999999999999E-3</v>
      </c>
      <c r="P123" s="38">
        <f t="shared" si="14"/>
        <v>0.11125582300579932</v>
      </c>
      <c r="Q123" s="31">
        <f t="shared" si="17"/>
        <v>16300.774568791809</v>
      </c>
      <c r="R123" s="47">
        <v>0</v>
      </c>
      <c r="S123" s="37">
        <f t="shared" si="13"/>
        <v>146516.14745542005</v>
      </c>
      <c r="T123" s="40">
        <f t="shared" si="18"/>
        <v>-6.5027884494481714E-2</v>
      </c>
    </row>
    <row r="124" spans="2:20" x14ac:dyDescent="0.35">
      <c r="B124" s="11" t="s">
        <v>115</v>
      </c>
      <c r="C124" s="19">
        <v>3.4500000000000003E-2</v>
      </c>
      <c r="D124" s="38">
        <f t="shared" si="10"/>
        <v>0.3243929484341273</v>
      </c>
      <c r="E124" s="32">
        <f t="shared" si="15"/>
        <v>51246.13874276921</v>
      </c>
      <c r="F124" s="47">
        <v>0</v>
      </c>
      <c r="G124" s="20">
        <v>0.11700000000000001</v>
      </c>
      <c r="H124" s="38">
        <f t="shared" si="11"/>
        <v>0.39899027769335943</v>
      </c>
      <c r="I124" s="32">
        <f t="shared" si="19"/>
        <v>63030.689250145384</v>
      </c>
      <c r="J124" s="47">
        <v>0</v>
      </c>
      <c r="K124" s="20">
        <v>9.4600000000000004E-2</v>
      </c>
      <c r="L124" s="38">
        <f t="shared" si="12"/>
        <v>0.16802439731419058</v>
      </c>
      <c r="M124" s="32">
        <f t="shared" si="16"/>
        <v>26543.738445910443</v>
      </c>
      <c r="N124" s="47">
        <v>0</v>
      </c>
      <c r="O124" s="19">
        <v>5.2400000000000002E-2</v>
      </c>
      <c r="P124" s="38">
        <f t="shared" si="14"/>
        <v>0.10859237655832278</v>
      </c>
      <c r="Q124" s="31">
        <f t="shared" si="17"/>
        <v>17154.935156196498</v>
      </c>
      <c r="R124" s="47">
        <v>0</v>
      </c>
      <c r="S124" s="37">
        <f t="shared" si="13"/>
        <v>157975.50159502152</v>
      </c>
      <c r="T124" s="40">
        <f t="shared" si="18"/>
        <v>7.8212226697321308E-2</v>
      </c>
    </row>
    <row r="125" spans="2:20" x14ac:dyDescent="0.35">
      <c r="B125" s="10" t="s">
        <v>116</v>
      </c>
      <c r="C125" s="19">
        <v>1.46E-2</v>
      </c>
      <c r="D125" s="38">
        <f t="shared" si="10"/>
        <v>0.31584434712514531</v>
      </c>
      <c r="E125" s="32">
        <f t="shared" si="15"/>
        <v>51994.332368413641</v>
      </c>
      <c r="F125" s="47">
        <v>0</v>
      </c>
      <c r="G125" s="20">
        <v>9.8500000000000004E-2</v>
      </c>
      <c r="H125" s="38">
        <f t="shared" si="11"/>
        <v>0.42059995307312997</v>
      </c>
      <c r="I125" s="32">
        <f t="shared" si="19"/>
        <v>69239.212141284705</v>
      </c>
      <c r="J125" s="47">
        <v>0</v>
      </c>
      <c r="K125" s="20">
        <v>8.6E-3</v>
      </c>
      <c r="L125" s="38">
        <f t="shared" si="12"/>
        <v>0.16262906140530736</v>
      </c>
      <c r="M125" s="32">
        <f t="shared" si="16"/>
        <v>26772.014596545272</v>
      </c>
      <c r="N125" s="47">
        <v>0</v>
      </c>
      <c r="O125" s="17">
        <v>-3.15E-2</v>
      </c>
      <c r="P125" s="38">
        <f t="shared" si="14"/>
        <v>0.10092663839641729</v>
      </c>
      <c r="Q125" s="31">
        <f t="shared" si="17"/>
        <v>16614.554698776308</v>
      </c>
      <c r="R125" s="47">
        <v>0</v>
      </c>
      <c r="S125" s="37">
        <f t="shared" si="13"/>
        <v>164620.11380501994</v>
      </c>
      <c r="T125" s="40">
        <f t="shared" si="18"/>
        <v>4.2061029355249246E-2</v>
      </c>
    </row>
    <row r="126" spans="2:20" x14ac:dyDescent="0.35">
      <c r="B126" s="11" t="s">
        <v>117</v>
      </c>
      <c r="C126" s="19">
        <v>7.4700000000000003E-2</v>
      </c>
      <c r="D126" s="38">
        <f t="shared" si="10"/>
        <v>0.34724958972252817</v>
      </c>
      <c r="E126" s="32">
        <f t="shared" si="15"/>
        <v>55878.308996334141</v>
      </c>
      <c r="F126" s="47">
        <v>0</v>
      </c>
      <c r="G126" s="15">
        <v>-9.5500000000000002E-2</v>
      </c>
      <c r="H126" s="38">
        <f t="shared" si="11"/>
        <v>0.3891877616654642</v>
      </c>
      <c r="I126" s="32">
        <f t="shared" si="19"/>
        <v>62626.867381792013</v>
      </c>
      <c r="J126" s="47">
        <v>0</v>
      </c>
      <c r="K126" s="15">
        <v>-2.0899999999999998E-2</v>
      </c>
      <c r="L126" s="38">
        <f t="shared" si="12"/>
        <v>0.16289456342751685</v>
      </c>
      <c r="M126" s="32">
        <f t="shared" si="16"/>
        <v>26212.479491477476</v>
      </c>
      <c r="N126" s="47">
        <v>0</v>
      </c>
      <c r="O126" s="17">
        <v>-2.5000000000000001E-2</v>
      </c>
      <c r="P126" s="38">
        <f t="shared" si="14"/>
        <v>0.10066808518449075</v>
      </c>
      <c r="Q126" s="31">
        <f t="shared" si="17"/>
        <v>16199.1908313069</v>
      </c>
      <c r="R126" s="47">
        <v>0</v>
      </c>
      <c r="S126" s="37">
        <f t="shared" si="13"/>
        <v>160916.84670091054</v>
      </c>
      <c r="T126" s="40">
        <f t="shared" si="18"/>
        <v>-2.2495836131516955E-2</v>
      </c>
    </row>
    <row r="127" spans="2:20" x14ac:dyDescent="0.35">
      <c r="B127" s="10" t="s">
        <v>118</v>
      </c>
      <c r="C127" s="19">
        <v>1.32E-2</v>
      </c>
      <c r="D127" s="38">
        <f t="shared" si="10"/>
        <v>0.3540264938066281</v>
      </c>
      <c r="E127" s="32">
        <f t="shared" si="15"/>
        <v>56615.902675085752</v>
      </c>
      <c r="F127" s="47">
        <v>0</v>
      </c>
      <c r="G127" s="15">
        <v>-3.5299999999999998E-2</v>
      </c>
      <c r="H127" s="38">
        <f t="shared" si="11"/>
        <v>0.37778985825290534</v>
      </c>
      <c r="I127" s="32">
        <f t="shared" si="19"/>
        <v>60416.138963214755</v>
      </c>
      <c r="J127" s="47">
        <v>0</v>
      </c>
      <c r="K127" s="20">
        <v>1.0999999999999999E-2</v>
      </c>
      <c r="L127" s="38">
        <f t="shared" si="12"/>
        <v>0.16571300287271293</v>
      </c>
      <c r="M127" s="32">
        <f t="shared" si="16"/>
        <v>26500.816765883726</v>
      </c>
      <c r="N127" s="47">
        <v>0</v>
      </c>
      <c r="O127" s="19">
        <v>1.1599999999999999E-2</v>
      </c>
      <c r="P127" s="38">
        <f t="shared" si="14"/>
        <v>0.10247064506775368</v>
      </c>
      <c r="Q127" s="31">
        <f t="shared" si="17"/>
        <v>16387.101444950058</v>
      </c>
      <c r="R127" s="47">
        <v>0</v>
      </c>
      <c r="S127" s="37">
        <f t="shared" si="13"/>
        <v>159919.95984913429</v>
      </c>
      <c r="T127" s="40">
        <f t="shared" si="18"/>
        <v>-6.1950434166108126E-3</v>
      </c>
    </row>
    <row r="128" spans="2:20" x14ac:dyDescent="0.35">
      <c r="B128" s="11" t="s">
        <v>119</v>
      </c>
      <c r="C128" s="17">
        <v>-3.2000000000000002E-3</v>
      </c>
      <c r="D128" s="38">
        <f t="shared" si="10"/>
        <v>0.34657553994900275</v>
      </c>
      <c r="E128" s="32">
        <f t="shared" si="15"/>
        <v>56434.731786525481</v>
      </c>
      <c r="F128" s="47">
        <v>0</v>
      </c>
      <c r="G128" s="20">
        <v>7.3000000000000001E-3</v>
      </c>
      <c r="H128" s="38">
        <f t="shared" si="11"/>
        <v>0.3737345466842556</v>
      </c>
      <c r="I128" s="32">
        <f t="shared" si="19"/>
        <v>60857.176777646222</v>
      </c>
      <c r="J128" s="47">
        <v>0</v>
      </c>
      <c r="K128" s="20">
        <v>9.4700000000000006E-2</v>
      </c>
      <c r="L128" s="38">
        <f t="shared" si="12"/>
        <v>0.1781582017766648</v>
      </c>
      <c r="M128" s="32">
        <f t="shared" si="16"/>
        <v>29010.444113612917</v>
      </c>
      <c r="N128" s="47">
        <v>0</v>
      </c>
      <c r="O128" s="19">
        <v>8.8999999999999999E-3</v>
      </c>
      <c r="P128" s="38">
        <f t="shared" si="14"/>
        <v>0.1015317115900768</v>
      </c>
      <c r="Q128" s="31">
        <f t="shared" si="17"/>
        <v>16532.946647810113</v>
      </c>
      <c r="R128" s="47">
        <v>0</v>
      </c>
      <c r="S128" s="37">
        <f t="shared" si="13"/>
        <v>162835.29932559474</v>
      </c>
      <c r="T128" s="40">
        <f t="shared" si="18"/>
        <v>1.822999129821401E-2</v>
      </c>
    </row>
    <row r="129" spans="2:20" x14ac:dyDescent="0.35">
      <c r="B129" s="10" t="s">
        <v>120</v>
      </c>
      <c r="C129" s="17">
        <v>-3.3300000000000003E-2</v>
      </c>
      <c r="D129" s="38">
        <f t="shared" si="10"/>
        <v>0.3392415418042718</v>
      </c>
      <c r="E129" s="32">
        <f t="shared" si="15"/>
        <v>54555.455218034185</v>
      </c>
      <c r="F129" s="47">
        <v>0</v>
      </c>
      <c r="G129" s="15">
        <v>-2.1600000000000001E-2</v>
      </c>
      <c r="H129" s="38">
        <f t="shared" si="11"/>
        <v>0.37025342924204374</v>
      </c>
      <c r="I129" s="32">
        <f t="shared" si="19"/>
        <v>59542.661759249066</v>
      </c>
      <c r="J129" s="47">
        <v>0</v>
      </c>
      <c r="K129" s="20">
        <v>3.9800000000000002E-2</v>
      </c>
      <c r="L129" s="38">
        <f t="shared" si="12"/>
        <v>0.18757503444255352</v>
      </c>
      <c r="M129" s="32">
        <f t="shared" si="16"/>
        <v>30165.059789334711</v>
      </c>
      <c r="N129" s="47">
        <v>0</v>
      </c>
      <c r="O129" s="19">
        <v>1.1999999999999999E-3</v>
      </c>
      <c r="P129" s="38">
        <f t="shared" si="14"/>
        <v>0.10292999451113104</v>
      </c>
      <c r="Q129" s="31">
        <f t="shared" si="17"/>
        <v>16552.786183787484</v>
      </c>
      <c r="R129" s="47">
        <v>0</v>
      </c>
      <c r="S129" s="37">
        <f t="shared" si="13"/>
        <v>160815.96295040543</v>
      </c>
      <c r="T129" s="40">
        <f t="shared" si="18"/>
        <v>-1.2401097204062461E-2</v>
      </c>
    </row>
    <row r="130" spans="2:20" x14ac:dyDescent="0.35">
      <c r="B130" s="9" t="s">
        <v>121</v>
      </c>
      <c r="C130" s="17">
        <v>-0.1047</v>
      </c>
      <c r="D130" s="38">
        <f t="shared" si="10"/>
        <v>0.3076790998878956</v>
      </c>
      <c r="E130" s="32">
        <f t="shared" si="15"/>
        <v>48843.499056706009</v>
      </c>
      <c r="F130" s="47">
        <v>0</v>
      </c>
      <c r="G130" s="20">
        <v>5.2200000000000003E-2</v>
      </c>
      <c r="H130" s="38">
        <f t="shared" si="11"/>
        <v>0.3946551464925076</v>
      </c>
      <c r="I130" s="32">
        <f t="shared" si="19"/>
        <v>62650.788703081867</v>
      </c>
      <c r="J130" s="47">
        <v>0</v>
      </c>
      <c r="K130" s="15">
        <v>-1.6799999999999999E-2</v>
      </c>
      <c r="L130" s="38">
        <f t="shared" si="12"/>
        <v>0.18682598827723035</v>
      </c>
      <c r="M130" s="32">
        <f t="shared" si="16"/>
        <v>29658.28678487389</v>
      </c>
      <c r="N130" s="47">
        <v>0</v>
      </c>
      <c r="O130" s="19">
        <v>6.3E-2</v>
      </c>
      <c r="P130" s="38">
        <f t="shared" si="14"/>
        <v>0.11083976534236649</v>
      </c>
      <c r="Q130" s="31">
        <f t="shared" si="17"/>
        <v>17595.611713366096</v>
      </c>
      <c r="R130" s="47">
        <v>0</v>
      </c>
      <c r="S130" s="37">
        <f t="shared" si="13"/>
        <v>158748.18625802785</v>
      </c>
      <c r="T130" s="40">
        <f t="shared" si="18"/>
        <v>-1.2858031344906151E-2</v>
      </c>
    </row>
    <row r="131" spans="2:20" x14ac:dyDescent="0.35">
      <c r="B131" s="10" t="s">
        <v>122</v>
      </c>
      <c r="C131" s="19">
        <v>7.4999999999999997E-3</v>
      </c>
      <c r="D131" s="38">
        <f t="shared" si="10"/>
        <v>0.30525557547692833</v>
      </c>
      <c r="E131" s="32">
        <f t="shared" si="15"/>
        <v>49209.825299631302</v>
      </c>
      <c r="F131" s="47">
        <v>0</v>
      </c>
      <c r="G131" s="20">
        <v>2.7E-2</v>
      </c>
      <c r="H131" s="38">
        <f t="shared" si="11"/>
        <v>0.39912484974621937</v>
      </c>
      <c r="I131" s="32">
        <f t="shared" si="19"/>
        <v>64342.359998065076</v>
      </c>
      <c r="J131" s="47">
        <v>0</v>
      </c>
      <c r="K131" s="20">
        <v>5.7999999999999996E-3</v>
      </c>
      <c r="L131" s="38">
        <f t="shared" si="12"/>
        <v>0.18504164194148653</v>
      </c>
      <c r="M131" s="32">
        <f t="shared" si="16"/>
        <v>29830.304848226158</v>
      </c>
      <c r="N131" s="47">
        <v>0</v>
      </c>
      <c r="O131" s="19">
        <v>1.3100000000000001E-2</v>
      </c>
      <c r="P131" s="38">
        <f t="shared" si="14"/>
        <v>0.11057793283536568</v>
      </c>
      <c r="Q131" s="31">
        <f t="shared" si="17"/>
        <v>17826.114226811191</v>
      </c>
      <c r="R131" s="47">
        <v>0</v>
      </c>
      <c r="S131" s="37">
        <f t="shared" si="13"/>
        <v>161208.60437273374</v>
      </c>
      <c r="T131" s="40">
        <f t="shared" si="18"/>
        <v>1.5498873862449969E-2</v>
      </c>
    </row>
    <row r="132" spans="2:20" x14ac:dyDescent="0.35">
      <c r="B132" s="11" t="s">
        <v>123</v>
      </c>
      <c r="C132" s="19">
        <v>7.0599999999999996E-2</v>
      </c>
      <c r="D132" s="38">
        <f t="shared" si="10"/>
        <v>0.32931080912918398</v>
      </c>
      <c r="E132" s="32">
        <f t="shared" si="15"/>
        <v>52684.038965785272</v>
      </c>
      <c r="F132" s="47">
        <v>0</v>
      </c>
      <c r="G132" s="15">
        <v>-5.7000000000000002E-2</v>
      </c>
      <c r="H132" s="38">
        <f t="shared" si="11"/>
        <v>0.3792587442125</v>
      </c>
      <c r="I132" s="32">
        <f t="shared" si="19"/>
        <v>60674.845478175368</v>
      </c>
      <c r="J132" s="47">
        <v>0</v>
      </c>
      <c r="K132" s="15">
        <v>-1.8599999999999998E-2</v>
      </c>
      <c r="L132" s="38">
        <f t="shared" si="12"/>
        <v>0.18299139544776322</v>
      </c>
      <c r="M132" s="32">
        <f t="shared" si="16"/>
        <v>29275.46117804915</v>
      </c>
      <c r="N132" s="47">
        <v>0</v>
      </c>
      <c r="O132" s="17">
        <v>-2.6800000000000001E-2</v>
      </c>
      <c r="P132" s="38">
        <f t="shared" si="14"/>
        <v>0.10843905121055285</v>
      </c>
      <c r="Q132" s="31">
        <f t="shared" si="17"/>
        <v>17348.374365532651</v>
      </c>
      <c r="R132" s="47">
        <v>0</v>
      </c>
      <c r="S132" s="37">
        <f t="shared" si="13"/>
        <v>159982.71998754243</v>
      </c>
      <c r="T132" s="40">
        <f t="shared" si="18"/>
        <v>-7.6043359469629701E-3</v>
      </c>
    </row>
    <row r="133" spans="2:20" x14ac:dyDescent="0.35">
      <c r="B133" s="10" t="s">
        <v>124</v>
      </c>
      <c r="C133" s="19">
        <v>2.8899999999999999E-2</v>
      </c>
      <c r="D133" s="38">
        <f t="shared" si="10"/>
        <v>0.3365463915698349</v>
      </c>
      <c r="E133" s="32">
        <f t="shared" si="15"/>
        <v>54206.607691896468</v>
      </c>
      <c r="F133" s="47">
        <v>0</v>
      </c>
      <c r="G133" s="15">
        <v>-7.9000000000000008E-3</v>
      </c>
      <c r="H133" s="38">
        <f t="shared" si="11"/>
        <v>0.37372903332149182</v>
      </c>
      <c r="I133" s="32">
        <f t="shared" si="19"/>
        <v>60195.514198897785</v>
      </c>
      <c r="J133" s="47">
        <v>0</v>
      </c>
      <c r="K133" s="15">
        <v>-8.8999999999999999E-3</v>
      </c>
      <c r="L133" s="38">
        <f t="shared" si="12"/>
        <v>0.18014156455261776</v>
      </c>
      <c r="M133" s="32">
        <f t="shared" si="16"/>
        <v>29014.909573564513</v>
      </c>
      <c r="N133" s="47">
        <v>0</v>
      </c>
      <c r="O133" s="19">
        <v>1.7399999999999999E-2</v>
      </c>
      <c r="P133" s="38">
        <f t="shared" si="14"/>
        <v>0.10958301055605553</v>
      </c>
      <c r="Q133" s="31">
        <f t="shared" si="17"/>
        <v>17650.236079492919</v>
      </c>
      <c r="R133" s="47">
        <v>0</v>
      </c>
      <c r="S133" s="37">
        <f t="shared" si="13"/>
        <v>161067.26754385169</v>
      </c>
      <c r="T133" s="40">
        <f t="shared" si="18"/>
        <v>6.7791543761333006E-3</v>
      </c>
    </row>
    <row r="134" spans="2:20" x14ac:dyDescent="0.35">
      <c r="B134" s="11" t="s">
        <v>125</v>
      </c>
      <c r="C134" s="17">
        <v>-1.32E-2</v>
      </c>
      <c r="D134" s="38">
        <f t="shared" si="10"/>
        <v>0.3357387081712046</v>
      </c>
      <c r="E134" s="32">
        <f t="shared" si="15"/>
        <v>53491.080470363435</v>
      </c>
      <c r="F134" s="47">
        <v>0</v>
      </c>
      <c r="G134" s="15">
        <v>-3.3000000000000002E-2</v>
      </c>
      <c r="H134" s="38">
        <f t="shared" si="11"/>
        <v>0.36535129193917493</v>
      </c>
      <c r="I134" s="32">
        <f t="shared" si="19"/>
        <v>58209.062230334159</v>
      </c>
      <c r="J134" s="47">
        <v>0</v>
      </c>
      <c r="K134" s="20">
        <v>1.9400000000000001E-2</v>
      </c>
      <c r="L134" s="38">
        <f t="shared" si="12"/>
        <v>0.18564612789301718</v>
      </c>
      <c r="M134" s="32">
        <f t="shared" si="16"/>
        <v>29577.798819291664</v>
      </c>
      <c r="N134" s="47">
        <v>0</v>
      </c>
      <c r="O134" s="19">
        <v>2.24E-2</v>
      </c>
      <c r="P134" s="38">
        <f t="shared" si="14"/>
        <v>0.11326387199660318</v>
      </c>
      <c r="Q134" s="31">
        <f t="shared" si="17"/>
        <v>18045.60136767356</v>
      </c>
      <c r="R134" s="47">
        <v>0</v>
      </c>
      <c r="S134" s="37">
        <f t="shared" si="13"/>
        <v>159323.54288766283</v>
      </c>
      <c r="T134" s="40">
        <f t="shared" si="18"/>
        <v>-1.0826064679554603E-2</v>
      </c>
    </row>
    <row r="135" spans="2:20" x14ac:dyDescent="0.35">
      <c r="B135" s="10" t="s">
        <v>126</v>
      </c>
      <c r="C135" s="19">
        <v>1.77E-2</v>
      </c>
      <c r="D135" s="38">
        <f t="shared" si="10"/>
        <v>0.33327109651260362</v>
      </c>
      <c r="E135" s="32">
        <f t="shared" si="15"/>
        <v>54437.872594688866</v>
      </c>
      <c r="F135" s="47">
        <v>0</v>
      </c>
      <c r="G135" s="20">
        <v>5.0599999999999999E-2</v>
      </c>
      <c r="H135" s="38">
        <f t="shared" si="11"/>
        <v>0.37439022804656513</v>
      </c>
      <c r="I135" s="32">
        <f t="shared" si="19"/>
        <v>61154.44077918907</v>
      </c>
      <c r="J135" s="47">
        <v>0</v>
      </c>
      <c r="K135" s="20">
        <v>9.1000000000000004E-3</v>
      </c>
      <c r="L135" s="38">
        <f t="shared" si="12"/>
        <v>0.18272440751944269</v>
      </c>
      <c r="M135" s="32">
        <f t="shared" si="16"/>
        <v>29846.956788547217</v>
      </c>
      <c r="N135" s="47">
        <v>0</v>
      </c>
      <c r="O135" s="17">
        <v>-7.7999999999999996E-3</v>
      </c>
      <c r="P135" s="38">
        <f t="shared" si="14"/>
        <v>0.10961426792138858</v>
      </c>
      <c r="Q135" s="31">
        <f t="shared" si="17"/>
        <v>17904.845677005706</v>
      </c>
      <c r="R135" s="47">
        <v>0</v>
      </c>
      <c r="S135" s="37">
        <f t="shared" si="13"/>
        <v>163344.11583943086</v>
      </c>
      <c r="T135" s="40">
        <f t="shared" si="18"/>
        <v>2.5235272069005443E-2</v>
      </c>
    </row>
    <row r="136" spans="2:20" x14ac:dyDescent="0.35">
      <c r="B136" s="11" t="s">
        <v>127</v>
      </c>
      <c r="C136" s="19">
        <v>3.5200000000000002E-2</v>
      </c>
      <c r="D136" s="38">
        <f t="shared" si="10"/>
        <v>0.34182956766626438</v>
      </c>
      <c r="E136" s="32">
        <f t="shared" si="15"/>
        <v>56354.085710021915</v>
      </c>
      <c r="F136" s="47">
        <v>0</v>
      </c>
      <c r="G136" s="15">
        <v>-1.4800000000000001E-2</v>
      </c>
      <c r="H136" s="38">
        <f t="shared" si="11"/>
        <v>0.36545728195859867</v>
      </c>
      <c r="I136" s="32">
        <f t="shared" si="19"/>
        <v>60249.35505565707</v>
      </c>
      <c r="J136" s="47">
        <v>0</v>
      </c>
      <c r="K136" s="20">
        <v>4.4999999999999997E-3</v>
      </c>
      <c r="L136" s="38">
        <f t="shared" si="12"/>
        <v>0.18185875578615798</v>
      </c>
      <c r="M136" s="32">
        <f t="shared" si="16"/>
        <v>29981.268094095678</v>
      </c>
      <c r="N136" s="47">
        <v>0</v>
      </c>
      <c r="O136" s="19">
        <v>2.07E-2</v>
      </c>
      <c r="P136" s="38">
        <f t="shared" si="14"/>
        <v>0.11085439458897905</v>
      </c>
      <c r="Q136" s="31">
        <f t="shared" si="17"/>
        <v>18275.475982519725</v>
      </c>
      <c r="R136" s="47">
        <v>0</v>
      </c>
      <c r="S136" s="37">
        <f t="shared" si="13"/>
        <v>164860.18484229437</v>
      </c>
      <c r="T136" s="40">
        <f t="shared" si="18"/>
        <v>9.2814424019647124E-3</v>
      </c>
    </row>
    <row r="137" spans="2:20" x14ac:dyDescent="0.35">
      <c r="B137" s="10" t="s">
        <v>128</v>
      </c>
      <c r="C137" s="19">
        <v>0.1037</v>
      </c>
      <c r="D137" s="38">
        <f t="shared" si="10"/>
        <v>0.36100175905797177</v>
      </c>
      <c r="E137" s="32">
        <f t="shared" si="15"/>
        <v>62198.004398151184</v>
      </c>
      <c r="F137" s="47">
        <v>0</v>
      </c>
      <c r="G137" s="20">
        <v>1E-3</v>
      </c>
      <c r="H137" s="38">
        <f t="shared" si="11"/>
        <v>0.35004134764498757</v>
      </c>
      <c r="I137" s="32">
        <f t="shared" si="19"/>
        <v>60309.604410712724</v>
      </c>
      <c r="J137" s="47">
        <v>0</v>
      </c>
      <c r="K137" s="20">
        <v>3.44E-2</v>
      </c>
      <c r="L137" s="38">
        <f t="shared" si="12"/>
        <v>0.17999953250918155</v>
      </c>
      <c r="M137" s="32">
        <f t="shared" si="16"/>
        <v>31012.623716532569</v>
      </c>
      <c r="N137" s="47">
        <v>0</v>
      </c>
      <c r="O137" s="19">
        <v>2.7199999999999998E-2</v>
      </c>
      <c r="P137" s="38">
        <f t="shared" si="14"/>
        <v>0.10895736078785907</v>
      </c>
      <c r="Q137" s="31">
        <f t="shared" si="17"/>
        <v>18772.568929244262</v>
      </c>
      <c r="R137" s="47">
        <v>0</v>
      </c>
      <c r="S137" s="37">
        <f t="shared" si="13"/>
        <v>172292.80145464075</v>
      </c>
      <c r="T137" s="40">
        <f t="shared" si="18"/>
        <v>4.5084364180814296E-2</v>
      </c>
    </row>
    <row r="138" spans="2:20" x14ac:dyDescent="0.35">
      <c r="B138" s="11" t="s">
        <v>129</v>
      </c>
      <c r="C138" s="17">
        <v>-0.1164</v>
      </c>
      <c r="D138" s="38">
        <f t="shared" si="10"/>
        <v>0.32476287445097868</v>
      </c>
      <c r="E138" s="32">
        <f t="shared" si="15"/>
        <v>54958.156686206385</v>
      </c>
      <c r="F138" s="47">
        <v>0</v>
      </c>
      <c r="G138" s="20">
        <v>2.5399999999999999E-2</v>
      </c>
      <c r="H138" s="38">
        <f t="shared" si="11"/>
        <v>0.36543825769897015</v>
      </c>
      <c r="I138" s="32">
        <f t="shared" si="19"/>
        <v>61841.468362744825</v>
      </c>
      <c r="J138" s="47">
        <v>0</v>
      </c>
      <c r="K138" s="20">
        <v>7.51E-2</v>
      </c>
      <c r="L138" s="38">
        <f t="shared" si="12"/>
        <v>0.19702511532253086</v>
      </c>
      <c r="M138" s="32">
        <f t="shared" si="16"/>
        <v>33341.671757644166</v>
      </c>
      <c r="N138" s="47">
        <v>0</v>
      </c>
      <c r="O138" s="19">
        <v>1.66E-2</v>
      </c>
      <c r="P138" s="38">
        <f t="shared" si="14"/>
        <v>0.11277375252752023</v>
      </c>
      <c r="Q138" s="31">
        <f t="shared" si="17"/>
        <v>19084.193573469718</v>
      </c>
      <c r="R138" s="47">
        <v>0</v>
      </c>
      <c r="S138" s="37">
        <f t="shared" si="13"/>
        <v>169225.49038006511</v>
      </c>
      <c r="T138" s="40">
        <f t="shared" si="18"/>
        <v>-1.780289744364727E-2</v>
      </c>
    </row>
    <row r="139" spans="2:20" x14ac:dyDescent="0.35">
      <c r="B139" s="10" t="s">
        <v>130</v>
      </c>
      <c r="C139" s="17">
        <v>-2.1600000000000001E-2</v>
      </c>
      <c r="D139" s="38">
        <f t="shared" si="10"/>
        <v>0.32210266027347106</v>
      </c>
      <c r="E139" s="32">
        <f t="shared" si="15"/>
        <v>53771.060501784326</v>
      </c>
      <c r="F139" s="47">
        <v>0</v>
      </c>
      <c r="G139" s="15">
        <v>-4.5999999999999999E-2</v>
      </c>
      <c r="H139" s="38">
        <f t="shared" si="11"/>
        <v>0.35340596651211215</v>
      </c>
      <c r="I139" s="32">
        <f t="shared" si="19"/>
        <v>58996.760818058567</v>
      </c>
      <c r="J139" s="47">
        <v>0</v>
      </c>
      <c r="K139" s="20">
        <v>6.0000000000000001E-3</v>
      </c>
      <c r="L139" s="38">
        <f t="shared" si="12"/>
        <v>0.20092365144574642</v>
      </c>
      <c r="M139" s="32">
        <f t="shared" si="16"/>
        <v>33541.721788190029</v>
      </c>
      <c r="N139" s="47">
        <v>0</v>
      </c>
      <c r="O139" s="19">
        <v>8.09E-2</v>
      </c>
      <c r="P139" s="38">
        <f t="shared" si="14"/>
        <v>0.12356772176867034</v>
      </c>
      <c r="Q139" s="31">
        <f t="shared" si="17"/>
        <v>20628.104833563419</v>
      </c>
      <c r="R139" s="47">
        <v>0</v>
      </c>
      <c r="S139" s="37">
        <f t="shared" si="13"/>
        <v>166937.64794159634</v>
      </c>
      <c r="T139" s="40">
        <f t="shared" si="18"/>
        <v>-1.3519490670882317E-2</v>
      </c>
    </row>
    <row r="140" spans="2:20" x14ac:dyDescent="0.35">
      <c r="B140" s="11" t="s">
        <v>131</v>
      </c>
      <c r="C140" s="19">
        <v>1.7299999999999999E-2</v>
      </c>
      <c r="D140" s="38">
        <f t="shared" si="10"/>
        <v>0.31319302201263349</v>
      </c>
      <c r="E140" s="32">
        <f t="shared" si="15"/>
        <v>54701.299848465198</v>
      </c>
      <c r="F140" s="47">
        <v>0</v>
      </c>
      <c r="G140" s="20">
        <v>4.6199999999999998E-2</v>
      </c>
      <c r="H140" s="38">
        <f t="shared" si="11"/>
        <v>0.35339248853532584</v>
      </c>
      <c r="I140" s="32">
        <f t="shared" si="19"/>
        <v>61722.411167852872</v>
      </c>
      <c r="J140" s="47">
        <v>0</v>
      </c>
      <c r="K140" s="20">
        <v>7.6799999999999993E-2</v>
      </c>
      <c r="L140" s="38">
        <f t="shared" si="12"/>
        <v>0.20679252215653721</v>
      </c>
      <c r="M140" s="32">
        <f t="shared" si="16"/>
        <v>36117.72602152302</v>
      </c>
      <c r="N140" s="47">
        <v>0</v>
      </c>
      <c r="O140" s="19">
        <v>7.2099999999999997E-2</v>
      </c>
      <c r="P140" s="38">
        <f t="shared" si="14"/>
        <v>0.12662196729550357</v>
      </c>
      <c r="Q140" s="31">
        <f t="shared" si="17"/>
        <v>22115.39119206334</v>
      </c>
      <c r="R140" s="47">
        <v>0</v>
      </c>
      <c r="S140" s="37">
        <f t="shared" si="13"/>
        <v>174656.82822990441</v>
      </c>
      <c r="T140" s="40">
        <f t="shared" si="18"/>
        <v>4.6239900846144932E-2</v>
      </c>
    </row>
    <row r="141" spans="2:20" x14ac:dyDescent="0.35">
      <c r="B141" s="10" t="s">
        <v>132</v>
      </c>
      <c r="C141" s="17">
        <v>-8.1500000000000003E-2</v>
      </c>
      <c r="D141" s="38">
        <f t="shared" si="10"/>
        <v>0.28348524118587037</v>
      </c>
      <c r="E141" s="32">
        <f t="shared" si="15"/>
        <v>50243.143910815284</v>
      </c>
      <c r="F141" s="47">
        <v>0</v>
      </c>
      <c r="G141" s="20">
        <v>6.6299999999999998E-2</v>
      </c>
      <c r="H141" s="38">
        <f t="shared" si="11"/>
        <v>0.37134359625432356</v>
      </c>
      <c r="I141" s="32">
        <f t="shared" si="19"/>
        <v>65814.60702828152</v>
      </c>
      <c r="J141" s="47">
        <v>0</v>
      </c>
      <c r="K141" s="20">
        <v>4.6699999999999998E-2</v>
      </c>
      <c r="L141" s="38">
        <f t="shared" si="12"/>
        <v>0.21330265927299913</v>
      </c>
      <c r="M141" s="32">
        <f t="shared" si="16"/>
        <v>37804.423826728147</v>
      </c>
      <c r="N141" s="47">
        <v>0</v>
      </c>
      <c r="O141" s="19">
        <v>5.6800000000000003E-2</v>
      </c>
      <c r="P141" s="38">
        <f t="shared" si="14"/>
        <v>0.13186850328680697</v>
      </c>
      <c r="Q141" s="31">
        <f t="shared" si="17"/>
        <v>23371.545411772539</v>
      </c>
      <c r="R141" s="47">
        <v>0</v>
      </c>
      <c r="S141" s="37">
        <f t="shared" si="13"/>
        <v>177233.72017759748</v>
      </c>
      <c r="T141" s="40">
        <f t="shared" si="18"/>
        <v>1.4754029222957543E-2</v>
      </c>
    </row>
    <row r="142" spans="2:20" x14ac:dyDescent="0.35">
      <c r="B142" s="9" t="s">
        <v>133</v>
      </c>
      <c r="C142" s="17">
        <v>-7.8299999999999995E-2</v>
      </c>
      <c r="D142" s="38">
        <f t="shared" si="10"/>
        <v>0.26177064347622703</v>
      </c>
      <c r="E142" s="32">
        <f t="shared" si="15"/>
        <v>46309.105742598447</v>
      </c>
      <c r="F142" s="47">
        <v>0</v>
      </c>
      <c r="G142" s="20">
        <v>6.4699999999999994E-2</v>
      </c>
      <c r="H142" s="38">
        <f t="shared" si="11"/>
        <v>0.39609931611183785</v>
      </c>
      <c r="I142" s="32">
        <f t="shared" si="19"/>
        <v>70072.81210301134</v>
      </c>
      <c r="J142" s="47">
        <v>0</v>
      </c>
      <c r="K142" s="15">
        <v>-4.8000000000000001E-2</v>
      </c>
      <c r="L142" s="38">
        <f t="shared" si="12"/>
        <v>0.20343895567472947</v>
      </c>
      <c r="M142" s="32">
        <f t="shared" si="16"/>
        <v>35989.811483045196</v>
      </c>
      <c r="N142" s="47">
        <v>0</v>
      </c>
      <c r="O142" s="19">
        <v>4.9799999999999997E-2</v>
      </c>
      <c r="P142" s="38">
        <f t="shared" si="14"/>
        <v>0.13869108473720573</v>
      </c>
      <c r="Q142" s="31">
        <f t="shared" si="17"/>
        <v>24535.44837327881</v>
      </c>
      <c r="R142" s="47">
        <v>0</v>
      </c>
      <c r="S142" s="37">
        <f t="shared" si="13"/>
        <v>176907.17770193378</v>
      </c>
      <c r="T142" s="40">
        <f t="shared" si="18"/>
        <v>-1.8424398886198734E-3</v>
      </c>
    </row>
    <row r="143" spans="2:20" x14ac:dyDescent="0.35">
      <c r="B143" s="10" t="s">
        <v>134</v>
      </c>
      <c r="C143" s="19">
        <v>0.1487</v>
      </c>
      <c r="D143" s="38">
        <f t="shared" si="10"/>
        <v>0.27194615805612216</v>
      </c>
      <c r="E143" s="32">
        <f t="shared" si="15"/>
        <v>53195.269766522833</v>
      </c>
      <c r="F143" s="47">
        <v>0</v>
      </c>
      <c r="G143" s="20">
        <v>5.3100000000000001E-2</v>
      </c>
      <c r="H143" s="38">
        <f t="shared" si="11"/>
        <v>0.37724984617565033</v>
      </c>
      <c r="I143" s="32">
        <f t="shared" si="19"/>
        <v>73793.678425681239</v>
      </c>
      <c r="J143" s="47">
        <v>0</v>
      </c>
      <c r="K143" s="20">
        <v>0.17510000000000001</v>
      </c>
      <c r="L143" s="38">
        <f t="shared" si="12"/>
        <v>0.21620429146988832</v>
      </c>
      <c r="M143" s="32">
        <f t="shared" si="16"/>
        <v>42291.62747372641</v>
      </c>
      <c r="N143" s="47">
        <v>0</v>
      </c>
      <c r="O143" s="19">
        <v>7.3099999999999998E-2</v>
      </c>
      <c r="P143" s="38">
        <f t="shared" si="14"/>
        <v>0.13459970429833912</v>
      </c>
      <c r="Q143" s="31">
        <f t="shared" si="17"/>
        <v>26328.989649365492</v>
      </c>
      <c r="R143" s="47">
        <v>0</v>
      </c>
      <c r="S143" s="37">
        <f t="shared" si="13"/>
        <v>195609.565315296</v>
      </c>
      <c r="T143" s="40">
        <f t="shared" si="18"/>
        <v>0.10571864780338869</v>
      </c>
    </row>
    <row r="144" spans="2:20" x14ac:dyDescent="0.35">
      <c r="B144" s="11" t="s">
        <v>135</v>
      </c>
      <c r="C144" s="17">
        <v>-1.5299999999999999E-2</v>
      </c>
      <c r="D144" s="38">
        <f t="shared" si="10"/>
        <v>0.25177014770229905</v>
      </c>
      <c r="E144" s="32">
        <f t="shared" si="15"/>
        <v>52381.382139095032</v>
      </c>
      <c r="F144" s="47">
        <v>0</v>
      </c>
      <c r="G144" s="20">
        <v>8.3400000000000002E-2</v>
      </c>
      <c r="H144" s="38">
        <f t="shared" si="11"/>
        <v>0.38426893056573208</v>
      </c>
      <c r="I144" s="32">
        <f t="shared" si="19"/>
        <v>79948.071206383058</v>
      </c>
      <c r="J144" s="47">
        <v>0</v>
      </c>
      <c r="K144" s="20">
        <v>9.1300000000000006E-2</v>
      </c>
      <c r="L144" s="38">
        <f t="shared" si="12"/>
        <v>0.22183283750447716</v>
      </c>
      <c r="M144" s="32">
        <f t="shared" si="16"/>
        <v>46152.853062077629</v>
      </c>
      <c r="N144" s="47">
        <v>0</v>
      </c>
      <c r="O144" s="19">
        <v>0.1231</v>
      </c>
      <c r="P144" s="38">
        <f t="shared" si="14"/>
        <v>0.14212808422749165</v>
      </c>
      <c r="Q144" s="31">
        <f t="shared" si="17"/>
        <v>29570.088275202383</v>
      </c>
      <c r="R144" s="47">
        <v>0</v>
      </c>
      <c r="S144" s="37">
        <f t="shared" si="13"/>
        <v>208052.39468275811</v>
      </c>
      <c r="T144" s="40">
        <f t="shared" si="18"/>
        <v>6.3610536363116754E-2</v>
      </c>
    </row>
    <row r="145" spans="2:20" x14ac:dyDescent="0.35">
      <c r="B145" s="10" t="s">
        <v>136</v>
      </c>
      <c r="C145" s="19">
        <v>5.6000000000000001E-2</v>
      </c>
      <c r="D145" s="38">
        <f t="shared" si="10"/>
        <v>0.28141958037420267</v>
      </c>
      <c r="E145" s="32">
        <f t="shared" si="15"/>
        <v>55314.739538884358</v>
      </c>
      <c r="F145" s="47">
        <v>0</v>
      </c>
      <c r="G145" s="15">
        <v>-8.4599999999999995E-2</v>
      </c>
      <c r="H145" s="38">
        <f t="shared" si="11"/>
        <v>0.37233369311820008</v>
      </c>
      <c r="I145" s="32">
        <f t="shared" si="19"/>
        <v>73184.464382323058</v>
      </c>
      <c r="J145" s="47">
        <v>0</v>
      </c>
      <c r="K145" s="15">
        <v>-7.7299999999999994E-2</v>
      </c>
      <c r="L145" s="38">
        <f t="shared" si="12"/>
        <v>0.21665689422068513</v>
      </c>
      <c r="M145" s="32">
        <f t="shared" si="16"/>
        <v>42585.237520379029</v>
      </c>
      <c r="N145" s="47">
        <v>0</v>
      </c>
      <c r="O145" s="17">
        <v>-0.1386</v>
      </c>
      <c r="P145" s="38">
        <f t="shared" si="14"/>
        <v>0.12958983228691215</v>
      </c>
      <c r="Q145" s="31">
        <f t="shared" si="17"/>
        <v>25471.674040259331</v>
      </c>
      <c r="R145" s="47">
        <v>0</v>
      </c>
      <c r="S145" s="37">
        <f t="shared" si="13"/>
        <v>196556.11548184577</v>
      </c>
      <c r="T145" s="40">
        <f t="shared" si="18"/>
        <v>-5.5256654067558642E-2</v>
      </c>
    </row>
    <row r="146" spans="2:20" x14ac:dyDescent="0.35">
      <c r="B146" s="11" t="s">
        <v>137</v>
      </c>
      <c r="C146" s="17">
        <v>-4.5600000000000002E-2</v>
      </c>
      <c r="D146" s="38">
        <f t="shared" si="10"/>
        <v>0.25771241703005709</v>
      </c>
      <c r="E146" s="32">
        <f t="shared" si="15"/>
        <v>52792.387415911231</v>
      </c>
      <c r="F146" s="47">
        <v>0</v>
      </c>
      <c r="G146" s="20">
        <v>7.6399999999999996E-2</v>
      </c>
      <c r="H146" s="38">
        <f t="shared" si="11"/>
        <v>0.38455337696213571</v>
      </c>
      <c r="I146" s="32">
        <f t="shared" si="19"/>
        <v>78775.75746113254</v>
      </c>
      <c r="J146" s="47">
        <v>0</v>
      </c>
      <c r="K146" s="20">
        <v>8.2199999999999995E-2</v>
      </c>
      <c r="L146" s="38">
        <f t="shared" si="12"/>
        <v>0.22497312718179932</v>
      </c>
      <c r="M146" s="32">
        <f t="shared" si="16"/>
        <v>46085.744044554187</v>
      </c>
      <c r="N146" s="47">
        <v>0</v>
      </c>
      <c r="O146" s="19">
        <v>6.7699999999999996E-2</v>
      </c>
      <c r="P146" s="38">
        <f t="shared" si="14"/>
        <v>0.13276107882600779</v>
      </c>
      <c r="Q146" s="31">
        <f t="shared" si="17"/>
        <v>27196.106372784889</v>
      </c>
      <c r="R146" s="47">
        <v>0</v>
      </c>
      <c r="S146" s="37">
        <f t="shared" si="13"/>
        <v>204849.99529438285</v>
      </c>
      <c r="T146" s="40">
        <f t="shared" si="18"/>
        <v>4.2195989639931097E-2</v>
      </c>
    </row>
    <row r="147" spans="2:20" x14ac:dyDescent="0.35">
      <c r="B147" s="10" t="s">
        <v>138</v>
      </c>
      <c r="C147" s="19">
        <v>1.1000000000000001E-3</v>
      </c>
      <c r="D147" s="38">
        <f t="shared" si="10"/>
        <v>0.26536454900777418</v>
      </c>
      <c r="E147" s="32">
        <f t="shared" si="15"/>
        <v>52850.459042068731</v>
      </c>
      <c r="F147" s="47">
        <v>0</v>
      </c>
      <c r="G147" s="15">
        <v>-2.8500000000000001E-2</v>
      </c>
      <c r="H147" s="38">
        <f t="shared" si="11"/>
        <v>0.38426385236764543</v>
      </c>
      <c r="I147" s="32">
        <f t="shared" si="19"/>
        <v>76530.648373490258</v>
      </c>
      <c r="J147" s="47">
        <v>0</v>
      </c>
      <c r="K147" s="15">
        <v>-3.49E-2</v>
      </c>
      <c r="L147" s="38">
        <f t="shared" si="12"/>
        <v>0.22332279712087003</v>
      </c>
      <c r="M147" s="32">
        <f t="shared" si="16"/>
        <v>44477.351577399248</v>
      </c>
      <c r="N147" s="47">
        <v>0</v>
      </c>
      <c r="O147" s="17">
        <v>-6.9599999999999995E-2</v>
      </c>
      <c r="P147" s="38">
        <f t="shared" si="14"/>
        <v>0.12704880150371031</v>
      </c>
      <c r="Q147" s="31">
        <f t="shared" si="17"/>
        <v>25303.257369239062</v>
      </c>
      <c r="R147" s="47">
        <v>0</v>
      </c>
      <c r="S147" s="37">
        <f t="shared" si="13"/>
        <v>199161.7163621973</v>
      </c>
      <c r="T147" s="40">
        <f t="shared" si="18"/>
        <v>-2.7768020809622818E-2</v>
      </c>
    </row>
    <row r="148" spans="2:20" x14ac:dyDescent="0.35">
      <c r="B148" s="11" t="s">
        <v>139</v>
      </c>
      <c r="C148" s="17">
        <v>-5.3400000000000003E-2</v>
      </c>
      <c r="D148" s="38">
        <f t="shared" si="10"/>
        <v>0.24373526400214227</v>
      </c>
      <c r="E148" s="32">
        <f t="shared" si="15"/>
        <v>50028.244529222262</v>
      </c>
      <c r="F148" s="47">
        <v>0</v>
      </c>
      <c r="G148" s="20">
        <v>9.4999999999999998E-3</v>
      </c>
      <c r="H148" s="38">
        <f t="shared" si="11"/>
        <v>0.37639584462196196</v>
      </c>
      <c r="I148" s="32">
        <f t="shared" si="19"/>
        <v>77257.689533038414</v>
      </c>
      <c r="J148" s="47">
        <v>0</v>
      </c>
      <c r="K148" s="20">
        <v>0.10249999999999999</v>
      </c>
      <c r="L148" s="38">
        <f t="shared" si="12"/>
        <v>0.23890245983561681</v>
      </c>
      <c r="M148" s="32">
        <f t="shared" si="16"/>
        <v>49036.28011408267</v>
      </c>
      <c r="N148" s="47">
        <v>0</v>
      </c>
      <c r="O148" s="19">
        <v>0.14349999999999999</v>
      </c>
      <c r="P148" s="38">
        <f t="shared" si="14"/>
        <v>0.14096643154027891</v>
      </c>
      <c r="Q148" s="31">
        <f t="shared" si="17"/>
        <v>28934.274801724867</v>
      </c>
      <c r="R148" s="47">
        <v>0</v>
      </c>
      <c r="S148" s="37">
        <f t="shared" si="13"/>
        <v>205256.48897806823</v>
      </c>
      <c r="T148" s="40">
        <f t="shared" si="18"/>
        <v>3.0602129401149147E-2</v>
      </c>
    </row>
    <row r="149" spans="2:20" x14ac:dyDescent="0.35">
      <c r="B149" s="10" t="s">
        <v>140</v>
      </c>
      <c r="C149" s="17">
        <v>-7.9200000000000007E-2</v>
      </c>
      <c r="D149" s="38">
        <f t="shared" si="10"/>
        <v>0.22078147873402443</v>
      </c>
      <c r="E149" s="32">
        <f t="shared" si="15"/>
        <v>46066.007562507861</v>
      </c>
      <c r="F149" s="47">
        <v>0</v>
      </c>
      <c r="G149" s="20">
        <v>0.1</v>
      </c>
      <c r="H149" s="38">
        <f t="shared" si="11"/>
        <v>0.40730192663400766</v>
      </c>
      <c r="I149" s="32">
        <f t="shared" si="19"/>
        <v>84983.45848634225</v>
      </c>
      <c r="J149" s="47">
        <v>0</v>
      </c>
      <c r="K149" s="15">
        <v>-4.5999999999999999E-3</v>
      </c>
      <c r="L149" s="38">
        <f t="shared" si="12"/>
        <v>0.23393608463633905</v>
      </c>
      <c r="M149" s="32">
        <f t="shared" si="16"/>
        <v>48810.713225557891</v>
      </c>
      <c r="N149" s="47">
        <v>0</v>
      </c>
      <c r="O149" s="17">
        <v>-5.0000000000000001E-3</v>
      </c>
      <c r="P149" s="38">
        <f t="shared" si="14"/>
        <v>0.13798050999562886</v>
      </c>
      <c r="Q149" s="31">
        <f t="shared" si="17"/>
        <v>28789.603427716243</v>
      </c>
      <c r="R149" s="47">
        <v>0</v>
      </c>
      <c r="S149" s="37">
        <f t="shared" si="13"/>
        <v>208649.78270212424</v>
      </c>
      <c r="T149" s="40">
        <f t="shared" si="18"/>
        <v>1.6531968080281123E-2</v>
      </c>
    </row>
    <row r="150" spans="2:20" x14ac:dyDescent="0.35">
      <c r="B150" s="11" t="s">
        <v>141</v>
      </c>
      <c r="C150" s="19">
        <v>6.9999999999999999E-4</v>
      </c>
      <c r="D150" s="38">
        <f t="shared" si="10"/>
        <v>0.20215167164378867</v>
      </c>
      <c r="E150" s="32">
        <f t="shared" si="15"/>
        <v>46098.253767801616</v>
      </c>
      <c r="F150" s="47">
        <v>0</v>
      </c>
      <c r="G150" s="20">
        <v>0.1145</v>
      </c>
      <c r="H150" s="38">
        <f t="shared" si="11"/>
        <v>0.41534342189758128</v>
      </c>
      <c r="I150" s="32">
        <f t="shared" si="19"/>
        <v>94714.064483028444</v>
      </c>
      <c r="J150" s="47">
        <v>0</v>
      </c>
      <c r="K150" s="20">
        <v>0.1043</v>
      </c>
      <c r="L150" s="38">
        <f t="shared" si="12"/>
        <v>0.23637148760768445</v>
      </c>
      <c r="M150" s="32">
        <f t="shared" si="16"/>
        <v>53901.670614983581</v>
      </c>
      <c r="N150" s="47">
        <v>0</v>
      </c>
      <c r="O150" s="19">
        <v>0.1575</v>
      </c>
      <c r="P150" s="38">
        <f t="shared" si="14"/>
        <v>0.14613341885094558</v>
      </c>
      <c r="Q150" s="31">
        <f t="shared" si="17"/>
        <v>33323.965967581549</v>
      </c>
      <c r="R150" s="47">
        <v>0</v>
      </c>
      <c r="S150" s="37">
        <f t="shared" si="13"/>
        <v>228037.9548333952</v>
      </c>
      <c r="T150" s="40">
        <f t="shared" si="18"/>
        <v>9.2922081586589433E-2</v>
      </c>
    </row>
    <row r="151" spans="2:20" x14ac:dyDescent="0.35">
      <c r="B151" s="10" t="s">
        <v>142</v>
      </c>
      <c r="C151" s="17">
        <v>-1.34E-2</v>
      </c>
      <c r="D151" s="38">
        <f t="shared" si="10"/>
        <v>0.20124681495583305</v>
      </c>
      <c r="E151" s="32">
        <f t="shared" si="15"/>
        <v>45480.537167313072</v>
      </c>
      <c r="F151" s="47">
        <v>0</v>
      </c>
      <c r="G151" s="15">
        <v>-3.0099999999999998E-2</v>
      </c>
      <c r="H151" s="38">
        <f t="shared" si="11"/>
        <v>0.40648531779819919</v>
      </c>
      <c r="I151" s="32">
        <f t="shared" si="19"/>
        <v>91863.171142089283</v>
      </c>
      <c r="J151" s="47">
        <v>0</v>
      </c>
      <c r="K151" s="20">
        <v>2.5499999999999998E-2</v>
      </c>
      <c r="L151" s="38">
        <f t="shared" si="12"/>
        <v>0.24459147765137737</v>
      </c>
      <c r="M151" s="32">
        <f t="shared" si="16"/>
        <v>55276.163215665663</v>
      </c>
      <c r="N151" s="47">
        <v>0</v>
      </c>
      <c r="O151" s="19">
        <v>1.5E-3</v>
      </c>
      <c r="P151" s="38">
        <f t="shared" si="14"/>
        <v>0.14767638959459031</v>
      </c>
      <c r="Q151" s="31">
        <f t="shared" si="17"/>
        <v>33373.951916532918</v>
      </c>
      <c r="R151" s="47">
        <v>0</v>
      </c>
      <c r="S151" s="37">
        <f t="shared" si="13"/>
        <v>225993.82344160095</v>
      </c>
      <c r="T151" s="40">
        <f t="shared" si="18"/>
        <v>-8.9639963368716158E-3</v>
      </c>
    </row>
    <row r="152" spans="2:20" x14ac:dyDescent="0.35">
      <c r="B152" s="11" t="s">
        <v>143</v>
      </c>
      <c r="C152" s="17">
        <v>-1.5699999999999999E-2</v>
      </c>
      <c r="D152" s="38">
        <f t="shared" si="10"/>
        <v>0.20456573122871949</v>
      </c>
      <c r="E152" s="32">
        <f t="shared" si="15"/>
        <v>44766.492733786254</v>
      </c>
      <c r="F152" s="47">
        <v>0</v>
      </c>
      <c r="G152" s="15">
        <v>-6.7799999999999999E-2</v>
      </c>
      <c r="H152" s="38">
        <f t="shared" si="11"/>
        <v>0.39131846741532311</v>
      </c>
      <c r="I152" s="32">
        <f t="shared" si="19"/>
        <v>85634.848138655623</v>
      </c>
      <c r="J152" s="47">
        <v>0</v>
      </c>
      <c r="K152" s="20">
        <v>1E-4</v>
      </c>
      <c r="L152" s="38">
        <f t="shared" si="12"/>
        <v>0.25261616039155355</v>
      </c>
      <c r="M152" s="32">
        <f t="shared" si="16"/>
        <v>55281.690831987231</v>
      </c>
      <c r="N152" s="47">
        <v>0</v>
      </c>
      <c r="O152" s="17">
        <v>-6.6E-3</v>
      </c>
      <c r="P152" s="38">
        <f t="shared" si="14"/>
        <v>0.15149964096440394</v>
      </c>
      <c r="Q152" s="31">
        <f t="shared" si="17"/>
        <v>33153.683833883799</v>
      </c>
      <c r="R152" s="47">
        <v>0</v>
      </c>
      <c r="S152" s="37">
        <f t="shared" si="13"/>
        <v>218836.71553831288</v>
      </c>
      <c r="T152" s="40">
        <f t="shared" si="18"/>
        <v>-3.1669484565083894E-2</v>
      </c>
    </row>
    <row r="153" spans="2:20" x14ac:dyDescent="0.35">
      <c r="B153" s="10" t="s">
        <v>144</v>
      </c>
      <c r="C153" s="17">
        <v>-5.4300000000000001E-2</v>
      </c>
      <c r="D153" s="38">
        <f t="shared" si="10"/>
        <v>0.19202178470911174</v>
      </c>
      <c r="E153" s="32">
        <f t="shared" si="15"/>
        <v>42335.672178341658</v>
      </c>
      <c r="F153" s="47">
        <v>0</v>
      </c>
      <c r="G153" s="20">
        <v>2.6599999999999999E-2</v>
      </c>
      <c r="H153" s="38">
        <f t="shared" si="11"/>
        <v>0.39874553594623546</v>
      </c>
      <c r="I153" s="32">
        <f t="shared" si="19"/>
        <v>87912.735099143858</v>
      </c>
      <c r="J153" s="47">
        <v>0</v>
      </c>
      <c r="K153" s="20">
        <v>1.18E-2</v>
      </c>
      <c r="L153" s="38">
        <f t="shared" si="12"/>
        <v>0.2536997475671765</v>
      </c>
      <c r="M153" s="32">
        <f t="shared" si="16"/>
        <v>55934.014783804683</v>
      </c>
      <c r="N153" s="47">
        <v>0</v>
      </c>
      <c r="O153" s="19">
        <v>3.4299999999999997E-2</v>
      </c>
      <c r="P153" s="38">
        <f t="shared" si="14"/>
        <v>0.15553293177747615</v>
      </c>
      <c r="Q153" s="31">
        <f t="shared" si="17"/>
        <v>34290.855189386013</v>
      </c>
      <c r="R153" s="47">
        <v>0</v>
      </c>
      <c r="S153" s="37">
        <f t="shared" si="13"/>
        <v>220473.27725067624</v>
      </c>
      <c r="T153" s="40">
        <f t="shared" si="18"/>
        <v>7.4784604052278159E-3</v>
      </c>
    </row>
    <row r="154" spans="2:20" x14ac:dyDescent="0.35">
      <c r="B154" s="9" t="s">
        <v>145</v>
      </c>
      <c r="C154" s="17">
        <v>-1.3899999999999999E-2</v>
      </c>
      <c r="D154" s="38">
        <f t="shared" si="10"/>
        <v>0.18500517771664235</v>
      </c>
      <c r="E154" s="32">
        <f t="shared" si="15"/>
        <v>41747.206335062707</v>
      </c>
      <c r="F154" s="47">
        <v>0</v>
      </c>
      <c r="G154" s="20">
        <v>8.3500000000000005E-2</v>
      </c>
      <c r="H154" s="38">
        <f t="shared" si="11"/>
        <v>0.42212120788907403</v>
      </c>
      <c r="I154" s="32">
        <f t="shared" si="19"/>
        <v>95253.448479922372</v>
      </c>
      <c r="J154" s="47">
        <v>0</v>
      </c>
      <c r="K154" s="15">
        <v>-2.3800000000000002E-2</v>
      </c>
      <c r="L154" s="38">
        <f t="shared" si="12"/>
        <v>0.24197542476456144</v>
      </c>
      <c r="M154" s="32">
        <f t="shared" si="16"/>
        <v>54602.785231950133</v>
      </c>
      <c r="N154" s="47">
        <v>0</v>
      </c>
      <c r="O154" s="17">
        <v>-7.0000000000000001E-3</v>
      </c>
      <c r="P154" s="38">
        <f t="shared" si="14"/>
        <v>0.15089818962972215</v>
      </c>
      <c r="Q154" s="31">
        <f t="shared" si="17"/>
        <v>34050.81920306031</v>
      </c>
      <c r="R154" s="47">
        <v>0</v>
      </c>
      <c r="S154" s="37">
        <f t="shared" si="13"/>
        <v>225654.25924999552</v>
      </c>
      <c r="T154" s="40">
        <f t="shared" si="18"/>
        <v>2.3499364929512767E-2</v>
      </c>
    </row>
    <row r="155" spans="2:20" x14ac:dyDescent="0.35">
      <c r="B155" s="10" t="s">
        <v>146</v>
      </c>
      <c r="C155" s="19">
        <v>1.5299999999999999E-2</v>
      </c>
      <c r="D155" s="38">
        <f t="shared" si="10"/>
        <v>0.18206602345277556</v>
      </c>
      <c r="E155" s="32">
        <f t="shared" si="15"/>
        <v>42385.938591989165</v>
      </c>
      <c r="F155" s="47">
        <v>0</v>
      </c>
      <c r="G155" s="20">
        <v>8.8200000000000001E-2</v>
      </c>
      <c r="H155" s="38">
        <f t="shared" si="11"/>
        <v>0.44524241657959956</v>
      </c>
      <c r="I155" s="32">
        <f t="shared" si="19"/>
        <v>103654.80263585152</v>
      </c>
      <c r="J155" s="47">
        <v>0</v>
      </c>
      <c r="K155" s="15">
        <v>-2.1499999999999998E-2</v>
      </c>
      <c r="L155" s="38">
        <f t="shared" si="12"/>
        <v>0.22950002034325848</v>
      </c>
      <c r="M155" s="32">
        <f t="shared" si="16"/>
        <v>53428.825349463208</v>
      </c>
      <c r="N155" s="47">
        <v>0</v>
      </c>
      <c r="O155" s="17">
        <v>-2.1000000000000001E-2</v>
      </c>
      <c r="P155" s="38">
        <f t="shared" si="14"/>
        <v>0.14319153962436637</v>
      </c>
      <c r="Q155" s="31">
        <f t="shared" si="17"/>
        <v>33335.751999796041</v>
      </c>
      <c r="R155" s="47">
        <v>0</v>
      </c>
      <c r="S155" s="37">
        <f t="shared" si="13"/>
        <v>232805.31857709994</v>
      </c>
      <c r="T155" s="40">
        <f t="shared" si="18"/>
        <v>3.1690336140218767E-2</v>
      </c>
    </row>
    <row r="156" spans="2:20" x14ac:dyDescent="0.35">
      <c r="B156" s="11" t="s">
        <v>147</v>
      </c>
      <c r="C156" s="19">
        <v>0.15970000000000001</v>
      </c>
      <c r="D156" s="38">
        <f t="shared" si="10"/>
        <v>0.21682286320618652</v>
      </c>
      <c r="E156" s="32">
        <f t="shared" si="15"/>
        <v>49154.972985129833</v>
      </c>
      <c r="F156" s="47">
        <v>0</v>
      </c>
      <c r="G156" s="15">
        <v>-0.10100000000000001</v>
      </c>
      <c r="H156" s="38">
        <f t="shared" si="11"/>
        <v>0.41104250547222232</v>
      </c>
      <c r="I156" s="32">
        <f t="shared" si="19"/>
        <v>93185.667569630517</v>
      </c>
      <c r="J156" s="47">
        <v>0</v>
      </c>
      <c r="K156" s="15">
        <v>-3.6799999999999999E-2</v>
      </c>
      <c r="L156" s="38">
        <f t="shared" si="12"/>
        <v>0.22700201561776748</v>
      </c>
      <c r="M156" s="32">
        <f t="shared" si="16"/>
        <v>51462.644576602965</v>
      </c>
      <c r="N156" s="47">
        <v>0</v>
      </c>
      <c r="O156" s="17">
        <v>-1.2999999999999999E-2</v>
      </c>
      <c r="P156" s="38">
        <f t="shared" si="14"/>
        <v>0.14513261570382369</v>
      </c>
      <c r="Q156" s="31">
        <f t="shared" si="17"/>
        <v>32902.387223798694</v>
      </c>
      <c r="R156" s="47">
        <v>0</v>
      </c>
      <c r="S156" s="37">
        <f t="shared" si="13"/>
        <v>226705.67235516201</v>
      </c>
      <c r="T156" s="40">
        <f t="shared" si="18"/>
        <v>-2.6200630892879939E-2</v>
      </c>
    </row>
    <row r="157" spans="2:20" x14ac:dyDescent="0.35">
      <c r="B157" s="10" t="s">
        <v>148</v>
      </c>
      <c r="C157" s="19">
        <v>8.2199999999999995E-2</v>
      </c>
      <c r="D157" s="38">
        <f t="shared" si="10"/>
        <v>0.23306108282466761</v>
      </c>
      <c r="E157" s="32">
        <f t="shared" si="15"/>
        <v>53195.511764507508</v>
      </c>
      <c r="F157" s="47">
        <v>0</v>
      </c>
      <c r="G157" s="20">
        <v>1.1900000000000001E-2</v>
      </c>
      <c r="H157" s="38">
        <f t="shared" si="11"/>
        <v>0.41312500800061658</v>
      </c>
      <c r="I157" s="32">
        <f t="shared" si="19"/>
        <v>94294.577013709117</v>
      </c>
      <c r="J157" s="47">
        <v>0</v>
      </c>
      <c r="K157" s="15">
        <v>-3.2899999999999999E-2</v>
      </c>
      <c r="L157" s="38">
        <f t="shared" si="12"/>
        <v>0.21805108495335165</v>
      </c>
      <c r="M157" s="32">
        <f t="shared" si="16"/>
        <v>49769.523570032725</v>
      </c>
      <c r="N157" s="47">
        <v>0</v>
      </c>
      <c r="O157" s="17">
        <v>-5.8200000000000002E-2</v>
      </c>
      <c r="P157" s="38">
        <f t="shared" si="14"/>
        <v>0.13576282422136415</v>
      </c>
      <c r="Q157" s="31">
        <f t="shared" si="17"/>
        <v>30987.468287373609</v>
      </c>
      <c r="R157" s="47">
        <v>0</v>
      </c>
      <c r="S157" s="37">
        <f t="shared" si="13"/>
        <v>228247.08063562296</v>
      </c>
      <c r="T157" s="40">
        <f t="shared" si="18"/>
        <v>6.7991606228807733E-3</v>
      </c>
    </row>
    <row r="158" spans="2:20" x14ac:dyDescent="0.35">
      <c r="B158" s="11" t="s">
        <v>149</v>
      </c>
      <c r="C158" s="17">
        <v>-0.11700000000000001</v>
      </c>
      <c r="D158" s="38">
        <f t="shared" si="10"/>
        <v>0.21163342658172024</v>
      </c>
      <c r="E158" s="32">
        <f t="shared" si="15"/>
        <v>46971.636888060129</v>
      </c>
      <c r="F158" s="47">
        <v>0</v>
      </c>
      <c r="G158" s="15">
        <v>-3.7400000000000003E-2</v>
      </c>
      <c r="H158" s="38">
        <f t="shared" si="11"/>
        <v>0.40896029255170713</v>
      </c>
      <c r="I158" s="32">
        <f t="shared" si="19"/>
        <v>90767.959833396395</v>
      </c>
      <c r="J158" s="47">
        <v>0</v>
      </c>
      <c r="K158" s="20">
        <v>3.9899999999999998E-2</v>
      </c>
      <c r="L158" s="38">
        <f t="shared" si="12"/>
        <v>0.2331866215687986</v>
      </c>
      <c r="M158" s="32">
        <f t="shared" si="16"/>
        <v>51755.327560477032</v>
      </c>
      <c r="N158" s="47">
        <v>0</v>
      </c>
      <c r="O158" s="19">
        <v>4.7300000000000002E-2</v>
      </c>
      <c r="P158" s="38">
        <f t="shared" si="14"/>
        <v>0.14621965929777403</v>
      </c>
      <c r="Q158" s="31">
        <f t="shared" si="17"/>
        <v>32453.17553736638</v>
      </c>
      <c r="R158" s="47">
        <v>0</v>
      </c>
      <c r="S158" s="37">
        <f t="shared" si="13"/>
        <v>221948.09981929994</v>
      </c>
      <c r="T158" s="40">
        <f t="shared" si="18"/>
        <v>-2.7597202114399866E-2</v>
      </c>
    </row>
    <row r="159" spans="2:20" x14ac:dyDescent="0.35">
      <c r="B159" s="10" t="s">
        <v>150</v>
      </c>
      <c r="C159" s="19">
        <v>7.46E-2</v>
      </c>
      <c r="D159" s="38">
        <f t="shared" si="10"/>
        <v>0.23152134451757619</v>
      </c>
      <c r="E159" s="32">
        <f t="shared" si="15"/>
        <v>50475.720999909412</v>
      </c>
      <c r="F159" s="47">
        <v>0</v>
      </c>
      <c r="G159" s="15">
        <v>-1.4500000000000001E-2</v>
      </c>
      <c r="H159" s="38">
        <f t="shared" si="11"/>
        <v>0.41029640088422209</v>
      </c>
      <c r="I159" s="32">
        <f t="shared" si="19"/>
        <v>89451.824415812152</v>
      </c>
      <c r="J159" s="47">
        <v>0</v>
      </c>
      <c r="K159" s="15">
        <v>-9.3200000000000005E-2</v>
      </c>
      <c r="L159" s="38">
        <f t="shared" si="12"/>
        <v>0.21526581995824257</v>
      </c>
      <c r="M159" s="32">
        <f t="shared" si="16"/>
        <v>46931.731031840573</v>
      </c>
      <c r="N159" s="47">
        <v>0</v>
      </c>
      <c r="O159" s="17">
        <v>-3.9899999999999998E-2</v>
      </c>
      <c r="P159" s="38">
        <f t="shared" si="14"/>
        <v>0.14291643463995915</v>
      </c>
      <c r="Q159" s="31">
        <f t="shared" si="17"/>
        <v>31158.293833425461</v>
      </c>
      <c r="R159" s="47">
        <v>0</v>
      </c>
      <c r="S159" s="37">
        <f t="shared" si="13"/>
        <v>218017.57028098759</v>
      </c>
      <c r="T159" s="40">
        <f t="shared" si="18"/>
        <v>-1.770922815519671E-2</v>
      </c>
    </row>
    <row r="160" spans="2:20" x14ac:dyDescent="0.35">
      <c r="B160" s="11" t="s">
        <v>151</v>
      </c>
      <c r="C160" s="19">
        <v>0.1166</v>
      </c>
      <c r="D160" s="38">
        <f t="shared" si="10"/>
        <v>0.24375921079297191</v>
      </c>
      <c r="E160" s="32">
        <f t="shared" si="15"/>
        <v>56361.19006849885</v>
      </c>
      <c r="F160" s="47">
        <v>0</v>
      </c>
      <c r="G160" s="20">
        <v>3.5900000000000001E-2</v>
      </c>
      <c r="H160" s="38">
        <f t="shared" si="11"/>
        <v>0.40076327426683001</v>
      </c>
      <c r="I160" s="32">
        <f t="shared" si="19"/>
        <v>92663.144912339805</v>
      </c>
      <c r="J160" s="47">
        <v>0</v>
      </c>
      <c r="K160" s="20">
        <v>4.9700000000000001E-2</v>
      </c>
      <c r="L160" s="38">
        <f t="shared" si="12"/>
        <v>0.21306526310450496</v>
      </c>
      <c r="M160" s="32">
        <f t="shared" si="16"/>
        <v>49264.238064123048</v>
      </c>
      <c r="N160" s="47">
        <v>0</v>
      </c>
      <c r="O160" s="19">
        <v>5.6800000000000003E-2</v>
      </c>
      <c r="P160" s="38">
        <f t="shared" si="14"/>
        <v>0.14241225183569306</v>
      </c>
      <c r="Q160" s="31">
        <f t="shared" si="17"/>
        <v>32928.084923164031</v>
      </c>
      <c r="R160" s="47">
        <v>0</v>
      </c>
      <c r="S160" s="37">
        <f t="shared" si="13"/>
        <v>231216.65796812574</v>
      </c>
      <c r="T160" s="40">
        <f t="shared" si="18"/>
        <v>6.0541394301967255E-2</v>
      </c>
    </row>
    <row r="161" spans="2:20" x14ac:dyDescent="0.35">
      <c r="B161" s="10" t="s">
        <v>152</v>
      </c>
      <c r="C161" s="17">
        <v>-4.3E-3</v>
      </c>
      <c r="D161" s="38">
        <f t="shared" ref="D161:D224" si="20">E161/S161</f>
        <v>0.2498093476624825</v>
      </c>
      <c r="E161" s="32">
        <f t="shared" si="15"/>
        <v>56118.836951204306</v>
      </c>
      <c r="F161" s="47">
        <v>0</v>
      </c>
      <c r="G161" s="15">
        <v>-4.3200000000000002E-2</v>
      </c>
      <c r="H161" s="38">
        <f t="shared" ref="H161:H224" si="21">I161/S161</f>
        <v>0.39466464758601644</v>
      </c>
      <c r="I161" s="32">
        <f t="shared" si="19"/>
        <v>88660.09705212673</v>
      </c>
      <c r="J161" s="47">
        <v>0</v>
      </c>
      <c r="K161" s="15">
        <v>-1.3899999999999999E-2</v>
      </c>
      <c r="L161" s="38">
        <f t="shared" ref="L161:L224" si="22">M161/S161</f>
        <v>0.21624832515190512</v>
      </c>
      <c r="M161" s="32">
        <f t="shared" si="16"/>
        <v>48579.465155031736</v>
      </c>
      <c r="N161" s="47">
        <v>0</v>
      </c>
      <c r="O161" s="17">
        <v>-4.9799999999999997E-2</v>
      </c>
      <c r="P161" s="38">
        <f t="shared" si="14"/>
        <v>0.13927767959959589</v>
      </c>
      <c r="Q161" s="31">
        <f t="shared" si="17"/>
        <v>31288.266293990462</v>
      </c>
      <c r="R161" s="47">
        <v>0</v>
      </c>
      <c r="S161" s="37">
        <f t="shared" ref="S161:S224" si="23">Q161+E161+M161+I161</f>
        <v>224646.66545235325</v>
      </c>
      <c r="T161" s="40">
        <f t="shared" si="18"/>
        <v>-2.841487535330689E-2</v>
      </c>
    </row>
    <row r="162" spans="2:20" x14ac:dyDescent="0.35">
      <c r="B162" s="11" t="s">
        <v>153</v>
      </c>
      <c r="C162" s="19">
        <v>1.26E-2</v>
      </c>
      <c r="D162" s="38">
        <f t="shared" si="20"/>
        <v>0.25139921906388069</v>
      </c>
      <c r="E162" s="32">
        <f t="shared" si="15"/>
        <v>56825.934296789477</v>
      </c>
      <c r="F162" s="47">
        <v>0</v>
      </c>
      <c r="G162" s="20">
        <v>1.1599999999999999E-2</v>
      </c>
      <c r="H162" s="38">
        <f t="shared" si="21"/>
        <v>0.3967841929626556</v>
      </c>
      <c r="I162" s="32">
        <f t="shared" si="19"/>
        <v>89688.554177931393</v>
      </c>
      <c r="J162" s="47">
        <v>0</v>
      </c>
      <c r="K162" s="20">
        <v>5.1000000000000004E-3</v>
      </c>
      <c r="L162" s="38">
        <f t="shared" si="22"/>
        <v>0.21601272792768364</v>
      </c>
      <c r="M162" s="32">
        <f t="shared" si="16"/>
        <v>48827.220427322398</v>
      </c>
      <c r="N162" s="47">
        <v>0</v>
      </c>
      <c r="O162" s="17">
        <v>-1.89E-2</v>
      </c>
      <c r="P162" s="38">
        <f t="shared" ref="P162:P225" si="24">Q162/S162</f>
        <v>0.13580386004578007</v>
      </c>
      <c r="Q162" s="31">
        <f t="shared" si="17"/>
        <v>30696.918061034041</v>
      </c>
      <c r="R162" s="47">
        <v>0</v>
      </c>
      <c r="S162" s="37">
        <f t="shared" si="23"/>
        <v>226038.62696307732</v>
      </c>
      <c r="T162" s="40">
        <f t="shared" si="18"/>
        <v>6.196226006387251E-3</v>
      </c>
    </row>
    <row r="163" spans="2:20" x14ac:dyDescent="0.35">
      <c r="B163" s="10" t="s">
        <v>154</v>
      </c>
      <c r="C163" s="19">
        <v>9.9699999999999997E-2</v>
      </c>
      <c r="D163" s="38">
        <f t="shared" si="20"/>
        <v>0.27965254152991109</v>
      </c>
      <c r="E163" s="32">
        <f t="shared" ref="E163:E226" si="25">((E162+F163)*C163)+E162+F163</f>
        <v>62491.479946179388</v>
      </c>
      <c r="F163" s="47">
        <v>0</v>
      </c>
      <c r="G163" s="15">
        <v>-4.6600000000000003E-2</v>
      </c>
      <c r="H163" s="38">
        <f t="shared" si="21"/>
        <v>0.382657413229951</v>
      </c>
      <c r="I163" s="32">
        <f t="shared" si="19"/>
        <v>85509.067553239787</v>
      </c>
      <c r="J163" s="47">
        <v>0</v>
      </c>
      <c r="K163" s="15">
        <v>-3.6700000000000003E-2</v>
      </c>
      <c r="L163" s="38">
        <f t="shared" si="22"/>
        <v>0.21048517996194352</v>
      </c>
      <c r="M163" s="32">
        <f t="shared" ref="M163:M226" si="26">((M162+N163)*K163)+M162+N163</f>
        <v>47035.261437639667</v>
      </c>
      <c r="N163" s="47">
        <v>0</v>
      </c>
      <c r="O163" s="17">
        <v>-7.3999999999999996E-2</v>
      </c>
      <c r="P163" s="38">
        <f t="shared" si="24"/>
        <v>0.12720486527819436</v>
      </c>
      <c r="Q163" s="31">
        <f t="shared" ref="Q163:Q226" si="27">((Q162+R163)*O163)+Q162+R163</f>
        <v>28425.34612451752</v>
      </c>
      <c r="R163" s="47">
        <v>0</v>
      </c>
      <c r="S163" s="37">
        <f t="shared" si="23"/>
        <v>223461.15506157637</v>
      </c>
      <c r="T163" s="40">
        <f t="shared" ref="T163:T226" si="28">S163/S162-1</f>
        <v>-1.1402794009724548E-2</v>
      </c>
    </row>
    <row r="164" spans="2:20" x14ac:dyDescent="0.35">
      <c r="B164" s="11" t="s">
        <v>155</v>
      </c>
      <c r="C164" s="17">
        <v>-5.8400000000000001E-2</v>
      </c>
      <c r="D164" s="38">
        <f t="shared" si="20"/>
        <v>0.26322700322173403</v>
      </c>
      <c r="E164" s="32">
        <f t="shared" si="25"/>
        <v>58841.977517322513</v>
      </c>
      <c r="F164" s="47">
        <v>0</v>
      </c>
      <c r="G164" s="15">
        <v>-2.4799999999999999E-2</v>
      </c>
      <c r="H164" s="38">
        <f t="shared" si="21"/>
        <v>0.37303453751149324</v>
      </c>
      <c r="I164" s="32">
        <f t="shared" ref="I164:I227" si="29">((I163+J164)*G164)+I163+J164</f>
        <v>83388.442677919447</v>
      </c>
      <c r="J164" s="47">
        <v>0</v>
      </c>
      <c r="K164" s="20">
        <v>9.7900000000000001E-2</v>
      </c>
      <c r="L164" s="38">
        <f t="shared" si="22"/>
        <v>0.23100933350613048</v>
      </c>
      <c r="M164" s="32">
        <f t="shared" si="26"/>
        <v>51640.01353238459</v>
      </c>
      <c r="N164" s="47">
        <v>0</v>
      </c>
      <c r="O164" s="19">
        <v>4.3799999999999999E-2</v>
      </c>
      <c r="P164" s="38">
        <f t="shared" si="24"/>
        <v>0.13272912576064219</v>
      </c>
      <c r="Q164" s="31">
        <f t="shared" si="27"/>
        <v>29670.376284771388</v>
      </c>
      <c r="R164" s="47">
        <v>0</v>
      </c>
      <c r="S164" s="37">
        <f t="shared" si="23"/>
        <v>223540.81001239794</v>
      </c>
      <c r="T164" s="40">
        <f t="shared" si="28"/>
        <v>3.5645994400956837E-4</v>
      </c>
    </row>
    <row r="165" spans="2:20" x14ac:dyDescent="0.35">
      <c r="B165" s="10" t="s">
        <v>156</v>
      </c>
      <c r="C165" s="17">
        <v>-4.6699999999999998E-2</v>
      </c>
      <c r="D165" s="38">
        <f t="shared" si="20"/>
        <v>0.26219018515719317</v>
      </c>
      <c r="E165" s="32">
        <f t="shared" si="25"/>
        <v>56094.057167263549</v>
      </c>
      <c r="F165" s="47">
        <v>0</v>
      </c>
      <c r="G165" s="15">
        <v>-6.0600000000000001E-2</v>
      </c>
      <c r="H165" s="38">
        <f t="shared" si="21"/>
        <v>0.36614743540788164</v>
      </c>
      <c r="I165" s="32">
        <f t="shared" si="29"/>
        <v>78335.103051637532</v>
      </c>
      <c r="J165" s="47">
        <v>0</v>
      </c>
      <c r="K165" s="15">
        <v>-2.5000000000000001E-2</v>
      </c>
      <c r="L165" s="38">
        <f t="shared" si="22"/>
        <v>0.23533717756362582</v>
      </c>
      <c r="M165" s="32">
        <f t="shared" si="26"/>
        <v>50349.013194074978</v>
      </c>
      <c r="N165" s="47">
        <v>0</v>
      </c>
      <c r="O165" s="17">
        <v>-1.7000000000000001E-2</v>
      </c>
      <c r="P165" s="38">
        <f t="shared" si="24"/>
        <v>0.13632520187129937</v>
      </c>
      <c r="Q165" s="31">
        <f t="shared" si="27"/>
        <v>29165.979887930273</v>
      </c>
      <c r="R165" s="47">
        <v>0</v>
      </c>
      <c r="S165" s="37">
        <f t="shared" si="23"/>
        <v>213944.15330090633</v>
      </c>
      <c r="T165" s="40">
        <f t="shared" si="28"/>
        <v>-4.2930222499235615E-2</v>
      </c>
    </row>
    <row r="166" spans="2:20" x14ac:dyDescent="0.35">
      <c r="B166" s="9" t="s">
        <v>157</v>
      </c>
      <c r="C166" s="19">
        <v>6.2100000000000002E-2</v>
      </c>
      <c r="D166" s="38">
        <f t="shared" si="20"/>
        <v>0.27594057124334503</v>
      </c>
      <c r="E166" s="32">
        <f t="shared" si="25"/>
        <v>59577.498117350617</v>
      </c>
      <c r="F166" s="47">
        <v>0</v>
      </c>
      <c r="G166" s="20">
        <v>1.04E-2</v>
      </c>
      <c r="H166" s="38">
        <f t="shared" si="21"/>
        <v>0.36659205973258385</v>
      </c>
      <c r="I166" s="32">
        <f t="shared" si="29"/>
        <v>79149.788123374557</v>
      </c>
      <c r="J166" s="47">
        <v>0</v>
      </c>
      <c r="K166" s="15">
        <v>-2.24E-2</v>
      </c>
      <c r="L166" s="38">
        <f t="shared" si="22"/>
        <v>0.22797407036467165</v>
      </c>
      <c r="M166" s="32">
        <f t="shared" si="26"/>
        <v>49221.195298527702</v>
      </c>
      <c r="N166" s="47">
        <v>0</v>
      </c>
      <c r="O166" s="17">
        <v>-4.1399999999999999E-2</v>
      </c>
      <c r="P166" s="38">
        <f t="shared" si="24"/>
        <v>0.1294932986593994</v>
      </c>
      <c r="Q166" s="31">
        <f t="shared" si="27"/>
        <v>27958.508320569959</v>
      </c>
      <c r="R166" s="47">
        <v>0</v>
      </c>
      <c r="S166" s="37">
        <f t="shared" si="23"/>
        <v>215906.98985982285</v>
      </c>
      <c r="T166" s="40">
        <f t="shared" si="28"/>
        <v>9.1745276916066487E-3</v>
      </c>
    </row>
    <row r="167" spans="2:20" x14ac:dyDescent="0.35">
      <c r="B167" s="10" t="s">
        <v>158</v>
      </c>
      <c r="C167" s="19">
        <v>1.78E-2</v>
      </c>
      <c r="D167" s="38">
        <f t="shared" si="20"/>
        <v>0.27391659943633784</v>
      </c>
      <c r="E167" s="32">
        <f t="shared" si="25"/>
        <v>60637.977583839456</v>
      </c>
      <c r="F167" s="47">
        <v>0</v>
      </c>
      <c r="G167" s="20">
        <v>2.5600000000000001E-2</v>
      </c>
      <c r="H167" s="38">
        <f t="shared" si="21"/>
        <v>0.36669198049728813</v>
      </c>
      <c r="I167" s="32">
        <f t="shared" si="29"/>
        <v>81176.022699332942</v>
      </c>
      <c r="J167" s="47">
        <v>0</v>
      </c>
      <c r="K167" s="20">
        <v>3.1600000000000003E-2</v>
      </c>
      <c r="L167" s="38">
        <f t="shared" si="22"/>
        <v>0.22937027367252494</v>
      </c>
      <c r="M167" s="32">
        <f t="shared" si="26"/>
        <v>50776.585069961176</v>
      </c>
      <c r="N167" s="47">
        <v>0</v>
      </c>
      <c r="O167" s="19">
        <v>2.9499999999999998E-2</v>
      </c>
      <c r="P167" s="38">
        <f t="shared" si="24"/>
        <v>0.13002114639384912</v>
      </c>
      <c r="Q167" s="31">
        <f t="shared" si="27"/>
        <v>28783.284316026773</v>
      </c>
      <c r="R167" s="47">
        <v>0</v>
      </c>
      <c r="S167" s="37">
        <f t="shared" si="23"/>
        <v>221373.86966916034</v>
      </c>
      <c r="T167" s="40">
        <f t="shared" si="28"/>
        <v>2.5320531831261484E-2</v>
      </c>
    </row>
    <row r="168" spans="2:20" x14ac:dyDescent="0.35">
      <c r="B168" s="11" t="s">
        <v>159</v>
      </c>
      <c r="C168" s="19">
        <v>6.6E-3</v>
      </c>
      <c r="D168" s="38">
        <f t="shared" si="20"/>
        <v>0.27359106031444602</v>
      </c>
      <c r="E168" s="32">
        <f t="shared" si="25"/>
        <v>61038.188235892798</v>
      </c>
      <c r="F168" s="47">
        <v>0</v>
      </c>
      <c r="G168" s="20">
        <v>1.43E-2</v>
      </c>
      <c r="H168" s="38">
        <f t="shared" si="21"/>
        <v>0.36905786297772392</v>
      </c>
      <c r="I168" s="32">
        <f t="shared" si="29"/>
        <v>82336.839823933406</v>
      </c>
      <c r="J168" s="47">
        <v>0</v>
      </c>
      <c r="K168" s="20">
        <v>1.34E-2</v>
      </c>
      <c r="L168" s="38">
        <f t="shared" si="22"/>
        <v>0.23064532581895839</v>
      </c>
      <c r="M168" s="32">
        <f t="shared" si="26"/>
        <v>51456.991309898658</v>
      </c>
      <c r="N168" s="47">
        <v>0</v>
      </c>
      <c r="O168" s="17">
        <v>-1.7899999999999999E-2</v>
      </c>
      <c r="P168" s="38">
        <f t="shared" si="24"/>
        <v>0.1267057508888717</v>
      </c>
      <c r="Q168" s="31">
        <f t="shared" si="27"/>
        <v>28268.063526769893</v>
      </c>
      <c r="R168" s="47">
        <v>0</v>
      </c>
      <c r="S168" s="37">
        <f t="shared" si="23"/>
        <v>223100.08289649474</v>
      </c>
      <c r="T168" s="40">
        <f t="shared" si="28"/>
        <v>7.7977280241530167E-3</v>
      </c>
    </row>
    <row r="169" spans="2:20" x14ac:dyDescent="0.35">
      <c r="B169" s="10" t="s">
        <v>160</v>
      </c>
      <c r="C169" s="19">
        <v>1.9E-3</v>
      </c>
      <c r="D169" s="38">
        <f t="shared" si="20"/>
        <v>0.26986719789904112</v>
      </c>
      <c r="E169" s="32">
        <f t="shared" si="25"/>
        <v>61154.160793540992</v>
      </c>
      <c r="F169" s="47">
        <v>0</v>
      </c>
      <c r="G169" s="20">
        <v>2.52E-2</v>
      </c>
      <c r="H169" s="38">
        <f t="shared" si="21"/>
        <v>0.3725005177109908</v>
      </c>
      <c r="I169" s="32">
        <f t="shared" si="29"/>
        <v>84411.728187496527</v>
      </c>
      <c r="J169" s="47">
        <v>0</v>
      </c>
      <c r="K169" s="20">
        <v>1.89E-2</v>
      </c>
      <c r="L169" s="38">
        <f t="shared" si="22"/>
        <v>0.23136626756378581</v>
      </c>
      <c r="M169" s="32">
        <f t="shared" si="26"/>
        <v>52429.528445655742</v>
      </c>
      <c r="N169" s="47">
        <v>0</v>
      </c>
      <c r="O169" s="19">
        <v>1.2200000000000001E-2</v>
      </c>
      <c r="P169" s="38">
        <f t="shared" si="24"/>
        <v>0.12626601682618213</v>
      </c>
      <c r="Q169" s="31">
        <f t="shared" si="27"/>
        <v>28612.933901796485</v>
      </c>
      <c r="R169" s="47">
        <v>0</v>
      </c>
      <c r="S169" s="37">
        <f t="shared" si="23"/>
        <v>226608.35132848978</v>
      </c>
      <c r="T169" s="40">
        <f t="shared" si="28"/>
        <v>1.5725087980458907E-2</v>
      </c>
    </row>
    <row r="170" spans="2:20" x14ac:dyDescent="0.35">
      <c r="B170" s="11" t="s">
        <v>161</v>
      </c>
      <c r="C170" s="17">
        <v>-3.1600000000000003E-2</v>
      </c>
      <c r="D170" s="38">
        <f t="shared" si="20"/>
        <v>0.25858918015457022</v>
      </c>
      <c r="E170" s="32">
        <f t="shared" si="25"/>
        <v>59221.689312465096</v>
      </c>
      <c r="F170" s="47">
        <v>0</v>
      </c>
      <c r="G170" s="20">
        <v>2.4E-2</v>
      </c>
      <c r="H170" s="38">
        <f t="shared" si="21"/>
        <v>0.37742642732801845</v>
      </c>
      <c r="I170" s="32">
        <f t="shared" si="29"/>
        <v>86437.609663996438</v>
      </c>
      <c r="J170" s="47">
        <v>0</v>
      </c>
      <c r="K170" s="20">
        <v>3.5400000000000001E-2</v>
      </c>
      <c r="L170" s="38">
        <f t="shared" si="22"/>
        <v>0.23703565079477859</v>
      </c>
      <c r="M170" s="32">
        <f t="shared" si="26"/>
        <v>54285.533752631956</v>
      </c>
      <c r="N170" s="47">
        <v>0</v>
      </c>
      <c r="O170" s="19">
        <v>1.61E-2</v>
      </c>
      <c r="P170" s="38">
        <f t="shared" si="24"/>
        <v>0.12694874172263271</v>
      </c>
      <c r="Q170" s="31">
        <f t="shared" si="27"/>
        <v>29073.602137615409</v>
      </c>
      <c r="R170" s="47">
        <v>0</v>
      </c>
      <c r="S170" s="37">
        <f t="shared" si="23"/>
        <v>229018.43486670891</v>
      </c>
      <c r="T170" s="40">
        <f t="shared" si="28"/>
        <v>1.063545771411345E-2</v>
      </c>
    </row>
    <row r="171" spans="2:20" x14ac:dyDescent="0.35">
      <c r="B171" s="10" t="s">
        <v>162</v>
      </c>
      <c r="C171" s="17">
        <v>-1.5299999999999999E-2</v>
      </c>
      <c r="D171" s="38">
        <f t="shared" si="20"/>
        <v>0.2542948431138809</v>
      </c>
      <c r="E171" s="32">
        <f t="shared" si="25"/>
        <v>58315.597465984378</v>
      </c>
      <c r="F171" s="47">
        <v>0</v>
      </c>
      <c r="G171" s="15">
        <v>-7.3000000000000001E-3</v>
      </c>
      <c r="H171" s="38">
        <f t="shared" si="21"/>
        <v>0.37417398906245458</v>
      </c>
      <c r="I171" s="32">
        <f t="shared" si="29"/>
        <v>85806.615113449268</v>
      </c>
      <c r="J171" s="47">
        <v>0</v>
      </c>
      <c r="K171" s="20">
        <v>1.9300000000000001E-2</v>
      </c>
      <c r="L171" s="38">
        <f t="shared" si="22"/>
        <v>0.24128979817215698</v>
      </c>
      <c r="M171" s="32">
        <f t="shared" si="26"/>
        <v>55333.244554057754</v>
      </c>
      <c r="N171" s="47">
        <v>0</v>
      </c>
      <c r="O171" s="19">
        <v>2.7300000000000001E-2</v>
      </c>
      <c r="P171" s="38">
        <f t="shared" si="24"/>
        <v>0.13024136965150762</v>
      </c>
      <c r="Q171" s="31">
        <f t="shared" si="27"/>
        <v>29867.31147597231</v>
      </c>
      <c r="R171" s="47">
        <v>0</v>
      </c>
      <c r="S171" s="37">
        <f t="shared" si="23"/>
        <v>229322.7686094637</v>
      </c>
      <c r="T171" s="40">
        <f t="shared" si="28"/>
        <v>1.3288613335076249E-3</v>
      </c>
    </row>
    <row r="172" spans="2:20" x14ac:dyDescent="0.35">
      <c r="B172" s="11" t="s">
        <v>163</v>
      </c>
      <c r="C172" s="19">
        <v>4.9399999999999999E-2</v>
      </c>
      <c r="D172" s="38">
        <f t="shared" si="20"/>
        <v>0.27024292122761101</v>
      </c>
      <c r="E172" s="32">
        <f t="shared" si="25"/>
        <v>61196.387980804007</v>
      </c>
      <c r="F172" s="47">
        <v>0</v>
      </c>
      <c r="G172" s="15">
        <v>-3.1099999999999999E-2</v>
      </c>
      <c r="H172" s="38">
        <f t="shared" si="21"/>
        <v>0.36713709202461769</v>
      </c>
      <c r="I172" s="32">
        <f t="shared" si="29"/>
        <v>83138.029383421002</v>
      </c>
      <c r="J172" s="47">
        <v>0</v>
      </c>
      <c r="K172" s="15">
        <v>-3.39E-2</v>
      </c>
      <c r="L172" s="38">
        <f t="shared" si="22"/>
        <v>0.2360678018367845</v>
      </c>
      <c r="M172" s="32">
        <f t="shared" si="26"/>
        <v>53457.447563675196</v>
      </c>
      <c r="N172" s="47">
        <v>0</v>
      </c>
      <c r="O172" s="17">
        <v>-4.0500000000000001E-2</v>
      </c>
      <c r="P172" s="38">
        <f t="shared" si="24"/>
        <v>0.12655218491098677</v>
      </c>
      <c r="Q172" s="31">
        <f t="shared" si="27"/>
        <v>28657.685361195432</v>
      </c>
      <c r="R172" s="47">
        <v>0</v>
      </c>
      <c r="S172" s="37">
        <f t="shared" si="23"/>
        <v>226449.55028909564</v>
      </c>
      <c r="T172" s="40">
        <f t="shared" si="28"/>
        <v>-1.2529145438938682E-2</v>
      </c>
    </row>
    <row r="173" spans="2:20" x14ac:dyDescent="0.35">
      <c r="B173" s="10" t="s">
        <v>164</v>
      </c>
      <c r="C173" s="19">
        <v>6.7900000000000002E-2</v>
      </c>
      <c r="D173" s="38">
        <f t="shared" si="20"/>
        <v>0.27751166961717627</v>
      </c>
      <c r="E173" s="32">
        <f t="shared" si="25"/>
        <v>65351.622724700603</v>
      </c>
      <c r="F173" s="47">
        <v>0</v>
      </c>
      <c r="G173" s="20">
        <v>5.0299999999999997E-2</v>
      </c>
      <c r="H173" s="38">
        <f t="shared" si="21"/>
        <v>0.37079849790574043</v>
      </c>
      <c r="I173" s="32">
        <f t="shared" si="29"/>
        <v>87319.872261407072</v>
      </c>
      <c r="J173" s="47">
        <v>0</v>
      </c>
      <c r="K173" s="20">
        <v>9.7000000000000003E-3</v>
      </c>
      <c r="L173" s="38">
        <f t="shared" si="22"/>
        <v>0.2292057188170977</v>
      </c>
      <c r="M173" s="32">
        <f t="shared" si="26"/>
        <v>53975.984805042848</v>
      </c>
      <c r="N173" s="47">
        <v>0</v>
      </c>
      <c r="O173" s="19">
        <v>6.4999999999999997E-3</v>
      </c>
      <c r="P173" s="38">
        <f t="shared" si="24"/>
        <v>0.12248411365998557</v>
      </c>
      <c r="Q173" s="31">
        <f t="shared" si="27"/>
        <v>28843.960316043202</v>
      </c>
      <c r="R173" s="47">
        <v>0</v>
      </c>
      <c r="S173" s="37">
        <f t="shared" si="23"/>
        <v>235491.44010719372</v>
      </c>
      <c r="T173" s="40">
        <f t="shared" si="28"/>
        <v>3.9928936959931161E-2</v>
      </c>
    </row>
    <row r="174" spans="2:20" x14ac:dyDescent="0.35">
      <c r="B174" s="11" t="s">
        <v>165</v>
      </c>
      <c r="C174" s="19">
        <v>4.9500000000000002E-2</v>
      </c>
      <c r="D174" s="38">
        <f t="shared" si="20"/>
        <v>0.28828618236280579</v>
      </c>
      <c r="E174" s="32">
        <f t="shared" si="25"/>
        <v>68586.528049573288</v>
      </c>
      <c r="F174" s="47">
        <v>0</v>
      </c>
      <c r="G174" s="15">
        <v>-2.4199999999999999E-2</v>
      </c>
      <c r="H174" s="38">
        <f t="shared" si="21"/>
        <v>0.35814501756851108</v>
      </c>
      <c r="I174" s="32">
        <f t="shared" si="29"/>
        <v>85206.731352681018</v>
      </c>
      <c r="J174" s="47">
        <v>0</v>
      </c>
      <c r="K174" s="20">
        <v>2.64E-2</v>
      </c>
      <c r="L174" s="38">
        <f t="shared" si="22"/>
        <v>0.23286393203897063</v>
      </c>
      <c r="M174" s="32">
        <f t="shared" si="26"/>
        <v>55400.950803895976</v>
      </c>
      <c r="N174" s="47">
        <v>0</v>
      </c>
      <c r="O174" s="17">
        <v>-4.4000000000000003E-3</v>
      </c>
      <c r="P174" s="38">
        <f t="shared" si="24"/>
        <v>0.12070486802971257</v>
      </c>
      <c r="Q174" s="31">
        <f t="shared" si="27"/>
        <v>28717.046890652611</v>
      </c>
      <c r="R174" s="47">
        <v>0</v>
      </c>
      <c r="S174" s="37">
        <f t="shared" si="23"/>
        <v>237911.25709680287</v>
      </c>
      <c r="T174" s="40">
        <f t="shared" si="28"/>
        <v>1.0275604873398736E-2</v>
      </c>
    </row>
    <row r="175" spans="2:20" x14ac:dyDescent="0.35">
      <c r="B175" s="10" t="s">
        <v>166</v>
      </c>
      <c r="C175" s="17">
        <v>-4.1999999999999997E-3</v>
      </c>
      <c r="D175" s="38">
        <f t="shared" si="20"/>
        <v>0.28035414275877302</v>
      </c>
      <c r="E175" s="32">
        <f t="shared" si="25"/>
        <v>68298.464631765077</v>
      </c>
      <c r="F175" s="47">
        <v>0</v>
      </c>
      <c r="G175" s="20">
        <v>2.6100000000000002E-2</v>
      </c>
      <c r="H175" s="38">
        <f t="shared" si="21"/>
        <v>0.35888857278260838</v>
      </c>
      <c r="I175" s="32">
        <f t="shared" si="29"/>
        <v>87430.627040985986</v>
      </c>
      <c r="J175" s="47">
        <v>0</v>
      </c>
      <c r="K175" s="20">
        <v>5.6399999999999999E-2</v>
      </c>
      <c r="L175" s="38">
        <f t="shared" si="22"/>
        <v>0.24023796923540996</v>
      </c>
      <c r="M175" s="32">
        <f t="shared" si="26"/>
        <v>58525.56442923571</v>
      </c>
      <c r="N175" s="47">
        <v>0</v>
      </c>
      <c r="O175" s="19">
        <v>2.24E-2</v>
      </c>
      <c r="P175" s="38">
        <f t="shared" si="24"/>
        <v>0.12051931522320877</v>
      </c>
      <c r="Q175" s="31">
        <f t="shared" si="27"/>
        <v>29360.308741003231</v>
      </c>
      <c r="R175" s="47">
        <v>0</v>
      </c>
      <c r="S175" s="37">
        <f t="shared" si="23"/>
        <v>243614.96484298998</v>
      </c>
      <c r="T175" s="40">
        <f t="shared" si="28"/>
        <v>2.3974097803477923E-2</v>
      </c>
    </row>
    <row r="176" spans="2:20" x14ac:dyDescent="0.35">
      <c r="B176" s="11" t="s">
        <v>167</v>
      </c>
      <c r="C176" s="17">
        <v>-4.9099999999999998E-2</v>
      </c>
      <c r="D176" s="38">
        <f t="shared" si="20"/>
        <v>0.26987692952583098</v>
      </c>
      <c r="E176" s="32">
        <f t="shared" si="25"/>
        <v>64945.010018345412</v>
      </c>
      <c r="F176" s="47">
        <v>0</v>
      </c>
      <c r="G176" s="15">
        <v>-9.9000000000000008E-3</v>
      </c>
      <c r="H176" s="38">
        <f t="shared" si="21"/>
        <v>0.35971837751559421</v>
      </c>
      <c r="I176" s="32">
        <f t="shared" si="29"/>
        <v>86565.063833280219</v>
      </c>
      <c r="J176" s="47">
        <v>0</v>
      </c>
      <c r="K176" s="20">
        <v>1.47E-2</v>
      </c>
      <c r="L176" s="38">
        <f t="shared" si="22"/>
        <v>0.2467761835269093</v>
      </c>
      <c r="M176" s="32">
        <f t="shared" si="26"/>
        <v>59385.890226345473</v>
      </c>
      <c r="N176" s="47">
        <v>0</v>
      </c>
      <c r="O176" s="19">
        <v>1.3299999999999999E-2</v>
      </c>
      <c r="P176" s="38">
        <f t="shared" si="24"/>
        <v>0.12362850943166563</v>
      </c>
      <c r="Q176" s="31">
        <f t="shared" si="27"/>
        <v>29750.800847258575</v>
      </c>
      <c r="R176" s="47">
        <v>0</v>
      </c>
      <c r="S176" s="37">
        <f t="shared" si="23"/>
        <v>240646.76492522965</v>
      </c>
      <c r="T176" s="40">
        <f t="shared" si="28"/>
        <v>-1.2183980239774406E-2</v>
      </c>
    </row>
    <row r="177" spans="2:20" x14ac:dyDescent="0.35">
      <c r="B177" s="10" t="s">
        <v>168</v>
      </c>
      <c r="C177" s="19">
        <v>6.6500000000000004E-2</v>
      </c>
      <c r="D177" s="38">
        <f t="shared" si="20"/>
        <v>0.27641108960390748</v>
      </c>
      <c r="E177" s="32">
        <f t="shared" si="25"/>
        <v>69263.853184565378</v>
      </c>
      <c r="F177" s="47">
        <v>0</v>
      </c>
      <c r="G177" s="20">
        <v>4.2900000000000001E-2</v>
      </c>
      <c r="H177" s="38">
        <f t="shared" si="21"/>
        <v>0.36027500766398074</v>
      </c>
      <c r="I177" s="32">
        <f t="shared" si="29"/>
        <v>90278.705071727934</v>
      </c>
      <c r="J177" s="47">
        <v>0</v>
      </c>
      <c r="K177" s="20">
        <v>3.04E-2</v>
      </c>
      <c r="L177" s="38">
        <f t="shared" si="22"/>
        <v>0.24419565723089098</v>
      </c>
      <c r="M177" s="32">
        <f t="shared" si="26"/>
        <v>61191.221289226378</v>
      </c>
      <c r="N177" s="47">
        <v>0</v>
      </c>
      <c r="O177" s="19">
        <v>3.3E-3</v>
      </c>
      <c r="P177" s="38">
        <f t="shared" si="24"/>
        <v>0.11911824550122076</v>
      </c>
      <c r="Q177" s="31">
        <f t="shared" si="27"/>
        <v>29848.978490054527</v>
      </c>
      <c r="R177" s="47">
        <v>0</v>
      </c>
      <c r="S177" s="37">
        <f t="shared" si="23"/>
        <v>250582.75803557422</v>
      </c>
      <c r="T177" s="40">
        <f t="shared" si="28"/>
        <v>4.128870426922937E-2</v>
      </c>
    </row>
    <row r="178" spans="2:20" x14ac:dyDescent="0.35">
      <c r="B178" s="9" t="s">
        <v>169</v>
      </c>
      <c r="C178" s="19">
        <v>0.1062</v>
      </c>
      <c r="D178" s="38">
        <f t="shared" si="20"/>
        <v>0.29972358704057273</v>
      </c>
      <c r="E178" s="32">
        <f t="shared" si="25"/>
        <v>76619.674392766217</v>
      </c>
      <c r="F178" s="47">
        <v>0</v>
      </c>
      <c r="G178" s="15">
        <v>-8.6999999999999994E-3</v>
      </c>
      <c r="H178" s="38">
        <f t="shared" si="21"/>
        <v>0.35008301994750612</v>
      </c>
      <c r="I178" s="32">
        <f t="shared" si="29"/>
        <v>89493.280337603908</v>
      </c>
      <c r="J178" s="47">
        <v>0</v>
      </c>
      <c r="K178" s="20">
        <v>1.44E-2</v>
      </c>
      <c r="L178" s="38">
        <f t="shared" si="22"/>
        <v>0.24281693966133272</v>
      </c>
      <c r="M178" s="32">
        <f t="shared" si="26"/>
        <v>62072.37487579124</v>
      </c>
      <c r="N178" s="47">
        <v>0</v>
      </c>
      <c r="O178" s="17">
        <v>-8.0399999999999999E-2</v>
      </c>
      <c r="P178" s="38">
        <f t="shared" si="24"/>
        <v>0.10737645335058851</v>
      </c>
      <c r="Q178" s="31">
        <f t="shared" si="27"/>
        <v>27449.120619454145</v>
      </c>
      <c r="R178" s="47">
        <v>0</v>
      </c>
      <c r="S178" s="37">
        <f t="shared" si="23"/>
        <v>255634.4502256155</v>
      </c>
      <c r="T178" s="40">
        <f t="shared" si="28"/>
        <v>2.0159775675084868E-2</v>
      </c>
    </row>
    <row r="179" spans="2:20" x14ac:dyDescent="0.35">
      <c r="B179" s="10" t="s">
        <v>170</v>
      </c>
      <c r="C179" s="17">
        <v>-2.3E-3</v>
      </c>
      <c r="D179" s="38">
        <f t="shared" si="20"/>
        <v>0.30216689935299268</v>
      </c>
      <c r="E179" s="32">
        <f t="shared" si="25"/>
        <v>76443.449141662859</v>
      </c>
      <c r="F179" s="47">
        <v>0</v>
      </c>
      <c r="G179" s="20">
        <v>2E-3</v>
      </c>
      <c r="H179" s="38">
        <f t="shared" si="21"/>
        <v>0.35445798365787334</v>
      </c>
      <c r="I179" s="32">
        <f t="shared" si="29"/>
        <v>89672.266898279122</v>
      </c>
      <c r="J179" s="47">
        <v>0</v>
      </c>
      <c r="K179" s="15">
        <v>-1.78E-2</v>
      </c>
      <c r="L179" s="38">
        <f t="shared" si="22"/>
        <v>0.24099326489094555</v>
      </c>
      <c r="M179" s="32">
        <f t="shared" si="26"/>
        <v>60967.486603002159</v>
      </c>
      <c r="N179" s="47">
        <v>0</v>
      </c>
      <c r="O179" s="17">
        <v>-5.6399999999999999E-2</v>
      </c>
      <c r="P179" s="38">
        <f t="shared" si="24"/>
        <v>0.10238185209818847</v>
      </c>
      <c r="Q179" s="31">
        <f t="shared" si="27"/>
        <v>25900.99021651693</v>
      </c>
      <c r="R179" s="47">
        <v>0</v>
      </c>
      <c r="S179" s="37">
        <f t="shared" si="23"/>
        <v>252984.19285946107</v>
      </c>
      <c r="T179" s="40">
        <f t="shared" si="28"/>
        <v>-1.0367371705243156E-2</v>
      </c>
    </row>
    <row r="180" spans="2:20" x14ac:dyDescent="0.35">
      <c r="B180" s="11" t="s">
        <v>171</v>
      </c>
      <c r="C180" s="19">
        <v>7.7999999999999996E-3</v>
      </c>
      <c r="D180" s="38">
        <f t="shared" si="20"/>
        <v>0.29987087767923726</v>
      </c>
      <c r="E180" s="32">
        <f t="shared" si="25"/>
        <v>77039.708044967832</v>
      </c>
      <c r="F180" s="47">
        <v>0</v>
      </c>
      <c r="G180" s="20">
        <v>2.6599999999999999E-2</v>
      </c>
      <c r="H180" s="38">
        <f t="shared" si="21"/>
        <v>0.35832661851239994</v>
      </c>
      <c r="I180" s="32">
        <f t="shared" si="29"/>
        <v>92057.549197773347</v>
      </c>
      <c r="J180" s="47">
        <v>0</v>
      </c>
      <c r="K180" s="15">
        <v>-6.1000000000000004E-3</v>
      </c>
      <c r="L180" s="38">
        <f t="shared" si="22"/>
        <v>0.23586344884973007</v>
      </c>
      <c r="M180" s="32">
        <f t="shared" si="26"/>
        <v>60595.584934723847</v>
      </c>
      <c r="N180" s="47">
        <v>0</v>
      </c>
      <c r="O180" s="19">
        <v>5.0799999999999998E-2</v>
      </c>
      <c r="P180" s="38">
        <f t="shared" si="24"/>
        <v>0.1059390549586328</v>
      </c>
      <c r="Q180" s="31">
        <f t="shared" si="27"/>
        <v>27216.760519515989</v>
      </c>
      <c r="R180" s="47">
        <v>0</v>
      </c>
      <c r="S180" s="37">
        <f t="shared" si="23"/>
        <v>256909.60269698099</v>
      </c>
      <c r="T180" s="40">
        <f t="shared" si="28"/>
        <v>1.5516423351005892E-2</v>
      </c>
    </row>
    <row r="181" spans="2:20" x14ac:dyDescent="0.35">
      <c r="B181" s="10" t="s">
        <v>172</v>
      </c>
      <c r="C181" s="17">
        <v>-1.9199999999999998E-2</v>
      </c>
      <c r="D181" s="38">
        <f t="shared" si="20"/>
        <v>0.28789167671167182</v>
      </c>
      <c r="E181" s="32">
        <f t="shared" si="25"/>
        <v>75560.545650504457</v>
      </c>
      <c r="F181" s="47">
        <v>0</v>
      </c>
      <c r="G181" s="20">
        <v>3.32E-2</v>
      </c>
      <c r="H181" s="38">
        <f t="shared" si="21"/>
        <v>0.36239135582688642</v>
      </c>
      <c r="I181" s="32">
        <f t="shared" si="29"/>
        <v>95113.859831139416</v>
      </c>
      <c r="J181" s="47">
        <v>0</v>
      </c>
      <c r="K181" s="20">
        <v>4.3499999999999997E-2</v>
      </c>
      <c r="L181" s="38">
        <f t="shared" si="22"/>
        <v>0.24091700700822771</v>
      </c>
      <c r="M181" s="32">
        <f t="shared" si="26"/>
        <v>63231.492879384336</v>
      </c>
      <c r="N181" s="47">
        <v>0</v>
      </c>
      <c r="O181" s="19">
        <v>4.9200000000000001E-2</v>
      </c>
      <c r="P181" s="38">
        <f t="shared" si="24"/>
        <v>0.10879996045321412</v>
      </c>
      <c r="Q181" s="31">
        <f t="shared" si="27"/>
        <v>28555.825137076175</v>
      </c>
      <c r="R181" s="47">
        <v>0</v>
      </c>
      <c r="S181" s="37">
        <f t="shared" si="23"/>
        <v>262461.72349810437</v>
      </c>
      <c r="T181" s="40">
        <f t="shared" si="28"/>
        <v>2.1611184412098305E-2</v>
      </c>
    </row>
    <row r="182" spans="2:20" x14ac:dyDescent="0.35">
      <c r="B182" s="11" t="s">
        <v>173</v>
      </c>
      <c r="C182" s="17">
        <v>-9.2299999999999993E-2</v>
      </c>
      <c r="D182" s="38">
        <f t="shared" si="20"/>
        <v>0.252820676120316</v>
      </c>
      <c r="E182" s="32">
        <f t="shared" si="25"/>
        <v>68586.307286962896</v>
      </c>
      <c r="F182" s="47">
        <v>0</v>
      </c>
      <c r="G182" s="20">
        <v>6.3500000000000001E-2</v>
      </c>
      <c r="H182" s="38">
        <f t="shared" si="21"/>
        <v>0.37286916309993973</v>
      </c>
      <c r="I182" s="32">
        <f t="shared" si="29"/>
        <v>101153.58993041677</v>
      </c>
      <c r="J182" s="47">
        <v>0</v>
      </c>
      <c r="K182" s="20">
        <v>0.1012</v>
      </c>
      <c r="L182" s="38">
        <f t="shared" si="22"/>
        <v>0.25666981983638076</v>
      </c>
      <c r="M182" s="32">
        <f t="shared" si="26"/>
        <v>69630.519958778023</v>
      </c>
      <c r="N182" s="47">
        <v>0</v>
      </c>
      <c r="O182" s="19">
        <v>0.1176</v>
      </c>
      <c r="P182" s="38">
        <f t="shared" si="24"/>
        <v>0.11764034094336358</v>
      </c>
      <c r="Q182" s="31">
        <f t="shared" si="27"/>
        <v>31913.990173196333</v>
      </c>
      <c r="R182" s="47">
        <v>0</v>
      </c>
      <c r="S182" s="37">
        <f t="shared" si="23"/>
        <v>271284.40734935401</v>
      </c>
      <c r="T182" s="40">
        <f t="shared" si="28"/>
        <v>3.3615125793050593E-2</v>
      </c>
    </row>
    <row r="183" spans="2:20" x14ac:dyDescent="0.35">
      <c r="B183" s="10" t="s">
        <v>174</v>
      </c>
      <c r="C183" s="17">
        <v>-6.7100000000000007E-2</v>
      </c>
      <c r="D183" s="38">
        <f t="shared" si="20"/>
        <v>0.23533970659609876</v>
      </c>
      <c r="E183" s="32">
        <f t="shared" si="25"/>
        <v>63984.166068007682</v>
      </c>
      <c r="F183" s="47">
        <v>0</v>
      </c>
      <c r="G183" s="20">
        <v>4.0000000000000002E-4</v>
      </c>
      <c r="H183" s="38">
        <f t="shared" si="21"/>
        <v>0.37220112132936112</v>
      </c>
      <c r="I183" s="32">
        <f t="shared" si="29"/>
        <v>101194.05136638893</v>
      </c>
      <c r="J183" s="47">
        <v>0</v>
      </c>
      <c r="K183" s="20">
        <v>4.1799999999999997E-2</v>
      </c>
      <c r="L183" s="38">
        <f t="shared" si="22"/>
        <v>0.26681281508965232</v>
      </c>
      <c r="M183" s="32">
        <f t="shared" si="26"/>
        <v>72541.07569305494</v>
      </c>
      <c r="N183" s="47">
        <v>0</v>
      </c>
      <c r="O183" s="19">
        <v>7.0400000000000004E-2</v>
      </c>
      <c r="P183" s="38">
        <f t="shared" si="24"/>
        <v>0.12564635698488766</v>
      </c>
      <c r="Q183" s="31">
        <f t="shared" si="27"/>
        <v>34160.735081389357</v>
      </c>
      <c r="R183" s="47">
        <v>0</v>
      </c>
      <c r="S183" s="37">
        <f t="shared" si="23"/>
        <v>271880.02820884093</v>
      </c>
      <c r="T183" s="40">
        <f t="shared" si="28"/>
        <v>2.1955587691404599E-3</v>
      </c>
    </row>
    <row r="184" spans="2:20" x14ac:dyDescent="0.35">
      <c r="B184" s="11" t="s">
        <v>175</v>
      </c>
      <c r="C184" s="19">
        <v>8.72E-2</v>
      </c>
      <c r="D184" s="38">
        <f t="shared" si="20"/>
        <v>0.25696637842163766</v>
      </c>
      <c r="E184" s="32">
        <f t="shared" si="25"/>
        <v>69563.585349137953</v>
      </c>
      <c r="F184" s="47">
        <v>0</v>
      </c>
      <c r="G184" s="15">
        <v>-5.6899999999999999E-2</v>
      </c>
      <c r="H184" s="38">
        <f t="shared" si="21"/>
        <v>0.35253892383616253</v>
      </c>
      <c r="I184" s="32">
        <f t="shared" si="29"/>
        <v>95436.109843641403</v>
      </c>
      <c r="J184" s="47">
        <v>0</v>
      </c>
      <c r="K184" s="20">
        <v>0</v>
      </c>
      <c r="L184" s="38">
        <f t="shared" si="22"/>
        <v>0.26796516329768522</v>
      </c>
      <c r="M184" s="32">
        <f t="shared" si="26"/>
        <v>72541.07569305494</v>
      </c>
      <c r="N184" s="47">
        <v>0</v>
      </c>
      <c r="O184" s="17">
        <v>-2.9000000000000001E-2</v>
      </c>
      <c r="P184" s="38">
        <f t="shared" si="24"/>
        <v>0.12252953444451457</v>
      </c>
      <c r="Q184" s="31">
        <f t="shared" si="27"/>
        <v>33170.073764029068</v>
      </c>
      <c r="R184" s="47">
        <v>0</v>
      </c>
      <c r="S184" s="37">
        <f t="shared" si="23"/>
        <v>270710.84464986337</v>
      </c>
      <c r="T184" s="40">
        <f t="shared" si="28"/>
        <v>-4.3003657410225493E-3</v>
      </c>
    </row>
    <row r="185" spans="2:20" x14ac:dyDescent="0.35">
      <c r="B185" s="10" t="s">
        <v>176</v>
      </c>
      <c r="C185" s="19">
        <v>8.0000000000000004E-4</v>
      </c>
      <c r="D185" s="38">
        <f t="shared" si="20"/>
        <v>0.23596109635628304</v>
      </c>
      <c r="E185" s="32">
        <f t="shared" si="25"/>
        <v>69619.236217417259</v>
      </c>
      <c r="F185" s="47">
        <v>0</v>
      </c>
      <c r="G185" s="20">
        <v>9.3200000000000005E-2</v>
      </c>
      <c r="H185" s="38">
        <f t="shared" si="21"/>
        <v>0.35360915656872938</v>
      </c>
      <c r="I185" s="32">
        <f t="shared" si="29"/>
        <v>104330.75528106878</v>
      </c>
      <c r="J185" s="47">
        <v>0</v>
      </c>
      <c r="K185" s="20">
        <v>0.14710000000000001</v>
      </c>
      <c r="L185" s="38">
        <f t="shared" si="22"/>
        <v>0.28203072387507327</v>
      </c>
      <c r="M185" s="32">
        <f t="shared" si="26"/>
        <v>83211.867927503321</v>
      </c>
      <c r="N185" s="47">
        <v>0</v>
      </c>
      <c r="O185" s="19">
        <v>0.1421</v>
      </c>
      <c r="P185" s="38">
        <f t="shared" si="24"/>
        <v>0.1283990231999142</v>
      </c>
      <c r="Q185" s="31">
        <f t="shared" si="27"/>
        <v>37883.541245897599</v>
      </c>
      <c r="R185" s="47">
        <v>0</v>
      </c>
      <c r="S185" s="37">
        <f t="shared" si="23"/>
        <v>295045.40067188698</v>
      </c>
      <c r="T185" s="40">
        <f t="shared" si="28"/>
        <v>8.9891323169922766E-2</v>
      </c>
    </row>
    <row r="186" spans="2:20" x14ac:dyDescent="0.35">
      <c r="B186" s="11" t="s">
        <v>177</v>
      </c>
      <c r="C186" s="19">
        <v>5.1000000000000004E-3</v>
      </c>
      <c r="D186" s="38">
        <f t="shared" si="20"/>
        <v>0.24475957370154397</v>
      </c>
      <c r="E186" s="32">
        <f t="shared" si="25"/>
        <v>69974.294322126094</v>
      </c>
      <c r="F186" s="47">
        <v>0</v>
      </c>
      <c r="G186" s="15">
        <v>-4.2000000000000003E-2</v>
      </c>
      <c r="H186" s="38">
        <f t="shared" si="21"/>
        <v>0.34960611569874445</v>
      </c>
      <c r="I186" s="32">
        <f t="shared" si="29"/>
        <v>99948.863559263889</v>
      </c>
      <c r="J186" s="47">
        <v>0</v>
      </c>
      <c r="K186" s="15">
        <v>-2.8899999999999999E-2</v>
      </c>
      <c r="L186" s="38">
        <f t="shared" si="22"/>
        <v>0.28265090865544479</v>
      </c>
      <c r="M186" s="32">
        <f t="shared" si="26"/>
        <v>80807.044944398469</v>
      </c>
      <c r="N186" s="47">
        <v>0</v>
      </c>
      <c r="O186" s="17">
        <v>-7.1900000000000006E-2</v>
      </c>
      <c r="P186" s="38">
        <f t="shared" si="24"/>
        <v>0.12298340194426688</v>
      </c>
      <c r="Q186" s="31">
        <f t="shared" si="27"/>
        <v>35159.714630317561</v>
      </c>
      <c r="R186" s="47">
        <v>0</v>
      </c>
      <c r="S186" s="37">
        <f t="shared" si="23"/>
        <v>285889.91745610599</v>
      </c>
      <c r="T186" s="40">
        <f t="shared" si="28"/>
        <v>-3.1030760672533186E-2</v>
      </c>
    </row>
    <row r="187" spans="2:20" x14ac:dyDescent="0.35">
      <c r="B187" s="10" t="s">
        <v>178</v>
      </c>
      <c r="C187" s="19">
        <v>9.6699999999999994E-2</v>
      </c>
      <c r="D187" s="38">
        <f t="shared" si="20"/>
        <v>0.28269288649148117</v>
      </c>
      <c r="E187" s="32">
        <f t="shared" si="25"/>
        <v>76740.80858307569</v>
      </c>
      <c r="F187" s="47">
        <v>0</v>
      </c>
      <c r="G187" s="15">
        <v>-5.96E-2</v>
      </c>
      <c r="H187" s="38">
        <f t="shared" si="21"/>
        <v>0.34624139620547567</v>
      </c>
      <c r="I187" s="32">
        <f t="shared" si="29"/>
        <v>93991.911291131764</v>
      </c>
      <c r="J187" s="47">
        <v>0</v>
      </c>
      <c r="K187" s="15">
        <v>-0.1426</v>
      </c>
      <c r="L187" s="38">
        <f t="shared" si="22"/>
        <v>0.25522382545073208</v>
      </c>
      <c r="M187" s="32">
        <f t="shared" si="26"/>
        <v>69283.960335327254</v>
      </c>
      <c r="N187" s="47">
        <v>0</v>
      </c>
      <c r="O187" s="17">
        <v>-0.1056</v>
      </c>
      <c r="P187" s="38">
        <f t="shared" si="24"/>
        <v>0.11584189185231115</v>
      </c>
      <c r="Q187" s="31">
        <f t="shared" si="27"/>
        <v>31446.848765356026</v>
      </c>
      <c r="R187" s="47">
        <v>0</v>
      </c>
      <c r="S187" s="37">
        <f t="shared" si="23"/>
        <v>271463.52897489071</v>
      </c>
      <c r="T187" s="40">
        <f t="shared" si="28"/>
        <v>-5.0461340538286881E-2</v>
      </c>
    </row>
    <row r="188" spans="2:20" x14ac:dyDescent="0.35">
      <c r="B188" s="11" t="s">
        <v>179</v>
      </c>
      <c r="C188" s="19">
        <v>3.27E-2</v>
      </c>
      <c r="D188" s="38">
        <f t="shared" si="20"/>
        <v>0.27757830911400688</v>
      </c>
      <c r="E188" s="32">
        <f t="shared" si="25"/>
        <v>79250.233023742272</v>
      </c>
      <c r="F188" s="47">
        <v>0</v>
      </c>
      <c r="G188" s="20">
        <v>4.7899999999999998E-2</v>
      </c>
      <c r="H188" s="38">
        <f t="shared" si="21"/>
        <v>0.34498109734934063</v>
      </c>
      <c r="I188" s="32">
        <f t="shared" si="29"/>
        <v>98494.12384197698</v>
      </c>
      <c r="J188" s="47">
        <v>0</v>
      </c>
      <c r="K188" s="20">
        <v>6.0400000000000002E-2</v>
      </c>
      <c r="L188" s="38">
        <f t="shared" si="22"/>
        <v>0.25732821146194068</v>
      </c>
      <c r="M188" s="32">
        <f t="shared" si="26"/>
        <v>73468.711539581025</v>
      </c>
      <c r="N188" s="47">
        <v>0</v>
      </c>
      <c r="O188" s="19">
        <v>9.0499999999999997E-2</v>
      </c>
      <c r="P188" s="38">
        <f t="shared" si="24"/>
        <v>0.12011238207471181</v>
      </c>
      <c r="Q188" s="31">
        <f t="shared" si="27"/>
        <v>34292.788578620748</v>
      </c>
      <c r="R188" s="47">
        <v>0</v>
      </c>
      <c r="S188" s="37">
        <f t="shared" si="23"/>
        <v>285505.85698392102</v>
      </c>
      <c r="T188" s="40">
        <f t="shared" si="28"/>
        <v>5.1728230536372211E-2</v>
      </c>
    </row>
    <row r="189" spans="2:20" x14ac:dyDescent="0.35">
      <c r="B189" s="10" t="s">
        <v>180</v>
      </c>
      <c r="C189" s="17">
        <v>-3.3000000000000002E-2</v>
      </c>
      <c r="D189" s="38">
        <f t="shared" si="20"/>
        <v>0.27429091821074858</v>
      </c>
      <c r="E189" s="32">
        <f t="shared" si="25"/>
        <v>76634.975333958777</v>
      </c>
      <c r="F189" s="47">
        <v>0</v>
      </c>
      <c r="G189" s="20">
        <v>5.7000000000000002E-2</v>
      </c>
      <c r="H189" s="38">
        <f t="shared" si="21"/>
        <v>0.37262304883059094</v>
      </c>
      <c r="I189" s="32">
        <f t="shared" si="29"/>
        <v>104108.28890096967</v>
      </c>
      <c r="J189" s="47">
        <v>0</v>
      </c>
      <c r="K189" s="15">
        <v>-8.5000000000000006E-2</v>
      </c>
      <c r="L189" s="38">
        <f t="shared" si="22"/>
        <v>0.24060681481299623</v>
      </c>
      <c r="M189" s="32">
        <f t="shared" si="26"/>
        <v>67223.871058716642</v>
      </c>
      <c r="N189" s="47">
        <v>0</v>
      </c>
      <c r="O189" s="17">
        <v>-8.3599999999999994E-2</v>
      </c>
      <c r="P189" s="38">
        <f t="shared" si="24"/>
        <v>0.11247921814566424</v>
      </c>
      <c r="Q189" s="31">
        <f t="shared" si="27"/>
        <v>31425.911453448054</v>
      </c>
      <c r="R189" s="47">
        <v>0</v>
      </c>
      <c r="S189" s="37">
        <f t="shared" si="23"/>
        <v>279393.04674709315</v>
      </c>
      <c r="T189" s="40">
        <f t="shared" si="28"/>
        <v>-2.1410454767560649E-2</v>
      </c>
    </row>
    <row r="190" spans="2:20" x14ac:dyDescent="0.35">
      <c r="B190" s="9" t="s">
        <v>181</v>
      </c>
      <c r="C190" s="19">
        <v>0.12790000000000001</v>
      </c>
      <c r="D190" s="38">
        <f t="shared" si="20"/>
        <v>0.29749855786753482</v>
      </c>
      <c r="E190" s="32">
        <f t="shared" si="25"/>
        <v>86436.588679172099</v>
      </c>
      <c r="F190" s="47">
        <v>0</v>
      </c>
      <c r="G190" s="15">
        <v>-2.1499999999999998E-2</v>
      </c>
      <c r="H190" s="38">
        <f t="shared" si="21"/>
        <v>0.3506173353007479</v>
      </c>
      <c r="I190" s="32">
        <f t="shared" si="29"/>
        <v>101869.96068959883</v>
      </c>
      <c r="J190" s="47">
        <v>0</v>
      </c>
      <c r="K190" s="20">
        <v>2.4299999999999999E-2</v>
      </c>
      <c r="L190" s="38">
        <f t="shared" si="22"/>
        <v>0.23699431943509208</v>
      </c>
      <c r="M190" s="32">
        <f t="shared" si="26"/>
        <v>68857.411125443454</v>
      </c>
      <c r="N190" s="47">
        <v>0</v>
      </c>
      <c r="O190" s="19">
        <v>6.2199999999999998E-2</v>
      </c>
      <c r="P190" s="38">
        <f t="shared" si="24"/>
        <v>0.1148897873966252</v>
      </c>
      <c r="Q190" s="31">
        <f t="shared" si="27"/>
        <v>33380.603145852525</v>
      </c>
      <c r="R190" s="47">
        <v>0</v>
      </c>
      <c r="S190" s="37">
        <f t="shared" si="23"/>
        <v>290544.56364006689</v>
      </c>
      <c r="T190" s="40">
        <f t="shared" si="28"/>
        <v>3.9913365857913163E-2</v>
      </c>
    </row>
    <row r="191" spans="2:20" x14ac:dyDescent="0.35">
      <c r="B191" s="10" t="s">
        <v>182</v>
      </c>
      <c r="C191" s="17">
        <v>-4.19E-2</v>
      </c>
      <c r="D191" s="38">
        <f t="shared" si="20"/>
        <v>0.2847778527806698</v>
      </c>
      <c r="E191" s="32">
        <f t="shared" si="25"/>
        <v>82814.895613514789</v>
      </c>
      <c r="F191" s="47">
        <v>0</v>
      </c>
      <c r="G191" s="20">
        <v>4.5999999999999999E-3</v>
      </c>
      <c r="H191" s="38">
        <f t="shared" si="21"/>
        <v>0.35191442157843045</v>
      </c>
      <c r="I191" s="32">
        <f t="shared" si="29"/>
        <v>102338.56250877098</v>
      </c>
      <c r="J191" s="47">
        <v>0</v>
      </c>
      <c r="K191" s="20">
        <v>4.0899999999999999E-2</v>
      </c>
      <c r="L191" s="38">
        <f t="shared" si="22"/>
        <v>0.24646624648599738</v>
      </c>
      <c r="M191" s="32">
        <f t="shared" si="26"/>
        <v>71673.679240474085</v>
      </c>
      <c r="N191" s="47">
        <v>0</v>
      </c>
      <c r="O191" s="19">
        <v>1.7899999999999999E-2</v>
      </c>
      <c r="P191" s="38">
        <f t="shared" si="24"/>
        <v>0.11684147915490238</v>
      </c>
      <c r="Q191" s="31">
        <f t="shared" si="27"/>
        <v>33978.115942163284</v>
      </c>
      <c r="R191" s="47">
        <v>0</v>
      </c>
      <c r="S191" s="37">
        <f t="shared" si="23"/>
        <v>290805.25330492313</v>
      </c>
      <c r="T191" s="40">
        <f t="shared" si="28"/>
        <v>8.9724502702859255E-4</v>
      </c>
    </row>
    <row r="192" spans="2:20" x14ac:dyDescent="0.35">
      <c r="B192" s="11" t="s">
        <v>183</v>
      </c>
      <c r="C192" s="17">
        <v>-1.8E-3</v>
      </c>
      <c r="D192" s="38">
        <f t="shared" si="20"/>
        <v>0.27434790615531091</v>
      </c>
      <c r="E192" s="32">
        <f t="shared" si="25"/>
        <v>82665.828801410462</v>
      </c>
      <c r="F192" s="47">
        <v>0</v>
      </c>
      <c r="G192" s="20">
        <v>3.0300000000000001E-2</v>
      </c>
      <c r="H192" s="38">
        <f t="shared" si="21"/>
        <v>0.34992795431976481</v>
      </c>
      <c r="I192" s="32">
        <f t="shared" si="29"/>
        <v>105439.42095278674</v>
      </c>
      <c r="J192" s="47">
        <v>0</v>
      </c>
      <c r="K192" s="20">
        <v>6.59E-2</v>
      </c>
      <c r="L192" s="38">
        <f t="shared" si="22"/>
        <v>0.25354309453015411</v>
      </c>
      <c r="M192" s="32">
        <f t="shared" si="26"/>
        <v>76396.974702421328</v>
      </c>
      <c r="N192" s="47">
        <v>0</v>
      </c>
      <c r="O192" s="19">
        <v>8.3500000000000005E-2</v>
      </c>
      <c r="P192" s="38">
        <f t="shared" si="24"/>
        <v>0.12218104499477016</v>
      </c>
      <c r="Q192" s="31">
        <f t="shared" si="27"/>
        <v>36815.288623333916</v>
      </c>
      <c r="R192" s="47">
        <v>0</v>
      </c>
      <c r="S192" s="37">
        <f t="shared" si="23"/>
        <v>301317.51307995245</v>
      </c>
      <c r="T192" s="40">
        <f t="shared" si="28"/>
        <v>3.6148795991682858E-2</v>
      </c>
    </row>
    <row r="193" spans="2:20" x14ac:dyDescent="0.35">
      <c r="B193" s="10" t="s">
        <v>184</v>
      </c>
      <c r="C193" s="19">
        <v>2.1100000000000001E-2</v>
      </c>
      <c r="D193" s="38">
        <f t="shared" si="20"/>
        <v>0.27424932238248079</v>
      </c>
      <c r="E193" s="32">
        <f t="shared" si="25"/>
        <v>84410.077789120216</v>
      </c>
      <c r="F193" s="47">
        <v>0</v>
      </c>
      <c r="G193" s="20">
        <v>4.4999999999999997E-3</v>
      </c>
      <c r="H193" s="38">
        <f t="shared" si="21"/>
        <v>0.34411548494409727</v>
      </c>
      <c r="I193" s="32">
        <f t="shared" si="29"/>
        <v>105913.89834707428</v>
      </c>
      <c r="J193" s="47">
        <v>0</v>
      </c>
      <c r="K193" s="20">
        <v>5.0999999999999997E-2</v>
      </c>
      <c r="L193" s="38">
        <f t="shared" si="22"/>
        <v>0.26087360498563084</v>
      </c>
      <c r="M193" s="32">
        <f t="shared" si="26"/>
        <v>80293.220412244817</v>
      </c>
      <c r="N193" s="47">
        <v>0</v>
      </c>
      <c r="O193" s="19">
        <v>9.5999999999999992E-3</v>
      </c>
      <c r="P193" s="38">
        <f t="shared" si="24"/>
        <v>0.12076158768779126</v>
      </c>
      <c r="Q193" s="31">
        <f t="shared" si="27"/>
        <v>37168.71539411792</v>
      </c>
      <c r="R193" s="47">
        <v>0</v>
      </c>
      <c r="S193" s="37">
        <f t="shared" si="23"/>
        <v>307785.9119425572</v>
      </c>
      <c r="T193" s="40">
        <f t="shared" si="28"/>
        <v>2.1467052467303516E-2</v>
      </c>
    </row>
    <row r="194" spans="2:20" x14ac:dyDescent="0.35">
      <c r="B194" s="11" t="s">
        <v>185</v>
      </c>
      <c r="C194" s="19">
        <v>1.5800000000000002E-2</v>
      </c>
      <c r="D194" s="38">
        <f t="shared" si="20"/>
        <v>0.27858424017915112</v>
      </c>
      <c r="E194" s="32">
        <f t="shared" si="25"/>
        <v>85743.75701818832</v>
      </c>
      <c r="F194" s="47">
        <v>0</v>
      </c>
      <c r="G194" s="20">
        <v>2.6700000000000002E-2</v>
      </c>
      <c r="H194" s="38">
        <f t="shared" si="21"/>
        <v>0.35330562392214193</v>
      </c>
      <c r="I194" s="32">
        <f t="shared" si="29"/>
        <v>108741.79943294116</v>
      </c>
      <c r="J194" s="47">
        <v>0</v>
      </c>
      <c r="K194" s="15">
        <v>-5.6899999999999999E-2</v>
      </c>
      <c r="L194" s="38">
        <f t="shared" si="22"/>
        <v>0.24603146754559338</v>
      </c>
      <c r="M194" s="32">
        <f t="shared" si="26"/>
        <v>75724.53617078808</v>
      </c>
      <c r="N194" s="47">
        <v>0</v>
      </c>
      <c r="O194" s="19">
        <v>1.09E-2</v>
      </c>
      <c r="P194" s="38">
        <f t="shared" si="24"/>
        <v>0.1220786683531136</v>
      </c>
      <c r="Q194" s="31">
        <f t="shared" si="27"/>
        <v>37573.854391913803</v>
      </c>
      <c r="R194" s="47">
        <v>0</v>
      </c>
      <c r="S194" s="37">
        <f t="shared" si="23"/>
        <v>307783.94701383135</v>
      </c>
      <c r="T194" s="40">
        <f t="shared" si="28"/>
        <v>-6.3840762348776892E-6</v>
      </c>
    </row>
    <row r="195" spans="2:20" x14ac:dyDescent="0.35">
      <c r="B195" s="10" t="s">
        <v>186</v>
      </c>
      <c r="C195" s="19">
        <v>6.8999999999999999E-3</v>
      </c>
      <c r="D195" s="38">
        <f t="shared" si="20"/>
        <v>0.27597297004835214</v>
      </c>
      <c r="E195" s="32">
        <f t="shared" si="25"/>
        <v>86335.388941613826</v>
      </c>
      <c r="F195" s="47">
        <v>0</v>
      </c>
      <c r="G195" s="20">
        <v>3.56E-2</v>
      </c>
      <c r="H195" s="38">
        <f t="shared" si="21"/>
        <v>0.35996995582969904</v>
      </c>
      <c r="I195" s="32">
        <f t="shared" si="29"/>
        <v>112613.00749275387</v>
      </c>
      <c r="J195" s="47">
        <v>0</v>
      </c>
      <c r="K195" s="20">
        <v>2.53E-2</v>
      </c>
      <c r="L195" s="38">
        <f t="shared" si="22"/>
        <v>0.24817914092489834</v>
      </c>
      <c r="M195" s="32">
        <f t="shared" si="26"/>
        <v>77640.366935909013</v>
      </c>
      <c r="N195" s="47">
        <v>0</v>
      </c>
      <c r="O195" s="17">
        <v>-3.5200000000000002E-2</v>
      </c>
      <c r="P195" s="38">
        <f t="shared" si="24"/>
        <v>0.11587793319705056</v>
      </c>
      <c r="Q195" s="31">
        <f t="shared" si="27"/>
        <v>36251.254717318436</v>
      </c>
      <c r="R195" s="47">
        <v>0</v>
      </c>
      <c r="S195" s="37">
        <f t="shared" si="23"/>
        <v>312840.01808759512</v>
      </c>
      <c r="T195" s="40">
        <f t="shared" si="28"/>
        <v>1.6427338471738384E-2</v>
      </c>
    </row>
    <row r="196" spans="2:20" x14ac:dyDescent="0.35">
      <c r="B196" s="11" t="s">
        <v>187</v>
      </c>
      <c r="C196" s="19">
        <v>1.04E-2</v>
      </c>
      <c r="D196" s="38">
        <f t="shared" si="20"/>
        <v>0.27785356310325121</v>
      </c>
      <c r="E196" s="32">
        <f t="shared" si="25"/>
        <v>87233.276986606608</v>
      </c>
      <c r="F196" s="47">
        <v>0</v>
      </c>
      <c r="G196" s="15">
        <v>-5.1000000000000004E-3</v>
      </c>
      <c r="H196" s="38">
        <f t="shared" si="21"/>
        <v>0.35686320449658054</v>
      </c>
      <c r="I196" s="32">
        <f t="shared" si="29"/>
        <v>112038.68115454083</v>
      </c>
      <c r="J196" s="47">
        <v>0</v>
      </c>
      <c r="K196" s="20">
        <v>5.7000000000000002E-3</v>
      </c>
      <c r="L196" s="38">
        <f t="shared" si="22"/>
        <v>0.24870803279466155</v>
      </c>
      <c r="M196" s="32">
        <f t="shared" si="26"/>
        <v>78082.917027443691</v>
      </c>
      <c r="N196" s="47">
        <v>0</v>
      </c>
      <c r="O196" s="19">
        <v>9.5999999999999992E-3</v>
      </c>
      <c r="P196" s="38">
        <f t="shared" si="24"/>
        <v>0.11657519960550655</v>
      </c>
      <c r="Q196" s="31">
        <f t="shared" si="27"/>
        <v>36599.26676260469</v>
      </c>
      <c r="R196" s="47">
        <v>0</v>
      </c>
      <c r="S196" s="37">
        <f t="shared" si="23"/>
        <v>313954.14193119586</v>
      </c>
      <c r="T196" s="40">
        <f t="shared" si="28"/>
        <v>3.5613213757352824E-3</v>
      </c>
    </row>
    <row r="197" spans="2:20" x14ac:dyDescent="0.35">
      <c r="B197" s="10" t="s">
        <v>188</v>
      </c>
      <c r="C197" s="19">
        <v>1.2800000000000001E-2</v>
      </c>
      <c r="D197" s="38">
        <f t="shared" si="20"/>
        <v>0.25459224375573919</v>
      </c>
      <c r="E197" s="32">
        <f t="shared" si="25"/>
        <v>88349.862932035176</v>
      </c>
      <c r="F197" s="47">
        <v>0</v>
      </c>
      <c r="G197" s="20">
        <v>0.1837</v>
      </c>
      <c r="H197" s="38">
        <f t="shared" si="21"/>
        <v>0.38216325215725439</v>
      </c>
      <c r="I197" s="32">
        <f t="shared" si="29"/>
        <v>132620.18688262999</v>
      </c>
      <c r="J197" s="47">
        <v>0</v>
      </c>
      <c r="K197" s="20">
        <v>7.9699999999999993E-2</v>
      </c>
      <c r="L197" s="38">
        <f t="shared" si="22"/>
        <v>0.24293965994727981</v>
      </c>
      <c r="M197" s="32">
        <f t="shared" si="26"/>
        <v>84306.125514530955</v>
      </c>
      <c r="N197" s="47">
        <v>0</v>
      </c>
      <c r="O197" s="19">
        <v>0.14069999999999999</v>
      </c>
      <c r="P197" s="38">
        <f t="shared" si="24"/>
        <v>0.12030484413972663</v>
      </c>
      <c r="Q197" s="31">
        <f t="shared" si="27"/>
        <v>41748.783596103167</v>
      </c>
      <c r="R197" s="47">
        <v>0</v>
      </c>
      <c r="S197" s="37">
        <f t="shared" si="23"/>
        <v>347024.95892529929</v>
      </c>
      <c r="T197" s="40">
        <f t="shared" si="28"/>
        <v>0.10533645707197259</v>
      </c>
    </row>
    <row r="198" spans="2:20" x14ac:dyDescent="0.35">
      <c r="B198" s="11" t="s">
        <v>189</v>
      </c>
      <c r="C198" s="19">
        <v>2.5600000000000001E-2</v>
      </c>
      <c r="D198" s="38">
        <f t="shared" si="20"/>
        <v>0.26153728832809425</v>
      </c>
      <c r="E198" s="32">
        <f t="shared" si="25"/>
        <v>90611.619423095282</v>
      </c>
      <c r="F198" s="47">
        <v>0</v>
      </c>
      <c r="G198" s="15">
        <v>-3.3700000000000001E-2</v>
      </c>
      <c r="H198" s="38">
        <f t="shared" si="21"/>
        <v>0.36988893463763739</v>
      </c>
      <c r="I198" s="32">
        <f t="shared" si="29"/>
        <v>128150.88658468536</v>
      </c>
      <c r="J198" s="47">
        <v>0</v>
      </c>
      <c r="K198" s="20">
        <v>1.4999999999999999E-2</v>
      </c>
      <c r="L198" s="38">
        <f t="shared" si="22"/>
        <v>0.24698745625400356</v>
      </c>
      <c r="M198" s="32">
        <f t="shared" si="26"/>
        <v>85570.717397248925</v>
      </c>
      <c r="N198" s="47">
        <v>0</v>
      </c>
      <c r="O198" s="19">
        <v>8.9999999999999993E-3</v>
      </c>
      <c r="P198" s="38">
        <f t="shared" si="24"/>
        <v>0.12158632078026482</v>
      </c>
      <c r="Q198" s="31">
        <f t="shared" si="27"/>
        <v>42124.522648468097</v>
      </c>
      <c r="R198" s="47">
        <v>0</v>
      </c>
      <c r="S198" s="37">
        <f t="shared" si="23"/>
        <v>346457.74605349766</v>
      </c>
      <c r="T198" s="40">
        <f t="shared" si="28"/>
        <v>-1.6345016610858076E-3</v>
      </c>
    </row>
    <row r="199" spans="2:20" x14ac:dyDescent="0.35">
      <c r="B199" s="10" t="s">
        <v>190</v>
      </c>
      <c r="C199" s="19">
        <v>1.5100000000000001E-2</v>
      </c>
      <c r="D199" s="38">
        <f t="shared" si="20"/>
        <v>0.26830896113379149</v>
      </c>
      <c r="E199" s="32">
        <f t="shared" si="25"/>
        <v>91979.854876384023</v>
      </c>
      <c r="F199" s="47">
        <v>0</v>
      </c>
      <c r="G199" s="15">
        <v>-1.4800000000000001E-2</v>
      </c>
      <c r="H199" s="38">
        <f t="shared" si="21"/>
        <v>0.36828876965470919</v>
      </c>
      <c r="I199" s="32">
        <f t="shared" si="29"/>
        <v>126254.25346323202</v>
      </c>
      <c r="J199" s="47">
        <v>0</v>
      </c>
      <c r="K199" s="15">
        <v>-2.1499999999999998E-2</v>
      </c>
      <c r="L199" s="38">
        <f t="shared" si="22"/>
        <v>0.24424656276445336</v>
      </c>
      <c r="M199" s="32">
        <f t="shared" si="26"/>
        <v>83730.946973208076</v>
      </c>
      <c r="N199" s="47">
        <v>0</v>
      </c>
      <c r="O199" s="17">
        <v>-3.0300000000000001E-2</v>
      </c>
      <c r="P199" s="38">
        <f t="shared" si="24"/>
        <v>0.11915570644704598</v>
      </c>
      <c r="Q199" s="31">
        <f t="shared" si="27"/>
        <v>40848.149612219517</v>
      </c>
      <c r="R199" s="47">
        <v>0</v>
      </c>
      <c r="S199" s="37">
        <f t="shared" si="23"/>
        <v>342813.20492504362</v>
      </c>
      <c r="T199" s="40">
        <f t="shared" si="28"/>
        <v>-1.0519439007985909E-2</v>
      </c>
    </row>
    <row r="200" spans="2:20" x14ac:dyDescent="0.35">
      <c r="B200" s="11" t="s">
        <v>191</v>
      </c>
      <c r="C200" s="19">
        <v>2.0000000000000001E-4</v>
      </c>
      <c r="D200" s="38">
        <f t="shared" si="20"/>
        <v>0.26016213909831382</v>
      </c>
      <c r="E200" s="32">
        <f t="shared" si="25"/>
        <v>91998.250847359304</v>
      </c>
      <c r="F200" s="47">
        <v>0</v>
      </c>
      <c r="G200" s="20">
        <v>1.6400000000000001E-2</v>
      </c>
      <c r="H200" s="38">
        <f t="shared" si="21"/>
        <v>0.36289016585464789</v>
      </c>
      <c r="I200" s="32">
        <f t="shared" si="29"/>
        <v>128324.82322002902</v>
      </c>
      <c r="J200" s="47">
        <v>0</v>
      </c>
      <c r="K200" s="20">
        <v>8.6199999999999999E-2</v>
      </c>
      <c r="L200" s="38">
        <f t="shared" si="22"/>
        <v>0.2571936998290546</v>
      </c>
      <c r="M200" s="32">
        <f t="shared" si="26"/>
        <v>90948.554602298609</v>
      </c>
      <c r="N200" s="47">
        <v>0</v>
      </c>
      <c r="O200" s="19">
        <v>3.6700000000000003E-2</v>
      </c>
      <c r="P200" s="38">
        <f t="shared" si="24"/>
        <v>0.11975399521798381</v>
      </c>
      <c r="Q200" s="31">
        <f t="shared" si="27"/>
        <v>42347.276702987976</v>
      </c>
      <c r="R200" s="47">
        <v>0</v>
      </c>
      <c r="S200" s="37">
        <f t="shared" si="23"/>
        <v>353618.90537267487</v>
      </c>
      <c r="T200" s="40">
        <f t="shared" si="28"/>
        <v>3.1520665751466392E-2</v>
      </c>
    </row>
    <row r="201" spans="2:20" x14ac:dyDescent="0.35">
      <c r="B201" s="10" t="s">
        <v>192</v>
      </c>
      <c r="C201" s="19">
        <v>7.17E-2</v>
      </c>
      <c r="D201" s="38">
        <f t="shared" si="20"/>
        <v>0.27662887318322571</v>
      </c>
      <c r="E201" s="32">
        <f t="shared" si="25"/>
        <v>98594.525433114963</v>
      </c>
      <c r="F201" s="47">
        <v>0</v>
      </c>
      <c r="G201" s="15">
        <v>-5.7000000000000002E-3</v>
      </c>
      <c r="H201" s="38">
        <f t="shared" si="21"/>
        <v>0.35799158717609958</v>
      </c>
      <c r="I201" s="32">
        <f t="shared" si="29"/>
        <v>127593.37172767485</v>
      </c>
      <c r="J201" s="47">
        <v>0</v>
      </c>
      <c r="K201" s="15">
        <v>-1.34E-2</v>
      </c>
      <c r="L201" s="38">
        <f t="shared" si="22"/>
        <v>0.25175703741624283</v>
      </c>
      <c r="M201" s="32">
        <f t="shared" si="26"/>
        <v>89729.843970627815</v>
      </c>
      <c r="N201" s="47">
        <v>0</v>
      </c>
      <c r="O201" s="17">
        <v>-4.3700000000000003E-2</v>
      </c>
      <c r="P201" s="38">
        <f t="shared" si="24"/>
        <v>0.11362250222443188</v>
      </c>
      <c r="Q201" s="31">
        <f t="shared" si="27"/>
        <v>40496.700711067402</v>
      </c>
      <c r="R201" s="47">
        <v>0</v>
      </c>
      <c r="S201" s="37">
        <f t="shared" si="23"/>
        <v>356414.44184248504</v>
      </c>
      <c r="T201" s="40">
        <f t="shared" si="28"/>
        <v>7.9055062592425784E-3</v>
      </c>
    </row>
    <row r="202" spans="2:20" x14ac:dyDescent="0.35">
      <c r="B202" s="9" t="s">
        <v>193</v>
      </c>
      <c r="C202" s="17">
        <v>-2.64E-2</v>
      </c>
      <c r="D202" s="38">
        <f t="shared" si="20"/>
        <v>0.25600245044222641</v>
      </c>
      <c r="E202" s="32">
        <f t="shared" si="25"/>
        <v>95991.629961680723</v>
      </c>
      <c r="F202" s="47">
        <v>0</v>
      </c>
      <c r="G202" s="20">
        <v>0.1061</v>
      </c>
      <c r="H202" s="38">
        <f t="shared" si="21"/>
        <v>0.37638582796914294</v>
      </c>
      <c r="I202" s="32">
        <f t="shared" si="29"/>
        <v>141131.02846798114</v>
      </c>
      <c r="J202" s="47">
        <v>0</v>
      </c>
      <c r="K202" s="20">
        <v>5.3900000000000003E-2</v>
      </c>
      <c r="L202" s="38">
        <f t="shared" si="22"/>
        <v>0.25220115622998779</v>
      </c>
      <c r="M202" s="32">
        <f t="shared" si="26"/>
        <v>94566.282560644657</v>
      </c>
      <c r="N202" s="47">
        <v>0</v>
      </c>
      <c r="O202" s="19">
        <v>6.8599999999999994E-2</v>
      </c>
      <c r="P202" s="38">
        <f t="shared" si="24"/>
        <v>0.11541056535864289</v>
      </c>
      <c r="Q202" s="31">
        <f t="shared" si="27"/>
        <v>43274.774379846625</v>
      </c>
      <c r="R202" s="47">
        <v>0</v>
      </c>
      <c r="S202" s="37">
        <f t="shared" si="23"/>
        <v>374963.71537015314</v>
      </c>
      <c r="T202" s="40">
        <f t="shared" si="28"/>
        <v>5.2044113116678448E-2</v>
      </c>
    </row>
    <row r="203" spans="2:20" x14ac:dyDescent="0.35">
      <c r="B203" s="10" t="s">
        <v>194</v>
      </c>
      <c r="C203" s="17">
        <v>-7.3099999999999998E-2</v>
      </c>
      <c r="D203" s="38">
        <f t="shared" si="20"/>
        <v>0.239207172475665</v>
      </c>
      <c r="E203" s="32">
        <f t="shared" si="25"/>
        <v>88974.641811481866</v>
      </c>
      <c r="F203" s="47">
        <v>0</v>
      </c>
      <c r="G203" s="20">
        <v>5.4699999999999999E-2</v>
      </c>
      <c r="H203" s="38">
        <f t="shared" si="21"/>
        <v>0.4001837058510691</v>
      </c>
      <c r="I203" s="32">
        <f t="shared" si="29"/>
        <v>148850.89572517973</v>
      </c>
      <c r="J203" s="47">
        <v>0</v>
      </c>
      <c r="K203" s="15">
        <v>-3.15E-2</v>
      </c>
      <c r="L203" s="38">
        <f t="shared" si="22"/>
        <v>0.2462316591035616</v>
      </c>
      <c r="M203" s="32">
        <f t="shared" si="26"/>
        <v>91587.44465998435</v>
      </c>
      <c r="N203" s="47">
        <v>0</v>
      </c>
      <c r="O203" s="17">
        <v>-1.6899999999999998E-2</v>
      </c>
      <c r="P203" s="38">
        <f t="shared" si="24"/>
        <v>0.11437746256970438</v>
      </c>
      <c r="Q203" s="31">
        <f t="shared" si="27"/>
        <v>42543.43069282722</v>
      </c>
      <c r="R203" s="47">
        <v>0</v>
      </c>
      <c r="S203" s="37">
        <f t="shared" si="23"/>
        <v>371956.41288947314</v>
      </c>
      <c r="T203" s="40">
        <f t="shared" si="28"/>
        <v>-8.0202493132203179E-3</v>
      </c>
    </row>
    <row r="204" spans="2:20" x14ac:dyDescent="0.35">
      <c r="B204" s="11" t="s">
        <v>195</v>
      </c>
      <c r="C204" s="17">
        <v>-0.28899999999999998</v>
      </c>
      <c r="D204" s="38">
        <f t="shared" si="20"/>
        <v>0.17257290145467782</v>
      </c>
      <c r="E204" s="32">
        <f t="shared" si="25"/>
        <v>63260.970327963609</v>
      </c>
      <c r="F204" s="47">
        <v>0</v>
      </c>
      <c r="G204" s="20">
        <v>0.14990000000000001</v>
      </c>
      <c r="H204" s="38">
        <f t="shared" si="21"/>
        <v>0.46692623725346771</v>
      </c>
      <c r="I204" s="32">
        <f t="shared" si="29"/>
        <v>171163.64499438417</v>
      </c>
      <c r="J204" s="47">
        <v>0</v>
      </c>
      <c r="K204" s="20">
        <v>1.2800000000000001E-2</v>
      </c>
      <c r="L204" s="38">
        <f t="shared" si="22"/>
        <v>0.25304419961304581</v>
      </c>
      <c r="M204" s="32">
        <f t="shared" si="26"/>
        <v>92759.763951632151</v>
      </c>
      <c r="N204" s="47">
        <v>0</v>
      </c>
      <c r="O204" s="17">
        <v>-7.4099999999999999E-2</v>
      </c>
      <c r="P204" s="38">
        <f t="shared" si="24"/>
        <v>0.10745666167880877</v>
      </c>
      <c r="Q204" s="31">
        <f t="shared" si="27"/>
        <v>39390.96247848872</v>
      </c>
      <c r="R204" s="47">
        <v>0</v>
      </c>
      <c r="S204" s="37">
        <f t="shared" si="23"/>
        <v>366575.34175246861</v>
      </c>
      <c r="T204" s="40">
        <f t="shared" si="28"/>
        <v>-1.4466940078281532E-2</v>
      </c>
    </row>
    <row r="205" spans="2:20" x14ac:dyDescent="0.35">
      <c r="B205" s="10" t="s">
        <v>196</v>
      </c>
      <c r="C205" s="19">
        <v>7.5600000000000001E-2</v>
      </c>
      <c r="D205" s="38">
        <f t="shared" si="20"/>
        <v>0.16693361447549596</v>
      </c>
      <c r="E205" s="32">
        <f t="shared" si="25"/>
        <v>68043.499684757655</v>
      </c>
      <c r="F205" s="47">
        <v>0</v>
      </c>
      <c r="G205" s="20">
        <v>9.9000000000000005E-2</v>
      </c>
      <c r="H205" s="38">
        <f t="shared" si="21"/>
        <v>0.46149433374005361</v>
      </c>
      <c r="I205" s="32">
        <f t="shared" si="29"/>
        <v>188108.8458488282</v>
      </c>
      <c r="J205" s="47">
        <v>0</v>
      </c>
      <c r="K205" s="20">
        <v>0.1575</v>
      </c>
      <c r="L205" s="38">
        <f t="shared" si="22"/>
        <v>0.26341335437752794</v>
      </c>
      <c r="M205" s="32">
        <f t="shared" si="26"/>
        <v>107369.42677401421</v>
      </c>
      <c r="N205" s="47">
        <v>0</v>
      </c>
      <c r="O205" s="19">
        <v>0.1192</v>
      </c>
      <c r="P205" s="38">
        <f t="shared" si="24"/>
        <v>0.10815869740692252</v>
      </c>
      <c r="Q205" s="31">
        <f t="shared" si="27"/>
        <v>44086.365205924572</v>
      </c>
      <c r="R205" s="47">
        <v>0</v>
      </c>
      <c r="S205" s="37">
        <f t="shared" si="23"/>
        <v>407608.13751352462</v>
      </c>
      <c r="T205" s="40">
        <f t="shared" si="28"/>
        <v>0.1119355043492356</v>
      </c>
    </row>
    <row r="206" spans="2:20" x14ac:dyDescent="0.35">
      <c r="B206" s="11" t="s">
        <v>197</v>
      </c>
      <c r="C206" s="19">
        <v>0.11650000000000001</v>
      </c>
      <c r="D206" s="38">
        <f t="shared" si="20"/>
        <v>0.17640603483140999</v>
      </c>
      <c r="E206" s="32">
        <f t="shared" si="25"/>
        <v>75970.567398031926</v>
      </c>
      <c r="F206" s="47">
        <v>0</v>
      </c>
      <c r="G206" s="20">
        <v>3.9600000000000003E-2</v>
      </c>
      <c r="H206" s="38">
        <f t="shared" si="21"/>
        <v>0.45409169372702923</v>
      </c>
      <c r="I206" s="32">
        <f t="shared" si="29"/>
        <v>195557.95614444179</v>
      </c>
      <c r="J206" s="47">
        <v>0</v>
      </c>
      <c r="K206" s="20">
        <v>5.8900000000000001E-2</v>
      </c>
      <c r="L206" s="38">
        <f t="shared" si="22"/>
        <v>0.26399983230717722</v>
      </c>
      <c r="M206" s="32">
        <f t="shared" si="26"/>
        <v>113693.48601100364</v>
      </c>
      <c r="N206" s="47">
        <v>0</v>
      </c>
      <c r="O206" s="19">
        <v>3.0599999999999999E-2</v>
      </c>
      <c r="P206" s="38">
        <f t="shared" si="24"/>
        <v>0.10550243913438363</v>
      </c>
      <c r="Q206" s="31">
        <f t="shared" si="27"/>
        <v>45435.407981225864</v>
      </c>
      <c r="R206" s="47">
        <v>0</v>
      </c>
      <c r="S206" s="37">
        <f t="shared" si="23"/>
        <v>430657.41753470321</v>
      </c>
      <c r="T206" s="40">
        <f t="shared" si="28"/>
        <v>5.6547644415989584E-2</v>
      </c>
    </row>
    <row r="207" spans="2:20" x14ac:dyDescent="0.35">
      <c r="B207" s="10" t="s">
        <v>198</v>
      </c>
      <c r="C207" s="19">
        <v>5.7500000000000002E-2</v>
      </c>
      <c r="D207" s="38">
        <f t="shared" si="20"/>
        <v>0.18109151056821848</v>
      </c>
      <c r="E207" s="32">
        <f t="shared" si="25"/>
        <v>80338.875023418761</v>
      </c>
      <c r="F207" s="47">
        <v>0</v>
      </c>
      <c r="G207" s="20">
        <v>3.0200000000000001E-2</v>
      </c>
      <c r="H207" s="38">
        <f t="shared" si="21"/>
        <v>0.45411869432807922</v>
      </c>
      <c r="I207" s="32">
        <f t="shared" si="29"/>
        <v>201463.80642000394</v>
      </c>
      <c r="J207" s="47">
        <v>0</v>
      </c>
      <c r="K207" s="20">
        <v>1.8200000000000001E-2</v>
      </c>
      <c r="L207" s="38">
        <f t="shared" si="22"/>
        <v>0.26094021797835798</v>
      </c>
      <c r="M207" s="32">
        <f t="shared" si="26"/>
        <v>115762.70745640391</v>
      </c>
      <c r="N207" s="47">
        <v>0</v>
      </c>
      <c r="O207" s="19">
        <v>1.4E-2</v>
      </c>
      <c r="P207" s="38">
        <f t="shared" si="24"/>
        <v>0.10384957712534439</v>
      </c>
      <c r="Q207" s="31">
        <f t="shared" si="27"/>
        <v>46071.50369296303</v>
      </c>
      <c r="R207" s="47">
        <v>0</v>
      </c>
      <c r="S207" s="37">
        <f t="shared" si="23"/>
        <v>443636.89259278961</v>
      </c>
      <c r="T207" s="40">
        <f t="shared" si="28"/>
        <v>3.0138747249234266E-2</v>
      </c>
    </row>
    <row r="208" spans="2:20" x14ac:dyDescent="0.35">
      <c r="B208" s="11" t="s">
        <v>199</v>
      </c>
      <c r="C208" s="19">
        <v>7.9000000000000001E-2</v>
      </c>
      <c r="D208" s="38">
        <f t="shared" si="20"/>
        <v>0.18778155345144715</v>
      </c>
      <c r="E208" s="32">
        <f t="shared" si="25"/>
        <v>86685.646150268847</v>
      </c>
      <c r="F208" s="47">
        <v>0</v>
      </c>
      <c r="G208" s="20">
        <v>5.6899999999999999E-2</v>
      </c>
      <c r="H208" s="38">
        <f t="shared" si="21"/>
        <v>0.46125030871029177</v>
      </c>
      <c r="I208" s="32">
        <f t="shared" si="29"/>
        <v>212927.09700530217</v>
      </c>
      <c r="J208" s="47">
        <v>0</v>
      </c>
      <c r="K208" s="20">
        <v>6.1999999999999998E-3</v>
      </c>
      <c r="L208" s="38">
        <f t="shared" si="22"/>
        <v>0.2523240955766487</v>
      </c>
      <c r="M208" s="32">
        <f t="shared" si="26"/>
        <v>116480.43624263362</v>
      </c>
      <c r="N208" s="47">
        <v>0</v>
      </c>
      <c r="O208" s="17">
        <v>-1.1599999999999999E-2</v>
      </c>
      <c r="P208" s="38">
        <f t="shared" si="24"/>
        <v>9.8644042261612427E-2</v>
      </c>
      <c r="Q208" s="31">
        <f t="shared" si="27"/>
        <v>45537.074250124657</v>
      </c>
      <c r="R208" s="47">
        <v>0</v>
      </c>
      <c r="S208" s="37">
        <f t="shared" si="23"/>
        <v>461630.25364832929</v>
      </c>
      <c r="T208" s="40">
        <f t="shared" si="28"/>
        <v>4.0558757298968962E-2</v>
      </c>
    </row>
    <row r="209" spans="2:20" x14ac:dyDescent="0.35">
      <c r="B209" s="10" t="s">
        <v>200</v>
      </c>
      <c r="C209" s="17">
        <v>-4.1700000000000001E-2</v>
      </c>
      <c r="D209" s="38">
        <f t="shared" si="20"/>
        <v>0.17198462275192578</v>
      </c>
      <c r="E209" s="32">
        <f t="shared" si="25"/>
        <v>83070.854705802631</v>
      </c>
      <c r="F209" s="47">
        <v>0</v>
      </c>
      <c r="G209" s="20">
        <v>4.1599999999999998E-2</v>
      </c>
      <c r="H209" s="38">
        <f t="shared" si="21"/>
        <v>0.4591693000344606</v>
      </c>
      <c r="I209" s="32">
        <f t="shared" si="29"/>
        <v>221784.86424072273</v>
      </c>
      <c r="J209" s="47">
        <v>0</v>
      </c>
      <c r="K209" s="20">
        <v>0.11890000000000001</v>
      </c>
      <c r="L209" s="38">
        <f t="shared" si="22"/>
        <v>0.26982687372723013</v>
      </c>
      <c r="M209" s="32">
        <f t="shared" si="26"/>
        <v>130329.96011188276</v>
      </c>
      <c r="N209" s="47">
        <v>0</v>
      </c>
      <c r="O209" s="19">
        <v>5.0299999999999997E-2</v>
      </c>
      <c r="P209" s="38">
        <f t="shared" si="24"/>
        <v>9.9019203486383489E-2</v>
      </c>
      <c r="Q209" s="31">
        <f t="shared" si="27"/>
        <v>47827.589084905929</v>
      </c>
      <c r="R209" s="47">
        <v>0</v>
      </c>
      <c r="S209" s="37">
        <f t="shared" si="23"/>
        <v>483013.26814331405</v>
      </c>
      <c r="T209" s="40">
        <f t="shared" si="28"/>
        <v>4.632065235324534E-2</v>
      </c>
    </row>
    <row r="210" spans="2:20" x14ac:dyDescent="0.35">
      <c r="B210" s="11" t="s">
        <v>201</v>
      </c>
      <c r="C210" s="17">
        <v>-3.0499999999999999E-2</v>
      </c>
      <c r="D210" s="38">
        <f t="shared" si="20"/>
        <v>0.16713705946380258</v>
      </c>
      <c r="E210" s="32">
        <f t="shared" si="25"/>
        <v>80537.193637275646</v>
      </c>
      <c r="F210" s="47">
        <v>0</v>
      </c>
      <c r="G210" s="20">
        <v>1.6999999999999999E-3</v>
      </c>
      <c r="H210" s="38">
        <f t="shared" si="21"/>
        <v>0.461047682007384</v>
      </c>
      <c r="I210" s="32">
        <f t="shared" si="29"/>
        <v>222161.89850993195</v>
      </c>
      <c r="J210" s="47">
        <v>0</v>
      </c>
      <c r="K210" s="20">
        <v>4.1999999999999997E-3</v>
      </c>
      <c r="L210" s="38">
        <f t="shared" si="22"/>
        <v>0.27160686589210392</v>
      </c>
      <c r="M210" s="32">
        <f t="shared" si="26"/>
        <v>130877.34594435267</v>
      </c>
      <c r="N210" s="47">
        <v>0</v>
      </c>
      <c r="O210" s="19">
        <v>9.5999999999999992E-3</v>
      </c>
      <c r="P210" s="38">
        <f t="shared" si="24"/>
        <v>0.10020839263670953</v>
      </c>
      <c r="Q210" s="31">
        <f t="shared" si="27"/>
        <v>48286.733940121027</v>
      </c>
      <c r="R210" s="47">
        <v>0</v>
      </c>
      <c r="S210" s="37">
        <f t="shared" si="23"/>
        <v>481863.17203168129</v>
      </c>
      <c r="T210" s="40">
        <f t="shared" si="28"/>
        <v>-2.3810859607515944E-3</v>
      </c>
    </row>
    <row r="211" spans="2:20" x14ac:dyDescent="0.35">
      <c r="B211" s="10" t="s">
        <v>202</v>
      </c>
      <c r="C211" s="17">
        <v>-3.5999999999999999E-3</v>
      </c>
      <c r="D211" s="38">
        <f t="shared" si="20"/>
        <v>0.16513309132180401</v>
      </c>
      <c r="E211" s="32">
        <f t="shared" si="25"/>
        <v>80247.259740181456</v>
      </c>
      <c r="F211" s="47">
        <v>0</v>
      </c>
      <c r="G211" s="20">
        <v>2.2100000000000002E-2</v>
      </c>
      <c r="H211" s="38">
        <f t="shared" si="21"/>
        <v>0.46726888878231609</v>
      </c>
      <c r="I211" s="32">
        <f t="shared" si="29"/>
        <v>227071.67646700144</v>
      </c>
      <c r="J211" s="47">
        <v>0</v>
      </c>
      <c r="K211" s="15">
        <v>-2.3E-3</v>
      </c>
      <c r="L211" s="38">
        <f t="shared" si="22"/>
        <v>0.26870042383929338</v>
      </c>
      <c r="M211" s="32">
        <f t="shared" si="26"/>
        <v>130576.32804868066</v>
      </c>
      <c r="N211" s="47">
        <v>0</v>
      </c>
      <c r="O211" s="17">
        <v>-4.7000000000000002E-3</v>
      </c>
      <c r="P211" s="38">
        <f t="shared" si="24"/>
        <v>9.8897596056586476E-2</v>
      </c>
      <c r="Q211" s="31">
        <f t="shared" si="27"/>
        <v>48059.78629060246</v>
      </c>
      <c r="R211" s="47">
        <v>0</v>
      </c>
      <c r="S211" s="37">
        <f t="shared" si="23"/>
        <v>485955.05054646602</v>
      </c>
      <c r="T211" s="40">
        <f t="shared" si="28"/>
        <v>8.4917851213490714E-3</v>
      </c>
    </row>
    <row r="212" spans="2:20" x14ac:dyDescent="0.35">
      <c r="B212" s="11" t="s">
        <v>203</v>
      </c>
      <c r="C212" s="19">
        <v>0.1447</v>
      </c>
      <c r="D212" s="38">
        <f t="shared" si="20"/>
        <v>0.19420410437857583</v>
      </c>
      <c r="E212" s="32">
        <f t="shared" si="25"/>
        <v>91859.038224585718</v>
      </c>
      <c r="F212" s="47">
        <v>0</v>
      </c>
      <c r="G212" s="15">
        <v>-0.12509999999999999</v>
      </c>
      <c r="H212" s="38">
        <f t="shared" si="21"/>
        <v>0.42000831963622465</v>
      </c>
      <c r="I212" s="32">
        <f t="shared" si="29"/>
        <v>198665.00974097956</v>
      </c>
      <c r="J212" s="47">
        <v>0</v>
      </c>
      <c r="K212" s="20">
        <v>2.4199999999999999E-2</v>
      </c>
      <c r="L212" s="38">
        <f t="shared" si="22"/>
        <v>0.28273901020178366</v>
      </c>
      <c r="M212" s="32">
        <f t="shared" si="26"/>
        <v>133736.27518745873</v>
      </c>
      <c r="N212" s="47">
        <v>0</v>
      </c>
      <c r="O212" s="19">
        <v>1.4200000000000001E-2</v>
      </c>
      <c r="P212" s="38">
        <f t="shared" si="24"/>
        <v>0.1030485657834159</v>
      </c>
      <c r="Q212" s="31">
        <f t="shared" si="27"/>
        <v>48742.235255929016</v>
      </c>
      <c r="R212" s="47">
        <v>0</v>
      </c>
      <c r="S212" s="37">
        <f t="shared" si="23"/>
        <v>473002.55840895302</v>
      </c>
      <c r="T212" s="40">
        <f t="shared" si="28"/>
        <v>-2.6653683551488339E-2</v>
      </c>
    </row>
    <row r="213" spans="2:20" x14ac:dyDescent="0.35">
      <c r="B213" s="10" t="s">
        <v>204</v>
      </c>
      <c r="C213" s="19">
        <v>8.43E-2</v>
      </c>
      <c r="D213" s="38">
        <f t="shared" si="20"/>
        <v>0.20376001341787395</v>
      </c>
      <c r="E213" s="32">
        <f t="shared" si="25"/>
        <v>99602.755146918294</v>
      </c>
      <c r="F213" s="47">
        <v>0</v>
      </c>
      <c r="G213" s="20">
        <v>3.8899999999999997E-2</v>
      </c>
      <c r="H213" s="38">
        <f t="shared" si="21"/>
        <v>0.42222382711116246</v>
      </c>
      <c r="I213" s="32">
        <f t="shared" si="29"/>
        <v>206393.07861990365</v>
      </c>
      <c r="J213" s="47">
        <v>0</v>
      </c>
      <c r="K213" s="20">
        <v>8.6999999999999994E-3</v>
      </c>
      <c r="L213" s="38">
        <f t="shared" si="22"/>
        <v>0.27596808041685389</v>
      </c>
      <c r="M213" s="32">
        <f t="shared" si="26"/>
        <v>134899.78078158962</v>
      </c>
      <c r="N213" s="47">
        <v>0</v>
      </c>
      <c r="O213" s="17">
        <v>-1.67E-2</v>
      </c>
      <c r="P213" s="38">
        <f t="shared" si="24"/>
        <v>9.8048079054109782E-2</v>
      </c>
      <c r="Q213" s="31">
        <f t="shared" si="27"/>
        <v>47928.239927155002</v>
      </c>
      <c r="R213" s="47">
        <v>0</v>
      </c>
      <c r="S213" s="37">
        <f t="shared" si="23"/>
        <v>488823.85447556654</v>
      </c>
      <c r="T213" s="40">
        <f t="shared" si="28"/>
        <v>3.3448647973135515E-2</v>
      </c>
    </row>
    <row r="214" spans="2:20" x14ac:dyDescent="0.35">
      <c r="B214" s="9" t="s">
        <v>205</v>
      </c>
      <c r="C214" s="17">
        <v>-3.4099999999999998E-2</v>
      </c>
      <c r="D214" s="38">
        <f t="shared" si="20"/>
        <v>0.19379525969783848</v>
      </c>
      <c r="E214" s="32">
        <f t="shared" si="25"/>
        <v>96206.301196408385</v>
      </c>
      <c r="F214" s="47">
        <v>0</v>
      </c>
      <c r="G214" s="20">
        <v>1.9E-2</v>
      </c>
      <c r="H214" s="38">
        <f t="shared" si="21"/>
        <v>0.42365169192941438</v>
      </c>
      <c r="I214" s="32">
        <f t="shared" si="29"/>
        <v>210314.54711368182</v>
      </c>
      <c r="J214" s="47">
        <v>0</v>
      </c>
      <c r="K214" s="20">
        <v>3.56E-2</v>
      </c>
      <c r="L214" s="38">
        <f t="shared" si="22"/>
        <v>0.28141219761737868</v>
      </c>
      <c r="M214" s="32">
        <f t="shared" si="26"/>
        <v>139702.21297741422</v>
      </c>
      <c r="N214" s="47">
        <v>0</v>
      </c>
      <c r="O214" s="19">
        <v>4.7600000000000003E-2</v>
      </c>
      <c r="P214" s="38">
        <f t="shared" si="24"/>
        <v>0.10114085075536856</v>
      </c>
      <c r="Q214" s="31">
        <f t="shared" si="27"/>
        <v>50209.62414768758</v>
      </c>
      <c r="R214" s="47">
        <v>0</v>
      </c>
      <c r="S214" s="37">
        <f t="shared" si="23"/>
        <v>496432.68543519196</v>
      </c>
      <c r="T214" s="40">
        <f t="shared" si="28"/>
        <v>1.5565588483378301E-2</v>
      </c>
    </row>
    <row r="215" spans="2:20" x14ac:dyDescent="0.35">
      <c r="B215" s="10" t="s">
        <v>206</v>
      </c>
      <c r="C215" s="17">
        <v>-5.1799999999999999E-2</v>
      </c>
      <c r="D215" s="38">
        <f t="shared" si="20"/>
        <v>0.18610272817242221</v>
      </c>
      <c r="E215" s="32">
        <f t="shared" si="25"/>
        <v>91222.814794434438</v>
      </c>
      <c r="F215" s="47">
        <v>0</v>
      </c>
      <c r="G215" s="15">
        <v>-4.6600000000000003E-2</v>
      </c>
      <c r="H215" s="38">
        <f t="shared" si="21"/>
        <v>0.40906632736620629</v>
      </c>
      <c r="I215" s="32">
        <f t="shared" si="29"/>
        <v>200513.88921818425</v>
      </c>
      <c r="J215" s="47">
        <v>0</v>
      </c>
      <c r="K215" s="20">
        <v>4.2700000000000002E-2</v>
      </c>
      <c r="L215" s="38">
        <f t="shared" si="22"/>
        <v>0.29717476649447544</v>
      </c>
      <c r="M215" s="32">
        <f t="shared" si="26"/>
        <v>145667.49747154981</v>
      </c>
      <c r="N215" s="47">
        <v>0</v>
      </c>
      <c r="O215" s="19">
        <v>5.0999999999999997E-2</v>
      </c>
      <c r="P215" s="38">
        <f t="shared" si="24"/>
        <v>0.10765617796689586</v>
      </c>
      <c r="Q215" s="31">
        <f t="shared" si="27"/>
        <v>52770.314979219649</v>
      </c>
      <c r="R215" s="47">
        <v>0</v>
      </c>
      <c r="S215" s="37">
        <f t="shared" si="23"/>
        <v>490174.51646338822</v>
      </c>
      <c r="T215" s="40">
        <f t="shared" si="28"/>
        <v>-1.2606279069472648E-2</v>
      </c>
    </row>
    <row r="216" spans="2:20" x14ac:dyDescent="0.35">
      <c r="B216" s="11" t="s">
        <v>207</v>
      </c>
      <c r="C216" s="19">
        <v>9.4399999999999998E-2</v>
      </c>
      <c r="D216" s="38">
        <f t="shared" si="20"/>
        <v>0.19119959292606123</v>
      </c>
      <c r="E216" s="32">
        <f t="shared" si="25"/>
        <v>99834.248511029044</v>
      </c>
      <c r="F216" s="47">
        <v>0</v>
      </c>
      <c r="G216" s="20">
        <v>2.86E-2</v>
      </c>
      <c r="H216" s="38">
        <f t="shared" si="21"/>
        <v>0.39500117804187684</v>
      </c>
      <c r="I216" s="32">
        <f t="shared" si="29"/>
        <v>206248.58644982433</v>
      </c>
      <c r="J216" s="47">
        <v>0</v>
      </c>
      <c r="K216" s="20">
        <v>8.7999999999999995E-2</v>
      </c>
      <c r="L216" s="38">
        <f t="shared" si="22"/>
        <v>0.30352814288027785</v>
      </c>
      <c r="M216" s="32">
        <f t="shared" si="26"/>
        <v>158486.23724904619</v>
      </c>
      <c r="N216" s="47">
        <v>0</v>
      </c>
      <c r="O216" s="19">
        <v>9.11E-2</v>
      </c>
      <c r="P216" s="38">
        <f t="shared" si="24"/>
        <v>0.11027108615178413</v>
      </c>
      <c r="Q216" s="31">
        <f t="shared" si="27"/>
        <v>57577.690673826561</v>
      </c>
      <c r="R216" s="47">
        <v>0</v>
      </c>
      <c r="S216" s="37">
        <f t="shared" si="23"/>
        <v>522146.7628837261</v>
      </c>
      <c r="T216" s="40">
        <f t="shared" si="28"/>
        <v>6.5226251766447918E-2</v>
      </c>
    </row>
    <row r="217" spans="2:20" x14ac:dyDescent="0.35">
      <c r="B217" s="10" t="s">
        <v>208</v>
      </c>
      <c r="C217" s="17">
        <v>-1.7100000000000001E-2</v>
      </c>
      <c r="D217" s="38">
        <f t="shared" si="20"/>
        <v>0.19343177905682393</v>
      </c>
      <c r="E217" s="32">
        <f t="shared" si="25"/>
        <v>98127.082861490446</v>
      </c>
      <c r="F217" s="47">
        <v>0</v>
      </c>
      <c r="G217" s="16">
        <v>-4.2200000000000001E-2</v>
      </c>
      <c r="H217" s="38">
        <f t="shared" si="21"/>
        <v>0.38940789415367338</v>
      </c>
      <c r="I217" s="32">
        <f t="shared" si="29"/>
        <v>197544.89610164176</v>
      </c>
      <c r="J217" s="47">
        <v>0</v>
      </c>
      <c r="K217" s="16">
        <v>-2.7E-2</v>
      </c>
      <c r="L217" s="38">
        <f t="shared" si="22"/>
        <v>0.3039788255896389</v>
      </c>
      <c r="M217" s="32">
        <f t="shared" si="26"/>
        <v>154207.10884332194</v>
      </c>
      <c r="N217" s="47">
        <v>0</v>
      </c>
      <c r="O217" s="17">
        <v>-2.8E-3</v>
      </c>
      <c r="P217" s="38">
        <f t="shared" si="24"/>
        <v>0.11318150119986374</v>
      </c>
      <c r="Q217" s="31">
        <f t="shared" si="27"/>
        <v>57416.473139939844</v>
      </c>
      <c r="R217" s="47">
        <v>0</v>
      </c>
      <c r="S217" s="37">
        <f t="shared" si="23"/>
        <v>507295.56094639399</v>
      </c>
      <c r="T217" s="40">
        <f t="shared" si="28"/>
        <v>-2.8442581651395238E-2</v>
      </c>
    </row>
    <row r="218" spans="2:20" x14ac:dyDescent="0.35">
      <c r="B218" s="11" t="s">
        <v>209</v>
      </c>
      <c r="C218" s="19">
        <v>7.4200000000000002E-2</v>
      </c>
      <c r="D218" s="38">
        <f t="shared" si="20"/>
        <v>0.20152484076071039</v>
      </c>
      <c r="E218" s="32">
        <f t="shared" si="25"/>
        <v>105408.11240981304</v>
      </c>
      <c r="F218" s="47">
        <v>0</v>
      </c>
      <c r="G218" s="18">
        <v>5.6000000000000001E-2</v>
      </c>
      <c r="H218" s="38">
        <f t="shared" si="21"/>
        <v>0.39882675230354758</v>
      </c>
      <c r="I218" s="32">
        <f t="shared" si="29"/>
        <v>208607.41028333371</v>
      </c>
      <c r="J218" s="47">
        <v>0</v>
      </c>
      <c r="K218" s="16">
        <v>-1.29E-2</v>
      </c>
      <c r="L218" s="38">
        <f t="shared" si="22"/>
        <v>0.29101816443845113</v>
      </c>
      <c r="M218" s="32">
        <f t="shared" si="26"/>
        <v>152217.83713924309</v>
      </c>
      <c r="N218" s="47">
        <v>0</v>
      </c>
      <c r="O218" s="17">
        <v>-1.04E-2</v>
      </c>
      <c r="P218" s="38">
        <f t="shared" si="24"/>
        <v>0.10863024249729078</v>
      </c>
      <c r="Q218" s="31">
        <f t="shared" si="27"/>
        <v>56819.341819284469</v>
      </c>
      <c r="R218" s="47">
        <v>0</v>
      </c>
      <c r="S218" s="37">
        <f t="shared" si="23"/>
        <v>523052.70165167435</v>
      </c>
      <c r="T218" s="40">
        <f t="shared" si="28"/>
        <v>3.1061065616037276E-2</v>
      </c>
    </row>
    <row r="219" spans="2:20" x14ac:dyDescent="0.35">
      <c r="B219" s="10" t="s">
        <v>210</v>
      </c>
      <c r="C219" s="17">
        <v>-1.47E-2</v>
      </c>
      <c r="D219" s="38">
        <f t="shared" si="20"/>
        <v>0.21225833308219097</v>
      </c>
      <c r="E219" s="32">
        <f t="shared" si="25"/>
        <v>103858.61315738878</v>
      </c>
      <c r="F219" s="47">
        <v>0</v>
      </c>
      <c r="G219" s="17">
        <v>-0.1202</v>
      </c>
      <c r="H219" s="38">
        <f t="shared" si="21"/>
        <v>0.37509037447884136</v>
      </c>
      <c r="I219" s="32">
        <f t="shared" si="29"/>
        <v>183532.79956727699</v>
      </c>
      <c r="J219" s="47">
        <v>0</v>
      </c>
      <c r="K219" s="16">
        <v>-3.3300000000000003E-2</v>
      </c>
      <c r="L219" s="38">
        <f t="shared" si="22"/>
        <v>0.30073189821513546</v>
      </c>
      <c r="M219" s="32">
        <f t="shared" si="26"/>
        <v>147148.98316250628</v>
      </c>
      <c r="N219" s="47">
        <v>0</v>
      </c>
      <c r="O219" s="17">
        <v>-3.6200000000000003E-2</v>
      </c>
      <c r="P219" s="38">
        <f t="shared" si="24"/>
        <v>0.11191939422383219</v>
      </c>
      <c r="Q219" s="31">
        <f t="shared" si="27"/>
        <v>54762.481645426371</v>
      </c>
      <c r="R219" s="47">
        <v>0</v>
      </c>
      <c r="S219" s="37">
        <f t="shared" si="23"/>
        <v>489302.87753259845</v>
      </c>
      <c r="T219" s="40">
        <f t="shared" si="28"/>
        <v>-6.4524710440271305E-2</v>
      </c>
    </row>
    <row r="220" spans="2:20" x14ac:dyDescent="0.35">
      <c r="B220" s="11" t="s">
        <v>211</v>
      </c>
      <c r="C220" s="17">
        <v>-5.3999999999999999E-2</v>
      </c>
      <c r="D220" s="38">
        <f t="shared" si="20"/>
        <v>0.19489737193993281</v>
      </c>
      <c r="E220" s="32">
        <f t="shared" si="25"/>
        <v>98250.248046889785</v>
      </c>
      <c r="F220" s="47">
        <v>0</v>
      </c>
      <c r="G220" s="18">
        <v>5.0999999999999997E-2</v>
      </c>
      <c r="H220" s="38">
        <f t="shared" si="21"/>
        <v>0.38263855942451525</v>
      </c>
      <c r="I220" s="32">
        <f t="shared" si="29"/>
        <v>192892.97234520811</v>
      </c>
      <c r="J220" s="47">
        <v>0</v>
      </c>
      <c r="K220" s="20">
        <v>4.8800000000000003E-2</v>
      </c>
      <c r="L220" s="38">
        <f t="shared" si="22"/>
        <v>0.30614154635649243</v>
      </c>
      <c r="M220" s="32">
        <f t="shared" si="26"/>
        <v>154329.8535408366</v>
      </c>
      <c r="N220" s="47">
        <v>0</v>
      </c>
      <c r="O220" s="19">
        <v>7.0800000000000002E-2</v>
      </c>
      <c r="P220" s="38">
        <f t="shared" si="24"/>
        <v>0.11632252227905948</v>
      </c>
      <c r="Q220" s="31">
        <f t="shared" si="27"/>
        <v>58639.665345922556</v>
      </c>
      <c r="R220" s="47">
        <v>0</v>
      </c>
      <c r="S220" s="37">
        <f t="shared" si="23"/>
        <v>504112.73927885707</v>
      </c>
      <c r="T220" s="40">
        <f t="shared" si="28"/>
        <v>3.0267268855928453E-2</v>
      </c>
    </row>
    <row r="221" spans="2:20" x14ac:dyDescent="0.35">
      <c r="B221" s="10" t="s">
        <v>212</v>
      </c>
      <c r="C221" s="17">
        <v>-7.0000000000000001E-3</v>
      </c>
      <c r="D221" s="38">
        <f t="shared" si="20"/>
        <v>0.18856136424927897</v>
      </c>
      <c r="E221" s="32">
        <f t="shared" si="25"/>
        <v>97562.496310561561</v>
      </c>
      <c r="F221" s="47">
        <v>0</v>
      </c>
      <c r="G221" s="18">
        <v>1.9800000000000002E-2</v>
      </c>
      <c r="H221" s="38">
        <f t="shared" si="21"/>
        <v>0.38019046488339797</v>
      </c>
      <c r="I221" s="32">
        <f t="shared" si="29"/>
        <v>196712.25319764324</v>
      </c>
      <c r="J221" s="47">
        <v>0</v>
      </c>
      <c r="K221" s="20">
        <v>4.9799999999999997E-2</v>
      </c>
      <c r="L221" s="38">
        <f t="shared" si="22"/>
        <v>0.31313118401216411</v>
      </c>
      <c r="M221" s="32">
        <f t="shared" si="26"/>
        <v>162015.48024717026</v>
      </c>
      <c r="N221" s="47">
        <v>0</v>
      </c>
      <c r="O221" s="19">
        <v>4.2200000000000001E-2</v>
      </c>
      <c r="P221" s="38">
        <f t="shared" si="24"/>
        <v>0.11811698685515906</v>
      </c>
      <c r="Q221" s="31">
        <f t="shared" si="27"/>
        <v>61114.259223520487</v>
      </c>
      <c r="R221" s="47">
        <v>0</v>
      </c>
      <c r="S221" s="37">
        <f t="shared" si="23"/>
        <v>517404.48897889548</v>
      </c>
      <c r="T221" s="40">
        <f t="shared" si="28"/>
        <v>2.6366621321755268E-2</v>
      </c>
    </row>
    <row r="222" spans="2:20" x14ac:dyDescent="0.35">
      <c r="B222" s="11" t="s">
        <v>213</v>
      </c>
      <c r="C222" s="17">
        <v>-7.7899999999999997E-2</v>
      </c>
      <c r="D222" s="38">
        <f t="shared" si="20"/>
        <v>0.17638709396074706</v>
      </c>
      <c r="E222" s="32">
        <f t="shared" si="25"/>
        <v>89962.377847968819</v>
      </c>
      <c r="F222" s="47">
        <v>0</v>
      </c>
      <c r="G222" s="18">
        <v>1.18E-2</v>
      </c>
      <c r="H222" s="38">
        <f t="shared" si="21"/>
        <v>0.39024016549507029</v>
      </c>
      <c r="I222" s="32">
        <f t="shared" si="29"/>
        <v>199033.45778537542</v>
      </c>
      <c r="J222" s="47">
        <v>0</v>
      </c>
      <c r="K222" s="16">
        <v>-5.1000000000000004E-3</v>
      </c>
      <c r="L222" s="38">
        <f t="shared" si="22"/>
        <v>0.31603983214894649</v>
      </c>
      <c r="M222" s="32">
        <f t="shared" si="26"/>
        <v>161189.20129790969</v>
      </c>
      <c r="N222" s="47">
        <v>0</v>
      </c>
      <c r="O222" s="17">
        <v>-2.0799999999999999E-2</v>
      </c>
      <c r="P222" s="38">
        <f t="shared" si="24"/>
        <v>0.11733290839523618</v>
      </c>
      <c r="Q222" s="31">
        <f t="shared" si="27"/>
        <v>59843.082631671263</v>
      </c>
      <c r="R222" s="47">
        <v>0</v>
      </c>
      <c r="S222" s="37">
        <f t="shared" si="23"/>
        <v>510028.11956292519</v>
      </c>
      <c r="T222" s="40">
        <f t="shared" si="28"/>
        <v>-1.4256485154443999E-2</v>
      </c>
    </row>
    <row r="223" spans="2:20" x14ac:dyDescent="0.35">
      <c r="B223" s="10" t="s">
        <v>214</v>
      </c>
      <c r="C223" s="17">
        <v>-4.8599999999999997E-2</v>
      </c>
      <c r="D223" s="38">
        <f t="shared" si="20"/>
        <v>0.15769739834892341</v>
      </c>
      <c r="E223" s="32">
        <f t="shared" si="25"/>
        <v>85590.206284557527</v>
      </c>
      <c r="F223" s="47">
        <v>0</v>
      </c>
      <c r="G223" s="18">
        <v>5.8299999999999998E-2</v>
      </c>
      <c r="H223" s="38">
        <f t="shared" si="21"/>
        <v>0.38809258007775804</v>
      </c>
      <c r="I223" s="32">
        <f t="shared" si="29"/>
        <v>210637.10837426281</v>
      </c>
      <c r="J223" s="47">
        <v>0</v>
      </c>
      <c r="K223" s="20">
        <v>0.1147</v>
      </c>
      <c r="L223" s="38">
        <f t="shared" si="22"/>
        <v>0.33105061566359334</v>
      </c>
      <c r="M223" s="32">
        <f t="shared" si="26"/>
        <v>179677.60268677992</v>
      </c>
      <c r="N223" s="47">
        <v>0</v>
      </c>
      <c r="O223" s="19">
        <v>0.11700000000000001</v>
      </c>
      <c r="P223" s="38">
        <f t="shared" si="24"/>
        <v>0.1231594059097251</v>
      </c>
      <c r="Q223" s="31">
        <f t="shared" si="27"/>
        <v>66844.723299576799</v>
      </c>
      <c r="R223" s="47">
        <v>0</v>
      </c>
      <c r="S223" s="37">
        <f t="shared" si="23"/>
        <v>542749.6406451771</v>
      </c>
      <c r="T223" s="40">
        <f t="shared" si="28"/>
        <v>6.415630791159721E-2</v>
      </c>
    </row>
    <row r="224" spans="2:20" x14ac:dyDescent="0.35">
      <c r="B224" s="11" t="s">
        <v>215</v>
      </c>
      <c r="C224" s="17">
        <v>-1.9400000000000001E-2</v>
      </c>
      <c r="D224" s="38">
        <f t="shared" si="20"/>
        <v>0.15734470170190448</v>
      </c>
      <c r="E224" s="32">
        <f t="shared" si="25"/>
        <v>83929.756282637114</v>
      </c>
      <c r="F224" s="47">
        <v>0</v>
      </c>
      <c r="G224" s="17">
        <v>-1.3100000000000001E-2</v>
      </c>
      <c r="H224" s="38">
        <f t="shared" si="21"/>
        <v>0.38971237307369244</v>
      </c>
      <c r="I224" s="32">
        <f t="shared" si="29"/>
        <v>207877.76225455996</v>
      </c>
      <c r="J224" s="47">
        <v>0</v>
      </c>
      <c r="K224" s="16">
        <v>-1.6500000000000001E-2</v>
      </c>
      <c r="L224" s="38">
        <f t="shared" si="22"/>
        <v>0.3312870579949716</v>
      </c>
      <c r="M224" s="32">
        <f t="shared" si="26"/>
        <v>176712.92224244805</v>
      </c>
      <c r="N224" s="47">
        <v>0</v>
      </c>
      <c r="O224" s="17">
        <v>-2.92E-2</v>
      </c>
      <c r="P224" s="38">
        <f t="shared" si="24"/>
        <v>0.12165586722943149</v>
      </c>
      <c r="Q224" s="31">
        <f t="shared" si="27"/>
        <v>64892.857379229157</v>
      </c>
      <c r="R224" s="47">
        <v>0</v>
      </c>
      <c r="S224" s="37">
        <f t="shared" si="23"/>
        <v>533413.29815887427</v>
      </c>
      <c r="T224" s="40">
        <f t="shared" si="28"/>
        <v>-1.7201932138001141E-2</v>
      </c>
    </row>
    <row r="225" spans="2:20" x14ac:dyDescent="0.35">
      <c r="B225" s="10" t="s">
        <v>216</v>
      </c>
      <c r="C225" s="17">
        <v>-3.6600000000000001E-2</v>
      </c>
      <c r="D225" s="38">
        <f t="shared" ref="D225:D278" si="30">E225/S225</f>
        <v>0.14761133006341398</v>
      </c>
      <c r="E225" s="32">
        <f t="shared" si="25"/>
        <v>80857.92720269259</v>
      </c>
      <c r="F225" s="47">
        <v>0</v>
      </c>
      <c r="G225" s="18">
        <v>2.5899999999999999E-2</v>
      </c>
      <c r="H225" s="38">
        <f t="shared" ref="H225:H278" si="31">I225/S225</f>
        <v>0.38932308175787378</v>
      </c>
      <c r="I225" s="32">
        <f t="shared" si="29"/>
        <v>213261.79629695305</v>
      </c>
      <c r="J225" s="47">
        <v>0</v>
      </c>
      <c r="K225" s="20">
        <v>3.8300000000000001E-2</v>
      </c>
      <c r="L225" s="38">
        <f t="shared" ref="L225:L278" si="32">M225/S225</f>
        <v>0.33495637840474851</v>
      </c>
      <c r="M225" s="32">
        <f t="shared" si="26"/>
        <v>183481.02716433382</v>
      </c>
      <c r="N225" s="47">
        <v>0</v>
      </c>
      <c r="O225" s="19">
        <v>8.14E-2</v>
      </c>
      <c r="P225" s="38">
        <f t="shared" si="24"/>
        <v>0.1281092097739637</v>
      </c>
      <c r="Q225" s="31">
        <f t="shared" si="27"/>
        <v>70175.135969898416</v>
      </c>
      <c r="R225" s="47">
        <v>0</v>
      </c>
      <c r="S225" s="37">
        <f t="shared" ref="S225:S278" si="33">Q225+E225+M225+I225</f>
        <v>547775.88663387788</v>
      </c>
      <c r="T225" s="40">
        <f t="shared" si="28"/>
        <v>2.6925816294002036E-2</v>
      </c>
    </row>
    <row r="226" spans="2:20" x14ac:dyDescent="0.35">
      <c r="B226" s="9" t="s">
        <v>217</v>
      </c>
      <c r="C226" s="19">
        <v>8.5199999999999998E-2</v>
      </c>
      <c r="D226" s="38">
        <f t="shared" si="30"/>
        <v>0.16909971770747767</v>
      </c>
      <c r="E226" s="32">
        <f t="shared" si="25"/>
        <v>87747.022600362005</v>
      </c>
      <c r="F226" s="47">
        <v>0</v>
      </c>
      <c r="G226" s="17">
        <v>-5.3800000000000001E-2</v>
      </c>
      <c r="H226" s="38">
        <f t="shared" si="31"/>
        <v>0.38887184461102475</v>
      </c>
      <c r="I226" s="32">
        <f t="shared" si="29"/>
        <v>201788.31165617699</v>
      </c>
      <c r="J226" s="47">
        <v>0</v>
      </c>
      <c r="K226" s="16">
        <v>-8.7300000000000003E-2</v>
      </c>
      <c r="L226" s="38">
        <f t="shared" si="32"/>
        <v>0.32272284301917836</v>
      </c>
      <c r="M226" s="32">
        <f t="shared" si="26"/>
        <v>167463.13349288749</v>
      </c>
      <c r="N226" s="47">
        <v>0</v>
      </c>
      <c r="O226" s="17">
        <v>-0.1178</v>
      </c>
      <c r="P226" s="38">
        <f t="shared" ref="P226:P278" si="34">Q226/S226</f>
        <v>0.11930559466231916</v>
      </c>
      <c r="Q226" s="31">
        <f t="shared" si="27"/>
        <v>61908.504952644384</v>
      </c>
      <c r="R226" s="47">
        <v>0</v>
      </c>
      <c r="S226" s="37">
        <f t="shared" si="33"/>
        <v>518906.9727020709</v>
      </c>
      <c r="T226" s="40">
        <f t="shared" si="28"/>
        <v>-5.2702053223278145E-2</v>
      </c>
    </row>
    <row r="227" spans="2:20" x14ac:dyDescent="0.35">
      <c r="B227" s="10" t="s">
        <v>218</v>
      </c>
      <c r="C227" s="19">
        <v>5.0000000000000001E-4</v>
      </c>
      <c r="D227" s="38">
        <f t="shared" si="30"/>
        <v>0.17298711378085893</v>
      </c>
      <c r="E227" s="32">
        <f t="shared" ref="E227:E278" si="35">((E226+F227)*C227)+E226+F227</f>
        <v>87790.896111662179</v>
      </c>
      <c r="F227" s="47">
        <v>0</v>
      </c>
      <c r="G227" s="18">
        <v>2.1899999999999999E-2</v>
      </c>
      <c r="H227" s="38">
        <f t="shared" si="31"/>
        <v>0.40632044594691902</v>
      </c>
      <c r="I227" s="32">
        <f t="shared" si="29"/>
        <v>206207.47568144725</v>
      </c>
      <c r="J227" s="47">
        <v>0</v>
      </c>
      <c r="K227" s="16">
        <v>-6.83E-2</v>
      </c>
      <c r="L227" s="38">
        <f t="shared" si="32"/>
        <v>0.30743943931710849</v>
      </c>
      <c r="M227" s="32">
        <f t="shared" ref="M227:M278" si="36">((M226+N227)*K227)+M226+N227</f>
        <v>156025.40147532328</v>
      </c>
      <c r="N227" s="47">
        <v>0</v>
      </c>
      <c r="O227" s="17">
        <v>-7.1599999999999997E-2</v>
      </c>
      <c r="P227" s="38">
        <f t="shared" si="34"/>
        <v>0.11325300095511355</v>
      </c>
      <c r="Q227" s="31">
        <f t="shared" ref="Q227:Q278" si="37">((Q226+R227)*O227)+Q226+R227</f>
        <v>57475.855998035047</v>
      </c>
      <c r="R227" s="47">
        <v>0</v>
      </c>
      <c r="S227" s="37">
        <f t="shared" si="33"/>
        <v>507499.62926646776</v>
      </c>
      <c r="T227" s="40">
        <f t="shared" ref="T227:T278" si="38">S227/S226-1</f>
        <v>-2.1983407500196783E-2</v>
      </c>
    </row>
    <row r="228" spans="2:20" x14ac:dyDescent="0.35">
      <c r="B228" s="11" t="s">
        <v>219</v>
      </c>
      <c r="C228" s="19">
        <v>6.2300000000000001E-2</v>
      </c>
      <c r="D228" s="38">
        <f t="shared" si="30"/>
        <v>0.18953697712984061</v>
      </c>
      <c r="E228" s="32">
        <f t="shared" si="35"/>
        <v>93260.268939418733</v>
      </c>
      <c r="F228" s="47">
        <v>0</v>
      </c>
      <c r="G228" s="17">
        <v>-6.25E-2</v>
      </c>
      <c r="H228" s="38">
        <f t="shared" si="31"/>
        <v>0.39289180343130603</v>
      </c>
      <c r="I228" s="32">
        <f t="shared" ref="I228:I278" si="39">((I227+J228)*G228)+I227+J228</f>
        <v>193319.50845135679</v>
      </c>
      <c r="J228" s="47">
        <v>0</v>
      </c>
      <c r="K228" s="16">
        <v>-4.2900000000000001E-2</v>
      </c>
      <c r="L228" s="38">
        <f t="shared" si="32"/>
        <v>0.30349386147370311</v>
      </c>
      <c r="M228" s="32">
        <f t="shared" si="36"/>
        <v>149331.91175203191</v>
      </c>
      <c r="N228" s="47">
        <v>0</v>
      </c>
      <c r="O228" s="17">
        <v>-2.3400000000000001E-2</v>
      </c>
      <c r="P228" s="38">
        <f t="shared" si="34"/>
        <v>0.1140773579651502</v>
      </c>
      <c r="Q228" s="31">
        <f t="shared" si="37"/>
        <v>56130.920967681028</v>
      </c>
      <c r="R228" s="47">
        <v>0</v>
      </c>
      <c r="S228" s="37">
        <f t="shared" si="33"/>
        <v>492042.61011048849</v>
      </c>
      <c r="T228" s="40">
        <f t="shared" si="38"/>
        <v>-3.0457202852188558E-2</v>
      </c>
    </row>
    <row r="229" spans="2:20" x14ac:dyDescent="0.35">
      <c r="B229" s="10" t="s">
        <v>220</v>
      </c>
      <c r="C229" s="17">
        <v>-0.1028</v>
      </c>
      <c r="D229" s="38">
        <f t="shared" si="30"/>
        <v>0.17566058731591877</v>
      </c>
      <c r="E229" s="32">
        <f t="shared" si="35"/>
        <v>83673.113292446491</v>
      </c>
      <c r="F229" s="47">
        <v>0</v>
      </c>
      <c r="G229" s="18">
        <v>1.35E-2</v>
      </c>
      <c r="H229" s="38">
        <f t="shared" si="31"/>
        <v>0.41132758646400919</v>
      </c>
      <c r="I229" s="32">
        <f t="shared" si="39"/>
        <v>195929.32181545009</v>
      </c>
      <c r="J229" s="47">
        <v>0</v>
      </c>
      <c r="K229" s="16">
        <v>-5.5800000000000002E-2</v>
      </c>
      <c r="L229" s="38">
        <f t="shared" si="32"/>
        <v>0.29600907317694714</v>
      </c>
      <c r="M229" s="32">
        <f t="shared" si="36"/>
        <v>140999.19107626853</v>
      </c>
      <c r="N229" s="47">
        <v>0</v>
      </c>
      <c r="O229" s="17">
        <v>-7.1000000000000004E-3</v>
      </c>
      <c r="P229" s="38">
        <f t="shared" si="34"/>
        <v>0.11700275304312491</v>
      </c>
      <c r="Q229" s="31">
        <f t="shared" si="37"/>
        <v>55732.391428810493</v>
      </c>
      <c r="R229" s="47">
        <v>0</v>
      </c>
      <c r="S229" s="37">
        <f t="shared" si="33"/>
        <v>476334.01761297561</v>
      </c>
      <c r="T229" s="40">
        <f t="shared" si="38"/>
        <v>-3.1925268614410252E-2</v>
      </c>
    </row>
    <row r="230" spans="2:20" x14ac:dyDescent="0.35">
      <c r="B230" s="11" t="s">
        <v>221</v>
      </c>
      <c r="C230" s="19">
        <v>3.5400000000000001E-2</v>
      </c>
      <c r="D230" s="38">
        <f t="shared" si="30"/>
        <v>0.1899004152638539</v>
      </c>
      <c r="E230" s="32">
        <f t="shared" si="35"/>
        <v>86635.141502999089</v>
      </c>
      <c r="F230" s="47">
        <v>0</v>
      </c>
      <c r="G230" s="17">
        <v>-6.7400000000000002E-2</v>
      </c>
      <c r="H230" s="38">
        <f t="shared" si="31"/>
        <v>0.40052227257636558</v>
      </c>
      <c r="I230" s="32">
        <f t="shared" si="39"/>
        <v>182723.68552508875</v>
      </c>
      <c r="J230" s="47">
        <v>0</v>
      </c>
      <c r="K230" s="16">
        <v>-3.7400000000000003E-2</v>
      </c>
      <c r="L230" s="38">
        <f t="shared" si="32"/>
        <v>0.29750502377497068</v>
      </c>
      <c r="M230" s="32">
        <f t="shared" si="36"/>
        <v>135725.82133001607</v>
      </c>
      <c r="N230" s="47">
        <v>0</v>
      </c>
      <c r="O230" s="17">
        <v>-8.2600000000000007E-2</v>
      </c>
      <c r="P230" s="38">
        <f t="shared" si="34"/>
        <v>0.1120722883848098</v>
      </c>
      <c r="Q230" s="31">
        <f t="shared" si="37"/>
        <v>51128.895896790746</v>
      </c>
      <c r="R230" s="47">
        <v>0</v>
      </c>
      <c r="S230" s="37">
        <f t="shared" si="33"/>
        <v>456213.54425489466</v>
      </c>
      <c r="T230" s="40">
        <f t="shared" si="38"/>
        <v>-4.2240261274870683E-2</v>
      </c>
    </row>
    <row r="231" spans="2:20" x14ac:dyDescent="0.35">
      <c r="B231" s="10" t="s">
        <v>222</v>
      </c>
      <c r="C231" s="17">
        <v>-0.15290000000000001</v>
      </c>
      <c r="D231" s="38">
        <f t="shared" si="30"/>
        <v>0.16086031794622999</v>
      </c>
      <c r="E231" s="32">
        <f t="shared" si="35"/>
        <v>73388.628367190526</v>
      </c>
      <c r="F231" s="47">
        <v>0</v>
      </c>
      <c r="G231" s="18">
        <v>7.2800000000000004E-2</v>
      </c>
      <c r="H231" s="38">
        <f t="shared" si="31"/>
        <v>0.42966874479535383</v>
      </c>
      <c r="I231" s="32">
        <f t="shared" si="39"/>
        <v>196025.96983131522</v>
      </c>
      <c r="J231" s="47">
        <v>0</v>
      </c>
      <c r="K231" s="16">
        <v>-1.2999999999999999E-3</v>
      </c>
      <c r="L231" s="38">
        <f t="shared" si="32"/>
        <v>0.29711028110729976</v>
      </c>
      <c r="M231" s="32">
        <f t="shared" si="36"/>
        <v>135549.37776228704</v>
      </c>
      <c r="N231" s="47">
        <v>0</v>
      </c>
      <c r="O231" s="19">
        <v>2.5999999999999999E-3</v>
      </c>
      <c r="P231" s="38">
        <f t="shared" si="34"/>
        <v>0.11236065615111646</v>
      </c>
      <c r="Q231" s="31">
        <f t="shared" si="37"/>
        <v>51261.831026122403</v>
      </c>
      <c r="R231" s="47">
        <v>0</v>
      </c>
      <c r="S231" s="37">
        <f t="shared" si="33"/>
        <v>456225.80698691518</v>
      </c>
      <c r="T231" s="40">
        <f t="shared" si="38"/>
        <v>2.6879368609122878E-5</v>
      </c>
    </row>
    <row r="232" spans="2:20" x14ac:dyDescent="0.35">
      <c r="B232" s="11" t="s">
        <v>223</v>
      </c>
      <c r="C232" s="19">
        <v>5.9799999999999999E-2</v>
      </c>
      <c r="D232" s="38">
        <f t="shared" si="30"/>
        <v>0.16444705433291135</v>
      </c>
      <c r="E232" s="32">
        <f t="shared" si="35"/>
        <v>77777.268343548523</v>
      </c>
      <c r="F232" s="47">
        <v>0</v>
      </c>
      <c r="G232" s="17">
        <v>-2.29E-2</v>
      </c>
      <c r="H232" s="38">
        <f t="shared" si="31"/>
        <v>0.40497296993705728</v>
      </c>
      <c r="I232" s="32">
        <f t="shared" si="39"/>
        <v>191536.97512217809</v>
      </c>
      <c r="J232" s="47">
        <v>0</v>
      </c>
      <c r="K232" s="20">
        <v>9.1499999999999998E-2</v>
      </c>
      <c r="L232" s="38">
        <f t="shared" si="32"/>
        <v>0.31282012189092057</v>
      </c>
      <c r="M232" s="32">
        <f t="shared" si="36"/>
        <v>147952.1458275363</v>
      </c>
      <c r="N232" s="47">
        <v>0</v>
      </c>
      <c r="O232" s="19">
        <v>8.6499999999999994E-2</v>
      </c>
      <c r="P232" s="38">
        <f t="shared" si="34"/>
        <v>0.11775985383911083</v>
      </c>
      <c r="Q232" s="31">
        <f t="shared" si="37"/>
        <v>55695.979409881991</v>
      </c>
      <c r="R232" s="47">
        <v>0</v>
      </c>
      <c r="S232" s="37">
        <f t="shared" si="33"/>
        <v>472962.36870314489</v>
      </c>
      <c r="T232" s="40">
        <f t="shared" si="38"/>
        <v>3.6684820235760363E-2</v>
      </c>
    </row>
    <row r="233" spans="2:20" x14ac:dyDescent="0.35">
      <c r="B233" s="10" t="s">
        <v>224</v>
      </c>
      <c r="C233" s="19">
        <v>3.9399999999999998E-2</v>
      </c>
      <c r="D233" s="38">
        <f t="shared" si="30"/>
        <v>0.17726928440061365</v>
      </c>
      <c r="E233" s="32">
        <f t="shared" si="35"/>
        <v>80841.692716284335</v>
      </c>
      <c r="F233" s="47">
        <v>0</v>
      </c>
      <c r="G233" s="17">
        <v>-4.2200000000000001E-2</v>
      </c>
      <c r="H233" s="38">
        <f t="shared" si="31"/>
        <v>0.40227732192739701</v>
      </c>
      <c r="I233" s="32">
        <f t="shared" si="39"/>
        <v>183454.11477202218</v>
      </c>
      <c r="J233" s="47">
        <v>0</v>
      </c>
      <c r="K233" s="16">
        <v>-5.3699999999999998E-2</v>
      </c>
      <c r="L233" s="38">
        <f t="shared" si="32"/>
        <v>0.30700694603099832</v>
      </c>
      <c r="M233" s="32">
        <f t="shared" si="36"/>
        <v>140007.11559659761</v>
      </c>
      <c r="N233" s="47">
        <v>0</v>
      </c>
      <c r="O233" s="17">
        <v>-7.1099999999999997E-2</v>
      </c>
      <c r="P233" s="38">
        <f t="shared" si="34"/>
        <v>0.11344644764099104</v>
      </c>
      <c r="Q233" s="31">
        <f t="shared" si="37"/>
        <v>51735.995273839384</v>
      </c>
      <c r="R233" s="47">
        <v>0</v>
      </c>
      <c r="S233" s="37">
        <f t="shared" si="33"/>
        <v>456038.91835874348</v>
      </c>
      <c r="T233" s="40">
        <f t="shared" si="38"/>
        <v>-3.5781811544130293E-2</v>
      </c>
    </row>
    <row r="234" spans="2:20" x14ac:dyDescent="0.35">
      <c r="B234" s="11" t="s">
        <v>225</v>
      </c>
      <c r="C234" s="19">
        <v>2.2800000000000001E-2</v>
      </c>
      <c r="D234" s="38">
        <f t="shared" si="30"/>
        <v>0.18334192704204022</v>
      </c>
      <c r="E234" s="32">
        <f t="shared" si="35"/>
        <v>82684.88331021562</v>
      </c>
      <c r="F234" s="47">
        <v>0</v>
      </c>
      <c r="G234" s="18">
        <v>2.2599999999999999E-2</v>
      </c>
      <c r="H234" s="38">
        <f t="shared" si="31"/>
        <v>0.41597661782966355</v>
      </c>
      <c r="I234" s="32">
        <f t="shared" si="39"/>
        <v>187600.17776586988</v>
      </c>
      <c r="J234" s="47">
        <v>0</v>
      </c>
      <c r="K234" s="16">
        <v>-4.4900000000000002E-2</v>
      </c>
      <c r="L234" s="38">
        <f t="shared" si="32"/>
        <v>0.29650677925910179</v>
      </c>
      <c r="M234" s="32">
        <f t="shared" si="36"/>
        <v>133720.79610631039</v>
      </c>
      <c r="N234" s="47">
        <v>0</v>
      </c>
      <c r="O234" s="17">
        <v>-9.1899999999999996E-2</v>
      </c>
      <c r="P234" s="38">
        <f t="shared" si="34"/>
        <v>0.10417467586919447</v>
      </c>
      <c r="Q234" s="31">
        <f t="shared" si="37"/>
        <v>46981.457308173543</v>
      </c>
      <c r="R234" s="47">
        <v>0</v>
      </c>
      <c r="S234" s="37">
        <f t="shared" si="33"/>
        <v>450987.31449056941</v>
      </c>
      <c r="T234" s="40">
        <f t="shared" si="38"/>
        <v>-1.1077133255105731E-2</v>
      </c>
    </row>
    <row r="235" spans="2:20" x14ac:dyDescent="0.35">
      <c r="B235" s="10" t="s">
        <v>226</v>
      </c>
      <c r="C235" s="19">
        <v>8.1900000000000001E-2</v>
      </c>
      <c r="D235" s="38">
        <f t="shared" si="30"/>
        <v>0.19453908957052771</v>
      </c>
      <c r="E235" s="32">
        <f t="shared" si="35"/>
        <v>89456.775253322281</v>
      </c>
      <c r="F235" s="47">
        <v>0</v>
      </c>
      <c r="G235" s="17">
        <v>-3.5299999999999998E-2</v>
      </c>
      <c r="H235" s="38">
        <f t="shared" si="31"/>
        <v>0.39356744241340996</v>
      </c>
      <c r="I235" s="32">
        <f t="shared" si="39"/>
        <v>180977.89149073468</v>
      </c>
      <c r="J235" s="47">
        <v>0</v>
      </c>
      <c r="K235" s="20">
        <v>5.96E-2</v>
      </c>
      <c r="L235" s="38">
        <f t="shared" si="32"/>
        <v>0.30813039705722783</v>
      </c>
      <c r="M235" s="32">
        <f t="shared" si="36"/>
        <v>141690.55555424647</v>
      </c>
      <c r="N235" s="47">
        <v>0</v>
      </c>
      <c r="O235" s="19">
        <v>1.5599999999999999E-2</v>
      </c>
      <c r="P235" s="38">
        <f t="shared" si="34"/>
        <v>0.10376307095883443</v>
      </c>
      <c r="Q235" s="31">
        <f t="shared" si="37"/>
        <v>47714.36804218105</v>
      </c>
      <c r="R235" s="47">
        <v>0</v>
      </c>
      <c r="S235" s="37">
        <f t="shared" si="33"/>
        <v>459839.59034048452</v>
      </c>
      <c r="T235" s="40">
        <f t="shared" si="38"/>
        <v>1.9628658202758054E-2</v>
      </c>
    </row>
    <row r="236" spans="2:20" x14ac:dyDescent="0.35">
      <c r="B236" s="11" t="s">
        <v>227</v>
      </c>
      <c r="C236" s="17">
        <v>-4.1200000000000001E-2</v>
      </c>
      <c r="D236" s="38">
        <f t="shared" si="30"/>
        <v>0.17879599440425925</v>
      </c>
      <c r="E236" s="32">
        <f t="shared" si="35"/>
        <v>85771.156112885408</v>
      </c>
      <c r="F236" s="47">
        <v>0</v>
      </c>
      <c r="G236" s="18">
        <v>7.7399999999999997E-2</v>
      </c>
      <c r="H236" s="38">
        <f t="shared" si="31"/>
        <v>0.40646112635974219</v>
      </c>
      <c r="I236" s="32">
        <f t="shared" si="39"/>
        <v>194985.58029211755</v>
      </c>
      <c r="J236" s="47">
        <v>0</v>
      </c>
      <c r="K236" s="20">
        <v>4.8500000000000001E-2</v>
      </c>
      <c r="L236" s="38">
        <f t="shared" si="32"/>
        <v>0.30968905649689171</v>
      </c>
      <c r="M236" s="32">
        <f t="shared" si="36"/>
        <v>148562.54749862742</v>
      </c>
      <c r="N236" s="47">
        <v>0</v>
      </c>
      <c r="O236" s="19">
        <v>5.62E-2</v>
      </c>
      <c r="P236" s="38">
        <f t="shared" si="34"/>
        <v>0.10505382273910689</v>
      </c>
      <c r="Q236" s="31">
        <f t="shared" si="37"/>
        <v>50395.915526151628</v>
      </c>
      <c r="R236" s="47">
        <v>0</v>
      </c>
      <c r="S236" s="37">
        <f t="shared" si="33"/>
        <v>479715.19942978199</v>
      </c>
      <c r="T236" s="40">
        <f t="shared" si="38"/>
        <v>4.3222918397654242E-2</v>
      </c>
    </row>
    <row r="237" spans="2:20" x14ac:dyDescent="0.35">
      <c r="B237" s="10" t="s">
        <v>228</v>
      </c>
      <c r="C237" s="17">
        <v>-0.1087</v>
      </c>
      <c r="D237" s="38">
        <f t="shared" si="30"/>
        <v>0.16416144337592237</v>
      </c>
      <c r="E237" s="32">
        <f t="shared" si="35"/>
        <v>76447.831443414761</v>
      </c>
      <c r="F237" s="47">
        <v>0</v>
      </c>
      <c r="G237" s="18">
        <v>3.4200000000000001E-2</v>
      </c>
      <c r="H237" s="38">
        <f t="shared" si="31"/>
        <v>0.4330250496608089</v>
      </c>
      <c r="I237" s="32">
        <f t="shared" si="39"/>
        <v>201654.08713810798</v>
      </c>
      <c r="J237" s="47">
        <v>0</v>
      </c>
      <c r="K237" s="16">
        <v>-5.6000000000000001E-2</v>
      </c>
      <c r="L237" s="38">
        <f t="shared" si="32"/>
        <v>0.30115309001533569</v>
      </c>
      <c r="M237" s="32">
        <f t="shared" si="36"/>
        <v>140243.04483870429</v>
      </c>
      <c r="N237" s="47">
        <v>0</v>
      </c>
      <c r="O237" s="17">
        <v>-6.0600000000000001E-2</v>
      </c>
      <c r="P237" s="38">
        <f t="shared" si="34"/>
        <v>0.101660416947933</v>
      </c>
      <c r="Q237" s="31">
        <f t="shared" si="37"/>
        <v>47341.923045266842</v>
      </c>
      <c r="R237" s="47">
        <v>0</v>
      </c>
      <c r="S237" s="37">
        <f t="shared" si="33"/>
        <v>465686.88646549388</v>
      </c>
      <c r="T237" s="40">
        <f t="shared" si="38"/>
        <v>-2.9243002892055503E-2</v>
      </c>
    </row>
    <row r="238" spans="2:20" x14ac:dyDescent="0.35">
      <c r="B238" s="9" t="s">
        <v>229</v>
      </c>
      <c r="C238" s="19">
        <v>4.99E-2</v>
      </c>
      <c r="D238" s="38">
        <f t="shared" si="30"/>
        <v>0.16671372674746984</v>
      </c>
      <c r="E238" s="32">
        <f t="shared" si="35"/>
        <v>80262.578232441156</v>
      </c>
      <c r="F238" s="47">
        <v>0</v>
      </c>
      <c r="G238" s="18">
        <v>2.3900000000000001E-2</v>
      </c>
      <c r="H238" s="38">
        <f t="shared" si="31"/>
        <v>0.42886719307301874</v>
      </c>
      <c r="I238" s="32">
        <f t="shared" si="39"/>
        <v>206473.61982070876</v>
      </c>
      <c r="J238" s="47">
        <v>0</v>
      </c>
      <c r="K238" s="20">
        <v>2.76E-2</v>
      </c>
      <c r="L238" s="38">
        <f t="shared" si="32"/>
        <v>0.29933926054537141</v>
      </c>
      <c r="M238" s="32">
        <f t="shared" si="36"/>
        <v>144113.75287625252</v>
      </c>
      <c r="N238" s="47">
        <v>0</v>
      </c>
      <c r="O238" s="19">
        <v>6.8599999999999994E-2</v>
      </c>
      <c r="P238" s="38">
        <f t="shared" si="34"/>
        <v>0.10507981963414005</v>
      </c>
      <c r="Q238" s="31">
        <f t="shared" si="37"/>
        <v>50589.57896617215</v>
      </c>
      <c r="R238" s="47">
        <v>0</v>
      </c>
      <c r="S238" s="37">
        <f t="shared" si="33"/>
        <v>481439.52989557455</v>
      </c>
      <c r="T238" s="40">
        <f t="shared" si="38"/>
        <v>3.3826684598403212E-2</v>
      </c>
    </row>
    <row r="239" spans="2:20" x14ac:dyDescent="0.35">
      <c r="B239" s="10" t="s">
        <v>230</v>
      </c>
      <c r="C239" s="17">
        <v>-8.6300000000000002E-2</v>
      </c>
      <c r="D239" s="38">
        <f t="shared" si="30"/>
        <v>0.1583068175740879</v>
      </c>
      <c r="E239" s="32">
        <f t="shared" si="35"/>
        <v>73335.917730981484</v>
      </c>
      <c r="F239" s="47">
        <v>0</v>
      </c>
      <c r="G239" s="17">
        <v>-3.6999999999999998E-2</v>
      </c>
      <c r="H239" s="38">
        <f t="shared" si="31"/>
        <v>0.42921386844319198</v>
      </c>
      <c r="I239" s="32">
        <f t="shared" si="39"/>
        <v>198834.09588734253</v>
      </c>
      <c r="J239" s="47">
        <v>0</v>
      </c>
      <c r="K239" s="16">
        <v>-0.01</v>
      </c>
      <c r="L239" s="38">
        <f t="shared" si="32"/>
        <v>0.30798070562757024</v>
      </c>
      <c r="M239" s="32">
        <f t="shared" si="36"/>
        <v>142672.61534749001</v>
      </c>
      <c r="N239" s="47">
        <v>0</v>
      </c>
      <c r="O239" s="17">
        <v>-4.3099999999999999E-2</v>
      </c>
      <c r="P239" s="38">
        <f t="shared" si="34"/>
        <v>0.10449860835514983</v>
      </c>
      <c r="Q239" s="31">
        <f t="shared" si="37"/>
        <v>48409.168112730127</v>
      </c>
      <c r="R239" s="47">
        <v>0</v>
      </c>
      <c r="S239" s="37">
        <f t="shared" si="33"/>
        <v>463251.79707854416</v>
      </c>
      <c r="T239" s="40">
        <f t="shared" si="38"/>
        <v>-3.7777813593693366E-2</v>
      </c>
    </row>
    <row r="240" spans="2:20" x14ac:dyDescent="0.35">
      <c r="B240" s="11" t="s">
        <v>231</v>
      </c>
      <c r="C240" s="17">
        <v>-1.66E-2</v>
      </c>
      <c r="D240" s="38">
        <f t="shared" si="30"/>
        <v>0.15261243968873517</v>
      </c>
      <c r="E240" s="32">
        <f t="shared" si="35"/>
        <v>72118.541496647187</v>
      </c>
      <c r="F240" s="47">
        <v>0</v>
      </c>
      <c r="G240" s="18">
        <v>5.5500000000000001E-2</v>
      </c>
      <c r="H240" s="38">
        <f t="shared" si="31"/>
        <v>0.44411157915694294</v>
      </c>
      <c r="I240" s="32">
        <f t="shared" si="39"/>
        <v>209869.38820909004</v>
      </c>
      <c r="J240" s="47">
        <v>0</v>
      </c>
      <c r="K240" s="20">
        <v>1.38E-2</v>
      </c>
      <c r="L240" s="38">
        <f t="shared" si="32"/>
        <v>0.3060806742114649</v>
      </c>
      <c r="M240" s="32">
        <f t="shared" si="36"/>
        <v>144641.49743928536</v>
      </c>
      <c r="N240" s="47">
        <v>0</v>
      </c>
      <c r="O240" s="17">
        <v>-5.1200000000000002E-2</v>
      </c>
      <c r="P240" s="38">
        <f t="shared" si="34"/>
        <v>9.7195306942856968E-2</v>
      </c>
      <c r="Q240" s="31">
        <f t="shared" si="37"/>
        <v>45930.618705358342</v>
      </c>
      <c r="R240" s="47">
        <v>0</v>
      </c>
      <c r="S240" s="37">
        <f t="shared" si="33"/>
        <v>472560.04585038096</v>
      </c>
      <c r="T240" s="40">
        <f t="shared" si="38"/>
        <v>2.0093281516744055E-2</v>
      </c>
    </row>
    <row r="241" spans="2:20" x14ac:dyDescent="0.35">
      <c r="B241" s="10" t="s">
        <v>232</v>
      </c>
      <c r="C241" s="19">
        <v>8.8000000000000005E-3</v>
      </c>
      <c r="D241" s="38">
        <f t="shared" si="30"/>
        <v>0.15531832974498602</v>
      </c>
      <c r="E241" s="32">
        <f t="shared" si="35"/>
        <v>72753.184661817679</v>
      </c>
      <c r="F241" s="47">
        <v>0</v>
      </c>
      <c r="G241" s="17">
        <v>-1.2500000000000001E-2</v>
      </c>
      <c r="H241" s="38">
        <f t="shared" si="31"/>
        <v>0.44244256736455878</v>
      </c>
      <c r="I241" s="32">
        <f t="shared" si="39"/>
        <v>207246.02085647642</v>
      </c>
      <c r="J241" s="47">
        <v>0</v>
      </c>
      <c r="K241" s="16">
        <v>-8.6E-3</v>
      </c>
      <c r="L241" s="38">
        <f t="shared" si="32"/>
        <v>0.30613467720737852</v>
      </c>
      <c r="M241" s="32">
        <f t="shared" si="36"/>
        <v>143397.58056130752</v>
      </c>
      <c r="N241" s="47">
        <v>0</v>
      </c>
      <c r="O241" s="17">
        <v>-1.9900000000000001E-2</v>
      </c>
      <c r="P241" s="38">
        <f t="shared" si="34"/>
        <v>9.6104425683076727E-2</v>
      </c>
      <c r="Q241" s="31">
        <f t="shared" si="37"/>
        <v>45016.599393121709</v>
      </c>
      <c r="R241" s="47">
        <v>0</v>
      </c>
      <c r="S241" s="37">
        <f t="shared" si="33"/>
        <v>468413.38547272328</v>
      </c>
      <c r="T241" s="40">
        <f t="shared" si="38"/>
        <v>-8.7748856765824668E-3</v>
      </c>
    </row>
    <row r="242" spans="2:20" x14ac:dyDescent="0.35">
      <c r="B242" s="11" t="s">
        <v>233</v>
      </c>
      <c r="C242" s="19">
        <v>3.15E-2</v>
      </c>
      <c r="D242" s="38">
        <f t="shared" si="30"/>
        <v>0.1593012696391041</v>
      </c>
      <c r="E242" s="32">
        <f t="shared" si="35"/>
        <v>75044.909978664931</v>
      </c>
      <c r="F242" s="47">
        <v>0</v>
      </c>
      <c r="G242" s="21">
        <v>-1.9E-3</v>
      </c>
      <c r="H242" s="38">
        <f t="shared" si="31"/>
        <v>0.4390947581439153</v>
      </c>
      <c r="I242" s="32">
        <f t="shared" si="39"/>
        <v>206852.25341684913</v>
      </c>
      <c r="J242" s="47">
        <v>0</v>
      </c>
      <c r="K242" s="20">
        <v>1.43E-2</v>
      </c>
      <c r="L242" s="38">
        <f t="shared" si="32"/>
        <v>0.30874948762315069</v>
      </c>
      <c r="M242" s="32">
        <f t="shared" si="36"/>
        <v>145448.16596333421</v>
      </c>
      <c r="N242" s="47">
        <v>0</v>
      </c>
      <c r="O242" s="17">
        <v>-2.8299999999999999E-2</v>
      </c>
      <c r="P242" s="38">
        <f t="shared" si="34"/>
        <v>9.2854484593830042E-2</v>
      </c>
      <c r="Q242" s="31">
        <f t="shared" si="37"/>
        <v>43742.629630296367</v>
      </c>
      <c r="R242" s="47">
        <v>0</v>
      </c>
      <c r="S242" s="37">
        <f t="shared" si="33"/>
        <v>471087.95898914459</v>
      </c>
      <c r="T242" s="40">
        <f t="shared" si="38"/>
        <v>5.7098571462088632E-3</v>
      </c>
    </row>
    <row r="243" spans="2:20" x14ac:dyDescent="0.35">
      <c r="B243" s="10" t="s">
        <v>234</v>
      </c>
      <c r="C243" s="19">
        <v>8.5099999999999995E-2</v>
      </c>
      <c r="D243" s="38">
        <f t="shared" si="30"/>
        <v>0.173301407221082</v>
      </c>
      <c r="E243" s="32">
        <f t="shared" si="35"/>
        <v>81431.231817849315</v>
      </c>
      <c r="F243" s="47">
        <v>0</v>
      </c>
      <c r="G243" s="17">
        <v>-5.7000000000000002E-2</v>
      </c>
      <c r="H243" s="38">
        <f t="shared" si="31"/>
        <v>0.41512896235169705</v>
      </c>
      <c r="I243" s="32">
        <f t="shared" si="39"/>
        <v>195061.67497208872</v>
      </c>
      <c r="J243" s="47">
        <v>0</v>
      </c>
      <c r="K243" s="20">
        <v>2.6700000000000002E-2</v>
      </c>
      <c r="L243" s="38">
        <f t="shared" si="32"/>
        <v>0.317806588326772</v>
      </c>
      <c r="M243" s="32">
        <f t="shared" si="36"/>
        <v>149331.63199455524</v>
      </c>
      <c r="N243" s="47">
        <v>0</v>
      </c>
      <c r="O243" s="19">
        <v>7.1999999999999998E-3</v>
      </c>
      <c r="P243" s="38">
        <f t="shared" si="34"/>
        <v>9.3763042100448918E-2</v>
      </c>
      <c r="Q243" s="31">
        <f t="shared" si="37"/>
        <v>44057.576563634502</v>
      </c>
      <c r="R243" s="47">
        <v>0</v>
      </c>
      <c r="S243" s="37">
        <f t="shared" si="33"/>
        <v>469882.11534812779</v>
      </c>
      <c r="T243" s="40">
        <f t="shared" si="38"/>
        <v>-2.5596995593015759E-3</v>
      </c>
    </row>
    <row r="244" spans="2:20" x14ac:dyDescent="0.35">
      <c r="B244" s="11" t="s">
        <v>235</v>
      </c>
      <c r="C244" s="19">
        <v>1.8100000000000002E-2</v>
      </c>
      <c r="D244" s="38">
        <f t="shared" si="30"/>
        <v>0.17582207922308335</v>
      </c>
      <c r="E244" s="32">
        <f t="shared" si="35"/>
        <v>82905.137113752382</v>
      </c>
      <c r="F244" s="47">
        <v>0</v>
      </c>
      <c r="G244" s="21">
        <v>-1.8E-3</v>
      </c>
      <c r="H244" s="38">
        <f t="shared" si="31"/>
        <v>0.41293479986253445</v>
      </c>
      <c r="I244" s="32">
        <f t="shared" si="39"/>
        <v>194710.56395713895</v>
      </c>
      <c r="J244" s="47">
        <v>0</v>
      </c>
      <c r="K244" s="20">
        <v>5.1000000000000004E-3</v>
      </c>
      <c r="L244" s="38">
        <f t="shared" si="32"/>
        <v>0.31831203131367686</v>
      </c>
      <c r="M244" s="32">
        <f t="shared" si="36"/>
        <v>150093.22331772748</v>
      </c>
      <c r="N244" s="47">
        <v>0</v>
      </c>
      <c r="O244" s="17">
        <v>-5.4000000000000003E-3</v>
      </c>
      <c r="P244" s="38">
        <f t="shared" si="34"/>
        <v>9.2931089600705327E-2</v>
      </c>
      <c r="Q244" s="31">
        <f t="shared" si="37"/>
        <v>43819.665650190873</v>
      </c>
      <c r="R244" s="47">
        <v>0</v>
      </c>
      <c r="S244" s="37">
        <f t="shared" si="33"/>
        <v>471528.59003880969</v>
      </c>
      <c r="T244" s="40">
        <f t="shared" si="38"/>
        <v>3.5040165115927113E-3</v>
      </c>
    </row>
    <row r="245" spans="2:20" x14ac:dyDescent="0.35">
      <c r="B245" s="10" t="s">
        <v>236</v>
      </c>
      <c r="C245" s="17">
        <v>-5.8799999999999998E-2</v>
      </c>
      <c r="D245" s="38">
        <f t="shared" si="30"/>
        <v>0.16506870079151037</v>
      </c>
      <c r="E245" s="32">
        <f t="shared" si="35"/>
        <v>78030.315051463738</v>
      </c>
      <c r="F245" s="47">
        <v>0</v>
      </c>
      <c r="G245" s="18">
        <v>1.9900000000000001E-2</v>
      </c>
      <c r="H245" s="38">
        <f t="shared" si="31"/>
        <v>0.42009593496631364</v>
      </c>
      <c r="I245" s="32">
        <f t="shared" si="39"/>
        <v>198585.30417988601</v>
      </c>
      <c r="J245" s="47">
        <v>0</v>
      </c>
      <c r="K245" s="18">
        <v>1.4999999999999999E-2</v>
      </c>
      <c r="L245" s="38">
        <f t="shared" si="32"/>
        <v>0.3222763967394181</v>
      </c>
      <c r="M245" s="32">
        <f t="shared" si="36"/>
        <v>152344.6216674934</v>
      </c>
      <c r="N245" s="47">
        <v>0</v>
      </c>
      <c r="O245" s="17">
        <v>-1.5E-3</v>
      </c>
      <c r="P245" s="38">
        <f t="shared" si="34"/>
        <v>9.2558967502757841E-2</v>
      </c>
      <c r="Q245" s="31">
        <f t="shared" si="37"/>
        <v>43753.936151715585</v>
      </c>
      <c r="R245" s="47">
        <v>0</v>
      </c>
      <c r="S245" s="37">
        <f t="shared" si="33"/>
        <v>472714.17705055873</v>
      </c>
      <c r="T245" s="40">
        <f t="shared" si="38"/>
        <v>2.5143480942511065E-3</v>
      </c>
    </row>
    <row r="246" spans="2:20" x14ac:dyDescent="0.35">
      <c r="B246" s="11" t="s">
        <v>237</v>
      </c>
      <c r="C246" s="19">
        <v>2.8799999999999999E-2</v>
      </c>
      <c r="D246" s="38">
        <f t="shared" si="30"/>
        <v>0.17250871193508199</v>
      </c>
      <c r="E246" s="32">
        <f t="shared" si="35"/>
        <v>80277.588124945891</v>
      </c>
      <c r="F246" s="47">
        <v>0</v>
      </c>
      <c r="G246" s="17">
        <v>-1.9900000000000001E-2</v>
      </c>
      <c r="H246" s="38">
        <f t="shared" si="31"/>
        <v>0.4182483266673051</v>
      </c>
      <c r="I246" s="32">
        <f t="shared" si="39"/>
        <v>194633.45662670626</v>
      </c>
      <c r="J246" s="47">
        <v>0</v>
      </c>
      <c r="K246" s="17">
        <v>-2.1299999999999999E-2</v>
      </c>
      <c r="L246" s="38">
        <f t="shared" si="32"/>
        <v>0.32040068167209584</v>
      </c>
      <c r="M246" s="32">
        <f t="shared" si="36"/>
        <v>149099.6812259758</v>
      </c>
      <c r="N246" s="47">
        <v>0</v>
      </c>
      <c r="O246" s="17">
        <v>-5.5100000000000003E-2</v>
      </c>
      <c r="P246" s="38">
        <f t="shared" si="34"/>
        <v>8.8842279725517018E-2</v>
      </c>
      <c r="Q246" s="31">
        <f t="shared" si="37"/>
        <v>41343.094269756053</v>
      </c>
      <c r="R246" s="47">
        <v>0</v>
      </c>
      <c r="S246" s="37">
        <f t="shared" si="33"/>
        <v>465353.82024738402</v>
      </c>
      <c r="T246" s="40">
        <f t="shared" si="38"/>
        <v>-1.557041688298566E-2</v>
      </c>
    </row>
    <row r="247" spans="2:20" x14ac:dyDescent="0.35">
      <c r="B247" s="10" t="s">
        <v>238</v>
      </c>
      <c r="C247" s="17">
        <v>-2.6700000000000002E-2</v>
      </c>
      <c r="D247" s="38">
        <f t="shared" si="30"/>
        <v>0.16491841416847189</v>
      </c>
      <c r="E247" s="32">
        <f t="shared" si="35"/>
        <v>78134.176522009831</v>
      </c>
      <c r="F247" s="47">
        <v>0</v>
      </c>
      <c r="G247" s="18">
        <v>7.6200000000000004E-2</v>
      </c>
      <c r="H247" s="38">
        <f t="shared" si="31"/>
        <v>0.44211840443870354</v>
      </c>
      <c r="I247" s="32">
        <f t="shared" si="39"/>
        <v>209464.5260216613</v>
      </c>
      <c r="J247" s="47">
        <v>0</v>
      </c>
      <c r="K247" s="17">
        <v>-1.9300000000000001E-2</v>
      </c>
      <c r="L247" s="38">
        <f t="shared" si="32"/>
        <v>0.30863203392807226</v>
      </c>
      <c r="M247" s="32">
        <f t="shared" si="36"/>
        <v>146222.05737831446</v>
      </c>
      <c r="N247" s="47">
        <v>0</v>
      </c>
      <c r="O247" s="17">
        <v>-3.3599999999999998E-2</v>
      </c>
      <c r="P247" s="38">
        <f t="shared" si="34"/>
        <v>8.4331147464752357E-2</v>
      </c>
      <c r="Q247" s="31">
        <f t="shared" si="37"/>
        <v>39953.966302292247</v>
      </c>
      <c r="R247" s="47">
        <v>0</v>
      </c>
      <c r="S247" s="37">
        <f t="shared" si="33"/>
        <v>473774.72622427781</v>
      </c>
      <c r="T247" s="40">
        <f t="shared" si="38"/>
        <v>1.8095706128333111E-2</v>
      </c>
    </row>
    <row r="248" spans="2:20" x14ac:dyDescent="0.35">
      <c r="B248" s="11" t="s">
        <v>239</v>
      </c>
      <c r="C248" s="19">
        <v>0.1103</v>
      </c>
      <c r="D248" s="38">
        <f t="shared" si="30"/>
        <v>0.17560779957956096</v>
      </c>
      <c r="E248" s="32">
        <f t="shared" si="35"/>
        <v>86752.376192387514</v>
      </c>
      <c r="F248" s="47">
        <v>0</v>
      </c>
      <c r="G248" s="21">
        <v>-2.3999999999999998E-3</v>
      </c>
      <c r="H248" s="38">
        <f t="shared" si="31"/>
        <v>0.42298926512918378</v>
      </c>
      <c r="I248" s="32">
        <f t="shared" si="39"/>
        <v>208961.81115920932</v>
      </c>
      <c r="J248" s="47">
        <v>0</v>
      </c>
      <c r="K248" s="18">
        <v>5.8500000000000003E-2</v>
      </c>
      <c r="L248" s="38">
        <f t="shared" si="32"/>
        <v>0.31330416944521639</v>
      </c>
      <c r="M248" s="32">
        <f t="shared" si="36"/>
        <v>154776.04773494587</v>
      </c>
      <c r="N248" s="47">
        <v>0</v>
      </c>
      <c r="O248" s="19">
        <v>8.9300000000000004E-2</v>
      </c>
      <c r="P248" s="38">
        <f t="shared" si="34"/>
        <v>8.8098765846038887E-2</v>
      </c>
      <c r="Q248" s="31">
        <f t="shared" si="37"/>
        <v>43521.855493086943</v>
      </c>
      <c r="R248" s="47">
        <v>0</v>
      </c>
      <c r="S248" s="37">
        <f t="shared" si="33"/>
        <v>494012.09057962964</v>
      </c>
      <c r="T248" s="40">
        <f t="shared" si="38"/>
        <v>4.2715162365524195E-2</v>
      </c>
    </row>
    <row r="249" spans="2:20" x14ac:dyDescent="0.35">
      <c r="B249" s="10" t="s">
        <v>240</v>
      </c>
      <c r="C249" s="19">
        <v>1.67E-2</v>
      </c>
      <c r="D249" s="38">
        <f t="shared" si="30"/>
        <v>0.17501941774691684</v>
      </c>
      <c r="E249" s="32">
        <f t="shared" si="35"/>
        <v>88201.140874800389</v>
      </c>
      <c r="F249" s="47">
        <v>0</v>
      </c>
      <c r="G249" s="22">
        <v>1.9E-3</v>
      </c>
      <c r="H249" s="38">
        <f t="shared" si="31"/>
        <v>0.41543523891632128</v>
      </c>
      <c r="I249" s="32">
        <f t="shared" si="39"/>
        <v>209358.83860041181</v>
      </c>
      <c r="J249" s="47">
        <v>0</v>
      </c>
      <c r="K249" s="18">
        <v>3.2800000000000003E-2</v>
      </c>
      <c r="L249" s="38">
        <f t="shared" si="32"/>
        <v>0.31719914923368953</v>
      </c>
      <c r="M249" s="32">
        <f t="shared" si="36"/>
        <v>159852.7021006521</v>
      </c>
      <c r="N249" s="47">
        <v>0</v>
      </c>
      <c r="O249" s="19">
        <v>6.93E-2</v>
      </c>
      <c r="P249" s="38">
        <f t="shared" si="34"/>
        <v>9.2346194103072432E-2</v>
      </c>
      <c r="Q249" s="31">
        <f t="shared" si="37"/>
        <v>46537.920078757867</v>
      </c>
      <c r="R249" s="47">
        <v>0</v>
      </c>
      <c r="S249" s="37">
        <f t="shared" si="33"/>
        <v>503950.60165462212</v>
      </c>
      <c r="T249" s="40">
        <f t="shared" si="38"/>
        <v>2.0117951087657682E-2</v>
      </c>
    </row>
    <row r="250" spans="2:20" x14ac:dyDescent="0.35">
      <c r="B250" s="9" t="s">
        <v>241</v>
      </c>
      <c r="C250" s="17">
        <v>-3.85E-2</v>
      </c>
      <c r="D250" s="38">
        <f t="shared" si="30"/>
        <v>0.16724881375024964</v>
      </c>
      <c r="E250" s="32">
        <f t="shared" si="35"/>
        <v>84805.39695112058</v>
      </c>
      <c r="F250" s="47">
        <v>0</v>
      </c>
      <c r="G250" s="18">
        <v>9.4000000000000004E-3</v>
      </c>
      <c r="H250" s="38">
        <f t="shared" si="31"/>
        <v>0.41676779825720617</v>
      </c>
      <c r="I250" s="32">
        <f t="shared" si="39"/>
        <v>211326.81168325568</v>
      </c>
      <c r="J250" s="47">
        <v>0</v>
      </c>
      <c r="K250" s="18">
        <v>3.73E-2</v>
      </c>
      <c r="L250" s="38">
        <f t="shared" si="32"/>
        <v>0.32701216925110937</v>
      </c>
      <c r="M250" s="32">
        <f t="shared" si="36"/>
        <v>165815.20788900641</v>
      </c>
      <c r="N250" s="47">
        <v>0</v>
      </c>
      <c r="O250" s="17">
        <v>-3.0599999999999999E-2</v>
      </c>
      <c r="P250" s="38">
        <f t="shared" si="34"/>
        <v>8.8971218741434668E-2</v>
      </c>
      <c r="Q250" s="31">
        <f t="shared" si="37"/>
        <v>45113.859724347873</v>
      </c>
      <c r="R250" s="47">
        <v>0</v>
      </c>
      <c r="S250" s="37">
        <f t="shared" si="33"/>
        <v>507061.2762477306</v>
      </c>
      <c r="T250" s="40">
        <f t="shared" si="38"/>
        <v>6.1725783894199804E-3</v>
      </c>
    </row>
    <row r="251" spans="2:20" x14ac:dyDescent="0.35">
      <c r="B251" s="10" t="s">
        <v>242</v>
      </c>
      <c r="C251" s="19">
        <v>5.5999999999999999E-3</v>
      </c>
      <c r="D251" s="38">
        <f t="shared" si="30"/>
        <v>0.16439564766829309</v>
      </c>
      <c r="E251" s="32">
        <f t="shared" si="35"/>
        <v>85280.307174046859</v>
      </c>
      <c r="F251" s="47">
        <v>0</v>
      </c>
      <c r="G251" s="22">
        <v>5.3E-3</v>
      </c>
      <c r="H251" s="38">
        <f t="shared" si="31"/>
        <v>0.40953577251862422</v>
      </c>
      <c r="I251" s="32">
        <f t="shared" si="39"/>
        <v>212446.84378517693</v>
      </c>
      <c r="J251" s="47">
        <v>0</v>
      </c>
      <c r="K251" s="18">
        <v>5.4699999999999999E-2</v>
      </c>
      <c r="L251" s="38">
        <f t="shared" si="32"/>
        <v>0.33712803195139379</v>
      </c>
      <c r="M251" s="32">
        <f t="shared" si="36"/>
        <v>174885.29976053507</v>
      </c>
      <c r="N251" s="47">
        <v>0</v>
      </c>
      <c r="O251" s="19">
        <v>2.2700000000000001E-2</v>
      </c>
      <c r="P251" s="38">
        <f t="shared" si="34"/>
        <v>8.8940547861688923E-2</v>
      </c>
      <c r="Q251" s="31">
        <f t="shared" si="37"/>
        <v>46137.944340090573</v>
      </c>
      <c r="R251" s="47">
        <v>0</v>
      </c>
      <c r="S251" s="37">
        <f t="shared" si="33"/>
        <v>518750.39505984943</v>
      </c>
      <c r="T251" s="40">
        <f t="shared" si="38"/>
        <v>2.3052675011230761E-2</v>
      </c>
    </row>
    <row r="252" spans="2:20" x14ac:dyDescent="0.35">
      <c r="B252" s="11" t="s">
        <v>243</v>
      </c>
      <c r="C252" s="17">
        <v>-1.2800000000000001E-2</v>
      </c>
      <c r="D252" s="38">
        <f t="shared" si="30"/>
        <v>0.15432647312832223</v>
      </c>
      <c r="E252" s="32">
        <f t="shared" si="35"/>
        <v>84188.719242219056</v>
      </c>
      <c r="F252" s="47">
        <v>0</v>
      </c>
      <c r="G252" s="18">
        <v>9.7699999999999995E-2</v>
      </c>
      <c r="H252" s="38">
        <f t="shared" si="31"/>
        <v>0.42748460208819966</v>
      </c>
      <c r="I252" s="32">
        <f t="shared" si="39"/>
        <v>233202.90042298872</v>
      </c>
      <c r="J252" s="47">
        <v>0</v>
      </c>
      <c r="K252" s="18">
        <v>3.6400000000000002E-2</v>
      </c>
      <c r="L252" s="38">
        <f t="shared" si="32"/>
        <v>0.3322517205739392</v>
      </c>
      <c r="M252" s="32">
        <f t="shared" si="36"/>
        <v>181251.12467181854</v>
      </c>
      <c r="N252" s="47">
        <v>0</v>
      </c>
      <c r="O252" s="19">
        <v>1.61E-2</v>
      </c>
      <c r="P252" s="38">
        <f t="shared" si="34"/>
        <v>8.5937204209538778E-2</v>
      </c>
      <c r="Q252" s="31">
        <f t="shared" si="37"/>
        <v>46880.765243966031</v>
      </c>
      <c r="R252" s="47">
        <v>0</v>
      </c>
      <c r="S252" s="37">
        <f t="shared" si="33"/>
        <v>545523.5095809924</v>
      </c>
      <c r="T252" s="40">
        <f t="shared" si="38"/>
        <v>5.1610783868519361E-2</v>
      </c>
    </row>
    <row r="253" spans="2:20" x14ac:dyDescent="0.35">
      <c r="B253" s="10" t="s">
        <v>244</v>
      </c>
      <c r="C253" s="17">
        <v>-1.8800000000000001E-2</v>
      </c>
      <c r="D253" s="38">
        <f t="shared" si="30"/>
        <v>0.15027564265053359</v>
      </c>
      <c r="E253" s="32">
        <f t="shared" si="35"/>
        <v>82605.971320465338</v>
      </c>
      <c r="F253" s="47">
        <v>0</v>
      </c>
      <c r="G253" s="18">
        <v>4.9599999999999998E-2</v>
      </c>
      <c r="H253" s="38">
        <f t="shared" si="31"/>
        <v>0.44528177613813996</v>
      </c>
      <c r="I253" s="32">
        <f t="shared" si="39"/>
        <v>244769.76428396895</v>
      </c>
      <c r="J253" s="47">
        <v>0</v>
      </c>
      <c r="K253" s="17">
        <v>-1.7500000000000002E-2</v>
      </c>
      <c r="L253" s="38">
        <f t="shared" si="32"/>
        <v>0.32395927681366982</v>
      </c>
      <c r="M253" s="32">
        <f t="shared" si="36"/>
        <v>178079.22999006172</v>
      </c>
      <c r="N253" s="47">
        <v>0</v>
      </c>
      <c r="O253" s="17">
        <v>-5.6300000000000003E-2</v>
      </c>
      <c r="P253" s="38">
        <f t="shared" si="34"/>
        <v>8.0483304397656497E-2</v>
      </c>
      <c r="Q253" s="31">
        <f t="shared" si="37"/>
        <v>44241.378160730746</v>
      </c>
      <c r="R253" s="47">
        <v>0</v>
      </c>
      <c r="S253" s="37">
        <f t="shared" si="33"/>
        <v>549696.34375522682</v>
      </c>
      <c r="T253" s="40">
        <f t="shared" si="38"/>
        <v>7.6492288617213688E-3</v>
      </c>
    </row>
    <row r="254" spans="2:20" x14ac:dyDescent="0.35">
      <c r="B254" s="11" t="s">
        <v>245</v>
      </c>
      <c r="C254" s="17">
        <v>-3.0099999999999998E-2</v>
      </c>
      <c r="D254" s="38">
        <f t="shared" si="30"/>
        <v>0.14048678225179101</v>
      </c>
      <c r="E254" s="32">
        <f t="shared" si="35"/>
        <v>80119.531583719334</v>
      </c>
      <c r="F254" s="47">
        <v>0</v>
      </c>
      <c r="G254" s="18">
        <v>3.5200000000000002E-2</v>
      </c>
      <c r="H254" s="38">
        <f t="shared" si="31"/>
        <v>0.44430284771560635</v>
      </c>
      <c r="I254" s="32">
        <f t="shared" si="39"/>
        <v>253385.65998676466</v>
      </c>
      <c r="J254" s="47">
        <v>0</v>
      </c>
      <c r="K254" s="18">
        <v>6.5600000000000006E-2</v>
      </c>
      <c r="L254" s="38">
        <f t="shared" si="32"/>
        <v>0.33273964185118465</v>
      </c>
      <c r="M254" s="32">
        <f t="shared" si="36"/>
        <v>189761.22747740976</v>
      </c>
      <c r="N254" s="47">
        <v>0</v>
      </c>
      <c r="O254" s="19">
        <v>6.3100000000000003E-2</v>
      </c>
      <c r="P254" s="38">
        <f t="shared" si="34"/>
        <v>8.2470728181417874E-2</v>
      </c>
      <c r="Q254" s="31">
        <f t="shared" si="37"/>
        <v>47033.009122672855</v>
      </c>
      <c r="R254" s="47">
        <v>0</v>
      </c>
      <c r="S254" s="37">
        <f t="shared" si="33"/>
        <v>570299.42817056668</v>
      </c>
      <c r="T254" s="40">
        <f t="shared" si="38"/>
        <v>3.7480846742750318E-2</v>
      </c>
    </row>
    <row r="255" spans="2:20" x14ac:dyDescent="0.35">
      <c r="B255" s="10" t="s">
        <v>246</v>
      </c>
      <c r="C255" s="17">
        <v>-2.3900000000000001E-2</v>
      </c>
      <c r="D255" s="38">
        <f t="shared" si="30"/>
        <v>0.12956320028429089</v>
      </c>
      <c r="E255" s="32">
        <f t="shared" si="35"/>
        <v>78204.674778868444</v>
      </c>
      <c r="F255" s="47">
        <v>0</v>
      </c>
      <c r="G255" s="18">
        <v>5.6899999999999999E-2</v>
      </c>
      <c r="H255" s="38">
        <f t="shared" si="31"/>
        <v>0.44367492373366918</v>
      </c>
      <c r="I255" s="32">
        <f t="shared" si="39"/>
        <v>267803.30404001154</v>
      </c>
      <c r="J255" s="47">
        <v>0</v>
      </c>
      <c r="K255" s="18">
        <v>9.3799999999999994E-2</v>
      </c>
      <c r="L255" s="38">
        <f t="shared" si="32"/>
        <v>0.34387005053289249</v>
      </c>
      <c r="M255" s="32">
        <f t="shared" si="36"/>
        <v>207560.83061479079</v>
      </c>
      <c r="N255" s="47">
        <v>0</v>
      </c>
      <c r="O255" s="19">
        <v>6.3799999999999996E-2</v>
      </c>
      <c r="P255" s="38">
        <f t="shared" si="34"/>
        <v>8.2891825449147569E-2</v>
      </c>
      <c r="Q255" s="31">
        <f t="shared" si="37"/>
        <v>50033.715104699382</v>
      </c>
      <c r="R255" s="47">
        <v>0</v>
      </c>
      <c r="S255" s="37">
        <f t="shared" si="33"/>
        <v>603602.52453837008</v>
      </c>
      <c r="T255" s="40">
        <f t="shared" si="38"/>
        <v>5.8395808802815363E-2</v>
      </c>
    </row>
    <row r="256" spans="2:20" x14ac:dyDescent="0.35">
      <c r="B256" s="11" t="s">
        <v>247</v>
      </c>
      <c r="C256" s="19">
        <v>3.6700000000000003E-2</v>
      </c>
      <c r="D256" s="38">
        <f t="shared" si="30"/>
        <v>0.12711766231244767</v>
      </c>
      <c r="E256" s="32">
        <f t="shared" si="35"/>
        <v>81074.786343252912</v>
      </c>
      <c r="F256" s="47">
        <v>0</v>
      </c>
      <c r="G256" s="18">
        <v>7.3400000000000007E-2</v>
      </c>
      <c r="H256" s="38">
        <f t="shared" si="31"/>
        <v>0.45071042819824875</v>
      </c>
      <c r="I256" s="32">
        <f t="shared" si="39"/>
        <v>287460.06655654841</v>
      </c>
      <c r="J256" s="47">
        <v>0</v>
      </c>
      <c r="K256" s="18">
        <v>3.1800000000000002E-2</v>
      </c>
      <c r="L256" s="38">
        <f t="shared" si="32"/>
        <v>0.33578478089378083</v>
      </c>
      <c r="M256" s="32">
        <f t="shared" si="36"/>
        <v>214161.26502834112</v>
      </c>
      <c r="N256" s="47">
        <v>0</v>
      </c>
      <c r="O256" s="19">
        <v>0.1012</v>
      </c>
      <c r="P256" s="38">
        <f t="shared" si="34"/>
        <v>8.6387128595522819E-2</v>
      </c>
      <c r="Q256" s="31">
        <f t="shared" si="37"/>
        <v>55097.127073294963</v>
      </c>
      <c r="R256" s="47">
        <v>0</v>
      </c>
      <c r="S256" s="37">
        <f t="shared" si="33"/>
        <v>637793.24500143738</v>
      </c>
      <c r="T256" s="40">
        <f t="shared" si="38"/>
        <v>5.664442919488466E-2</v>
      </c>
    </row>
    <row r="257" spans="2:20" x14ac:dyDescent="0.35">
      <c r="B257" s="10" t="s">
        <v>248</v>
      </c>
      <c r="C257" s="19">
        <v>7.9000000000000001E-2</v>
      </c>
      <c r="D257" s="38">
        <f t="shared" si="30"/>
        <v>0.13249666921759132</v>
      </c>
      <c r="E257" s="32">
        <f t="shared" si="35"/>
        <v>87479.694464369895</v>
      </c>
      <c r="F257" s="47">
        <v>0</v>
      </c>
      <c r="G257" s="18">
        <v>2.58E-2</v>
      </c>
      <c r="H257" s="38">
        <f t="shared" si="31"/>
        <v>0.4466197455982151</v>
      </c>
      <c r="I257" s="32">
        <f t="shared" si="39"/>
        <v>294876.53627370734</v>
      </c>
      <c r="J257" s="47">
        <v>0</v>
      </c>
      <c r="K257" s="18">
        <v>2.5999999999999999E-2</v>
      </c>
      <c r="L257" s="38">
        <f t="shared" si="32"/>
        <v>0.33280204602363461</v>
      </c>
      <c r="M257" s="32">
        <f t="shared" si="36"/>
        <v>219729.45791907798</v>
      </c>
      <c r="N257" s="47">
        <v>0</v>
      </c>
      <c r="O257" s="19">
        <v>5.5500000000000001E-2</v>
      </c>
      <c r="P257" s="38">
        <f t="shared" si="34"/>
        <v>8.808153916055908E-2</v>
      </c>
      <c r="Q257" s="31">
        <f t="shared" si="37"/>
        <v>58155.017625862834</v>
      </c>
      <c r="R257" s="47">
        <v>0</v>
      </c>
      <c r="S257" s="37">
        <f t="shared" si="33"/>
        <v>660240.70628301799</v>
      </c>
      <c r="T257" s="40">
        <f t="shared" si="38"/>
        <v>3.5195514310487841E-2</v>
      </c>
    </row>
    <row r="258" spans="2:20" x14ac:dyDescent="0.35">
      <c r="B258" s="11" t="s">
        <v>249</v>
      </c>
      <c r="C258" s="17">
        <v>-4.7E-2</v>
      </c>
      <c r="D258" s="38">
        <f t="shared" si="30"/>
        <v>0.12692905454080899</v>
      </c>
      <c r="E258" s="32">
        <f t="shared" si="35"/>
        <v>83368.148824544507</v>
      </c>
      <c r="F258" s="47">
        <v>0</v>
      </c>
      <c r="G258" s="18">
        <v>1.5900000000000001E-2</v>
      </c>
      <c r="H258" s="38">
        <f t="shared" si="31"/>
        <v>0.45609158954466306</v>
      </c>
      <c r="I258" s="32">
        <f t="shared" si="39"/>
        <v>299565.0732004593</v>
      </c>
      <c r="J258" s="47">
        <v>0</v>
      </c>
      <c r="K258" s="17">
        <v>-1.52E-2</v>
      </c>
      <c r="L258" s="38">
        <f t="shared" si="32"/>
        <v>0.32945584062975536</v>
      </c>
      <c r="M258" s="32">
        <f t="shared" si="36"/>
        <v>216389.570158708</v>
      </c>
      <c r="N258" s="47">
        <v>0</v>
      </c>
      <c r="O258" s="17">
        <v>-1.15E-2</v>
      </c>
      <c r="P258" s="38">
        <f t="shared" si="34"/>
        <v>8.7523515284772646E-2</v>
      </c>
      <c r="Q258" s="31">
        <f t="shared" si="37"/>
        <v>57486.234923165415</v>
      </c>
      <c r="R258" s="47">
        <v>0</v>
      </c>
      <c r="S258" s="37">
        <f t="shared" si="33"/>
        <v>656809.02710687718</v>
      </c>
      <c r="T258" s="40">
        <f t="shared" si="38"/>
        <v>-5.1976182981208208E-3</v>
      </c>
    </row>
    <row r="259" spans="2:20" x14ac:dyDescent="0.35">
      <c r="B259" s="10" t="s">
        <v>250</v>
      </c>
      <c r="C259" s="17">
        <v>-5.9999999999999995E-4</v>
      </c>
      <c r="D259" s="38">
        <f t="shared" si="30"/>
        <v>0.11892841398073954</v>
      </c>
      <c r="E259" s="32">
        <f t="shared" si="35"/>
        <v>83318.12793524978</v>
      </c>
      <c r="F259" s="47">
        <v>0</v>
      </c>
      <c r="G259" s="18">
        <v>0.105</v>
      </c>
      <c r="H259" s="38">
        <f t="shared" si="31"/>
        <v>0.47249756943078874</v>
      </c>
      <c r="I259" s="32">
        <f t="shared" si="39"/>
        <v>331019.40588650753</v>
      </c>
      <c r="J259" s="47">
        <v>0</v>
      </c>
      <c r="K259" s="18">
        <v>5.04E-2</v>
      </c>
      <c r="L259" s="38">
        <f t="shared" si="32"/>
        <v>0.32444206821781496</v>
      </c>
      <c r="M259" s="32">
        <f t="shared" si="36"/>
        <v>227295.60449470687</v>
      </c>
      <c r="N259" s="47">
        <v>0</v>
      </c>
      <c r="O259" s="19">
        <v>2.53E-2</v>
      </c>
      <c r="P259" s="38">
        <f t="shared" si="34"/>
        <v>8.4131948370656781E-2</v>
      </c>
      <c r="Q259" s="31">
        <f t="shared" si="37"/>
        <v>58940.636666721497</v>
      </c>
      <c r="R259" s="47">
        <v>0</v>
      </c>
      <c r="S259" s="37">
        <f t="shared" si="33"/>
        <v>700573.77498318569</v>
      </c>
      <c r="T259" s="40">
        <f t="shared" si="38"/>
        <v>6.6632378773909595E-2</v>
      </c>
    </row>
    <row r="260" spans="2:20" x14ac:dyDescent="0.35">
      <c r="B260" s="11" t="s">
        <v>251</v>
      </c>
      <c r="C260" s="17">
        <v>-4.1599999999999998E-2</v>
      </c>
      <c r="D260" s="38">
        <f t="shared" si="30"/>
        <v>0.10964624140753579</v>
      </c>
      <c r="E260" s="32">
        <f t="shared" si="35"/>
        <v>79852.093813143394</v>
      </c>
      <c r="F260" s="47">
        <v>0</v>
      </c>
      <c r="G260" s="18">
        <v>7.7999999999999996E-3</v>
      </c>
      <c r="H260" s="38">
        <f t="shared" si="31"/>
        <v>0.45807358585705671</v>
      </c>
      <c r="I260" s="32">
        <f t="shared" si="39"/>
        <v>333601.35725242231</v>
      </c>
      <c r="J260" s="47">
        <v>0</v>
      </c>
      <c r="K260" s="18">
        <v>0.10299999999999999</v>
      </c>
      <c r="L260" s="38">
        <f t="shared" si="32"/>
        <v>0.34425003286598266</v>
      </c>
      <c r="M260" s="32">
        <f t="shared" si="36"/>
        <v>250707.05175766168</v>
      </c>
      <c r="N260" s="47">
        <v>0</v>
      </c>
      <c r="O260" s="19">
        <v>8.77E-2</v>
      </c>
      <c r="P260" s="38">
        <f t="shared" si="34"/>
        <v>8.8030139869424762E-2</v>
      </c>
      <c r="Q260" s="31">
        <f t="shared" si="37"/>
        <v>64109.730502392973</v>
      </c>
      <c r="R260" s="47">
        <v>0</v>
      </c>
      <c r="S260" s="37">
        <f t="shared" si="33"/>
        <v>728270.23332562041</v>
      </c>
      <c r="T260" s="40">
        <f t="shared" si="38"/>
        <v>3.9533963918503057E-2</v>
      </c>
    </row>
    <row r="261" spans="2:20" x14ac:dyDescent="0.35">
      <c r="B261" s="10" t="s">
        <v>252</v>
      </c>
      <c r="C261" s="17">
        <v>-9.4E-2</v>
      </c>
      <c r="D261" s="38">
        <f t="shared" si="30"/>
        <v>0.10014211293928846</v>
      </c>
      <c r="E261" s="32">
        <f t="shared" si="35"/>
        <v>72345.996994707908</v>
      </c>
      <c r="F261" s="47">
        <v>0</v>
      </c>
      <c r="G261" s="18">
        <v>1.7000000000000001E-2</v>
      </c>
      <c r="H261" s="38">
        <f t="shared" si="31"/>
        <v>0.46962478184752521</v>
      </c>
      <c r="I261" s="32">
        <f t="shared" si="39"/>
        <v>339272.5803257135</v>
      </c>
      <c r="J261" s="47">
        <v>0</v>
      </c>
      <c r="K261" s="18">
        <v>1.4E-3</v>
      </c>
      <c r="L261" s="38">
        <f t="shared" si="32"/>
        <v>0.34751726154357088</v>
      </c>
      <c r="M261" s="32">
        <f t="shared" si="36"/>
        <v>251058.0416301224</v>
      </c>
      <c r="N261" s="47">
        <v>0</v>
      </c>
      <c r="O261" s="17">
        <v>-6.7900000000000002E-2</v>
      </c>
      <c r="P261" s="38">
        <f t="shared" si="34"/>
        <v>8.2715843669615458E-2</v>
      </c>
      <c r="Q261" s="31">
        <f t="shared" si="37"/>
        <v>59756.679801280494</v>
      </c>
      <c r="R261" s="47">
        <v>0</v>
      </c>
      <c r="S261" s="37">
        <f t="shared" si="33"/>
        <v>722433.2987518243</v>
      </c>
      <c r="T261" s="40">
        <f t="shared" si="38"/>
        <v>-8.0147921838600311E-3</v>
      </c>
    </row>
    <row r="262" spans="2:20" x14ac:dyDescent="0.35">
      <c r="B262" s="9" t="s">
        <v>253</v>
      </c>
      <c r="C262" s="19">
        <v>6.9900000000000004E-2</v>
      </c>
      <c r="D262" s="38">
        <f t="shared" si="30"/>
        <v>0.10688027606885038</v>
      </c>
      <c r="E262" s="32">
        <f t="shared" si="35"/>
        <v>77402.982184637993</v>
      </c>
      <c r="F262" s="47">
        <v>0</v>
      </c>
      <c r="G262" s="18">
        <v>1.3599999999999999E-2</v>
      </c>
      <c r="H262" s="38">
        <f t="shared" si="31"/>
        <v>0.47484868218615262</v>
      </c>
      <c r="I262" s="32">
        <f t="shared" si="39"/>
        <v>343886.68741814321</v>
      </c>
      <c r="J262" s="47">
        <v>0</v>
      </c>
      <c r="K262" s="17">
        <v>-2.35E-2</v>
      </c>
      <c r="L262" s="38">
        <f t="shared" si="32"/>
        <v>0.33852150096049621</v>
      </c>
      <c r="M262" s="32">
        <f t="shared" si="36"/>
        <v>245158.17765181453</v>
      </c>
      <c r="N262" s="47">
        <v>0</v>
      </c>
      <c r="O262" s="17">
        <v>-3.3500000000000002E-2</v>
      </c>
      <c r="P262" s="38">
        <f t="shared" si="34"/>
        <v>7.9749540784500791E-2</v>
      </c>
      <c r="Q262" s="31">
        <f t="shared" si="37"/>
        <v>57754.831027937595</v>
      </c>
      <c r="R262" s="47">
        <v>0</v>
      </c>
      <c r="S262" s="37">
        <f t="shared" si="33"/>
        <v>724202.67828253331</v>
      </c>
      <c r="T262" s="40">
        <f t="shared" si="38"/>
        <v>2.4491943183766463E-3</v>
      </c>
    </row>
    <row r="263" spans="2:20" x14ac:dyDescent="0.35">
      <c r="B263" s="10" t="s">
        <v>254</v>
      </c>
      <c r="C263" s="17">
        <v>-5.3699999999999998E-2</v>
      </c>
      <c r="D263" s="38">
        <f t="shared" si="30"/>
        <v>0.10141372410038901</v>
      </c>
      <c r="E263" s="32">
        <f t="shared" si="35"/>
        <v>73246.442041322938</v>
      </c>
      <c r="F263" s="47">
        <v>0</v>
      </c>
      <c r="G263" s="22">
        <v>1.54E-2</v>
      </c>
      <c r="H263" s="38">
        <f t="shared" si="31"/>
        <v>0.48346241850344562</v>
      </c>
      <c r="I263" s="32">
        <f t="shared" si="39"/>
        <v>349182.54240438261</v>
      </c>
      <c r="J263" s="47">
        <v>0</v>
      </c>
      <c r="K263" s="17">
        <v>-1.9900000000000001E-2</v>
      </c>
      <c r="L263" s="38">
        <f t="shared" si="32"/>
        <v>0.33268021319288354</v>
      </c>
      <c r="M263" s="32">
        <f t="shared" si="36"/>
        <v>240279.52991654343</v>
      </c>
      <c r="N263" s="47">
        <v>0</v>
      </c>
      <c r="O263" s="19">
        <v>3.1E-2</v>
      </c>
      <c r="P263" s="38">
        <f t="shared" si="34"/>
        <v>8.2443644203281888E-2</v>
      </c>
      <c r="Q263" s="31">
        <f t="shared" si="37"/>
        <v>59545.23078980366</v>
      </c>
      <c r="R263" s="47">
        <v>0</v>
      </c>
      <c r="S263" s="37">
        <f t="shared" si="33"/>
        <v>722253.74515205261</v>
      </c>
      <c r="T263" s="40">
        <f t="shared" si="38"/>
        <v>-2.6911432240248612E-3</v>
      </c>
    </row>
    <row r="264" spans="2:20" x14ac:dyDescent="0.35">
      <c r="B264" s="11" t="s">
        <v>255</v>
      </c>
      <c r="C264" s="19">
        <v>5.7200000000000001E-2</v>
      </c>
      <c r="D264" s="38">
        <f t="shared" si="30"/>
        <v>0.10553802586006707</v>
      </c>
      <c r="E264" s="32">
        <f t="shared" si="35"/>
        <v>77436.138526086608</v>
      </c>
      <c r="F264" s="47">
        <v>0</v>
      </c>
      <c r="G264" s="18">
        <v>7.7899999999999997E-2</v>
      </c>
      <c r="H264" s="38">
        <f t="shared" si="31"/>
        <v>0.51297508586367846</v>
      </c>
      <c r="I264" s="32">
        <f t="shared" si="39"/>
        <v>376383.86245768401</v>
      </c>
      <c r="J264" s="47">
        <v>0</v>
      </c>
      <c r="K264" s="17">
        <v>-7.0699999999999999E-2</v>
      </c>
      <c r="L264" s="38">
        <f t="shared" si="32"/>
        <v>0.30432525103289254</v>
      </c>
      <c r="M264" s="32">
        <f t="shared" si="36"/>
        <v>223291.76715144381</v>
      </c>
      <c r="N264" s="47">
        <v>0</v>
      </c>
      <c r="O264" s="17">
        <v>-4.9200000000000001E-2</v>
      </c>
      <c r="P264" s="38">
        <f t="shared" si="34"/>
        <v>7.7161637243361864E-2</v>
      </c>
      <c r="Q264" s="31">
        <f t="shared" si="37"/>
        <v>56615.605434945319</v>
      </c>
      <c r="R264" s="47">
        <v>0</v>
      </c>
      <c r="S264" s="37">
        <f t="shared" si="33"/>
        <v>733727.37357015978</v>
      </c>
      <c r="T264" s="40">
        <f t="shared" si="38"/>
        <v>1.5885869052422397E-2</v>
      </c>
    </row>
    <row r="265" spans="2:20" x14ac:dyDescent="0.35">
      <c r="B265" s="10" t="s">
        <v>256</v>
      </c>
      <c r="C265" s="19">
        <v>2.0799999999999999E-2</v>
      </c>
      <c r="D265" s="38">
        <f t="shared" si="30"/>
        <v>0.10739788698089377</v>
      </c>
      <c r="E265" s="32">
        <f t="shared" si="35"/>
        <v>79046.810207429211</v>
      </c>
      <c r="F265" s="47">
        <v>0</v>
      </c>
      <c r="G265" s="18">
        <v>2.7699999999999999E-2</v>
      </c>
      <c r="H265" s="38">
        <f t="shared" si="31"/>
        <v>0.52554358418511227</v>
      </c>
      <c r="I265" s="32">
        <f t="shared" si="39"/>
        <v>386809.69544776186</v>
      </c>
      <c r="J265" s="47">
        <v>0</v>
      </c>
      <c r="K265" s="17">
        <v>-3.15E-2</v>
      </c>
      <c r="L265" s="38">
        <f t="shared" si="32"/>
        <v>0.29382160262027451</v>
      </c>
      <c r="M265" s="32">
        <f t="shared" si="36"/>
        <v>216258.07648617332</v>
      </c>
      <c r="N265" s="47">
        <v>0</v>
      </c>
      <c r="O265" s="17">
        <v>-4.7899999999999998E-2</v>
      </c>
      <c r="P265" s="38">
        <f t="shared" si="34"/>
        <v>7.3236926213719411E-2</v>
      </c>
      <c r="Q265" s="31">
        <f t="shared" si="37"/>
        <v>53903.717934611435</v>
      </c>
      <c r="R265" s="47">
        <v>0</v>
      </c>
      <c r="S265" s="37">
        <f t="shared" si="33"/>
        <v>736018.30007597583</v>
      </c>
      <c r="T265" s="40">
        <f t="shared" si="38"/>
        <v>3.1223129848201303E-3</v>
      </c>
    </row>
    <row r="266" spans="2:20" x14ac:dyDescent="0.35">
      <c r="B266" s="11" t="s">
        <v>257</v>
      </c>
      <c r="C266" s="19">
        <v>1.46E-2</v>
      </c>
      <c r="D266" s="38">
        <f t="shared" si="30"/>
        <v>0.10600194961888808</v>
      </c>
      <c r="E266" s="32">
        <f t="shared" si="35"/>
        <v>80200.89363645768</v>
      </c>
      <c r="F266" s="47">
        <v>0</v>
      </c>
      <c r="G266" s="18">
        <v>8.2000000000000007E-3</v>
      </c>
      <c r="H266" s="38">
        <f t="shared" si="31"/>
        <v>0.51544067834826124</v>
      </c>
      <c r="I266" s="32">
        <f t="shared" si="39"/>
        <v>389981.53495043353</v>
      </c>
      <c r="J266" s="47">
        <v>0</v>
      </c>
      <c r="K266" s="18">
        <v>7.0300000000000001E-2</v>
      </c>
      <c r="L266" s="38">
        <f t="shared" si="32"/>
        <v>0.30592326581652696</v>
      </c>
      <c r="M266" s="32">
        <f t="shared" si="36"/>
        <v>231461.01926315131</v>
      </c>
      <c r="N266" s="47">
        <v>0</v>
      </c>
      <c r="O266" s="19">
        <v>1.95E-2</v>
      </c>
      <c r="P266" s="38">
        <f t="shared" si="34"/>
        <v>7.263410621632381E-2</v>
      </c>
      <c r="Q266" s="31">
        <f t="shared" si="37"/>
        <v>54954.840434336358</v>
      </c>
      <c r="R266" s="47">
        <v>0</v>
      </c>
      <c r="S266" s="37">
        <f t="shared" si="33"/>
        <v>756598.28828437882</v>
      </c>
      <c r="T266" s="40">
        <f t="shared" si="38"/>
        <v>2.7961245265611723E-2</v>
      </c>
    </row>
    <row r="267" spans="2:20" x14ac:dyDescent="0.35">
      <c r="B267" s="10" t="s">
        <v>258</v>
      </c>
      <c r="C267" s="19">
        <v>2.5000000000000001E-2</v>
      </c>
      <c r="D267" s="38">
        <f t="shared" si="30"/>
        <v>0.10979637858162834</v>
      </c>
      <c r="E267" s="32">
        <f t="shared" si="35"/>
        <v>82205.915977369121</v>
      </c>
      <c r="F267" s="47">
        <v>0</v>
      </c>
      <c r="G267" s="17">
        <v>-2.9000000000000001E-2</v>
      </c>
      <c r="H267" s="38">
        <f t="shared" si="31"/>
        <v>0.50576435417886001</v>
      </c>
      <c r="I267" s="32">
        <f t="shared" si="39"/>
        <v>378672.07043687097</v>
      </c>
      <c r="J267" s="47">
        <v>0</v>
      </c>
      <c r="K267" s="18">
        <v>1.47E-2</v>
      </c>
      <c r="L267" s="38">
        <f t="shared" si="32"/>
        <v>0.31368984874476474</v>
      </c>
      <c r="M267" s="32">
        <f t="shared" si="36"/>
        <v>234863.49624631964</v>
      </c>
      <c r="N267" s="47">
        <v>0</v>
      </c>
      <c r="O267" s="17">
        <v>-3.61E-2</v>
      </c>
      <c r="P267" s="38">
        <f t="shared" si="34"/>
        <v>7.0749418494746807E-2</v>
      </c>
      <c r="Q267" s="31">
        <f t="shared" si="37"/>
        <v>52970.970694656819</v>
      </c>
      <c r="R267" s="47">
        <v>0</v>
      </c>
      <c r="S267" s="37">
        <f t="shared" si="33"/>
        <v>748712.45335521665</v>
      </c>
      <c r="T267" s="40">
        <f t="shared" si="38"/>
        <v>-1.0422750158533445E-2</v>
      </c>
    </row>
    <row r="268" spans="2:20" x14ac:dyDescent="0.35">
      <c r="B268" s="11" t="s">
        <v>259</v>
      </c>
      <c r="C268" s="17">
        <v>-6.3100000000000003E-2</v>
      </c>
      <c r="D268" s="38">
        <f t="shared" si="30"/>
        <v>0.10144543709299647</v>
      </c>
      <c r="E268" s="32">
        <f t="shared" si="35"/>
        <v>77018.722679197133</v>
      </c>
      <c r="F268" s="47">
        <v>0</v>
      </c>
      <c r="G268" s="18">
        <v>1.3899999999999999E-2</v>
      </c>
      <c r="H268" s="38">
        <f t="shared" si="31"/>
        <v>0.50570192080494769</v>
      </c>
      <c r="I268" s="32">
        <f t="shared" si="39"/>
        <v>383935.61221594346</v>
      </c>
      <c r="J268" s="47">
        <v>0</v>
      </c>
      <c r="K268" s="18">
        <v>4.0099999999999997E-2</v>
      </c>
      <c r="L268" s="38">
        <f t="shared" si="32"/>
        <v>0.32175612573421658</v>
      </c>
      <c r="M268" s="32">
        <f t="shared" si="36"/>
        <v>244281.52244579705</v>
      </c>
      <c r="N268" s="47">
        <v>0</v>
      </c>
      <c r="O268" s="19">
        <v>1.9E-2</v>
      </c>
      <c r="P268" s="38">
        <f t="shared" si="34"/>
        <v>7.109651636783916E-2</v>
      </c>
      <c r="Q268" s="31">
        <f t="shared" si="37"/>
        <v>53977.419137855301</v>
      </c>
      <c r="R268" s="47">
        <v>0</v>
      </c>
      <c r="S268" s="37">
        <f t="shared" si="33"/>
        <v>759213.27647879301</v>
      </c>
      <c r="T268" s="40">
        <f t="shared" si="38"/>
        <v>1.4025174920650585E-2</v>
      </c>
    </row>
    <row r="269" spans="2:20" x14ac:dyDescent="0.35">
      <c r="B269" s="10" t="s">
        <v>260</v>
      </c>
      <c r="C269" s="19">
        <v>7.9299999999999995E-2</v>
      </c>
      <c r="D269" s="38">
        <f t="shared" si="30"/>
        <v>0.10797024656422781</v>
      </c>
      <c r="E269" s="32">
        <f t="shared" si="35"/>
        <v>83126.307387657464</v>
      </c>
      <c r="F269" s="47">
        <v>0</v>
      </c>
      <c r="G269" s="18">
        <v>1.77E-2</v>
      </c>
      <c r="H269" s="38">
        <f t="shared" si="31"/>
        <v>0.50750903250245627</v>
      </c>
      <c r="I269" s="32">
        <f t="shared" si="39"/>
        <v>390731.27255216567</v>
      </c>
      <c r="J269" s="47">
        <v>0</v>
      </c>
      <c r="K269" s="17">
        <v>-1.0200000000000001E-2</v>
      </c>
      <c r="L269" s="38">
        <f t="shared" si="32"/>
        <v>0.31405352457766439</v>
      </c>
      <c r="M269" s="32">
        <f t="shared" si="36"/>
        <v>241789.85091684991</v>
      </c>
      <c r="N269" s="47">
        <v>0</v>
      </c>
      <c r="O269" s="19">
        <v>5.1000000000000004E-3</v>
      </c>
      <c r="P269" s="38">
        <f t="shared" si="34"/>
        <v>7.046719635565149E-2</v>
      </c>
      <c r="Q269" s="31">
        <f t="shared" si="37"/>
        <v>54252.70397545836</v>
      </c>
      <c r="R269" s="47">
        <v>0</v>
      </c>
      <c r="S269" s="37">
        <f t="shared" si="33"/>
        <v>769900.13483213144</v>
      </c>
      <c r="T269" s="40">
        <f t="shared" si="38"/>
        <v>1.4076226910709089E-2</v>
      </c>
    </row>
    <row r="270" spans="2:20" x14ac:dyDescent="0.35">
      <c r="B270" s="11" t="s">
        <v>261</v>
      </c>
      <c r="C270" s="19">
        <v>3.27E-2</v>
      </c>
      <c r="D270" s="38">
        <f t="shared" si="30"/>
        <v>0.10538874075734014</v>
      </c>
      <c r="E270" s="32">
        <f t="shared" si="35"/>
        <v>85844.537639233866</v>
      </c>
      <c r="F270" s="47">
        <v>0</v>
      </c>
      <c r="G270" s="18">
        <v>0.10009999999999999</v>
      </c>
      <c r="H270" s="38">
        <f t="shared" si="31"/>
        <v>0.52770582242194197</v>
      </c>
      <c r="I270" s="32">
        <f t="shared" si="39"/>
        <v>429843.47293463745</v>
      </c>
      <c r="J270" s="47">
        <v>0</v>
      </c>
      <c r="K270" s="18">
        <v>1.7500000000000002E-2</v>
      </c>
      <c r="L270" s="38">
        <f t="shared" si="32"/>
        <v>0.30203274858938095</v>
      </c>
      <c r="M270" s="32">
        <f t="shared" si="36"/>
        <v>246021.17330789479</v>
      </c>
      <c r="N270" s="47">
        <v>0</v>
      </c>
      <c r="O270" s="17">
        <v>-2.5999999999999999E-2</v>
      </c>
      <c r="P270" s="38">
        <f t="shared" si="34"/>
        <v>6.487268823133692E-2</v>
      </c>
      <c r="Q270" s="31">
        <f t="shared" si="37"/>
        <v>52842.133672096446</v>
      </c>
      <c r="R270" s="47">
        <v>0</v>
      </c>
      <c r="S270" s="37">
        <f t="shared" si="33"/>
        <v>814551.31755386258</v>
      </c>
      <c r="T270" s="40">
        <f t="shared" si="38"/>
        <v>5.7996070791008325E-2</v>
      </c>
    </row>
    <row r="271" spans="2:20" x14ac:dyDescent="0.35">
      <c r="B271" s="10" t="s">
        <v>262</v>
      </c>
      <c r="C271" s="19">
        <v>1.67E-2</v>
      </c>
      <c r="D271" s="38">
        <f t="shared" si="30"/>
        <v>0.10332223254639245</v>
      </c>
      <c r="E271" s="32">
        <f t="shared" si="35"/>
        <v>87278.141417809078</v>
      </c>
      <c r="F271" s="47">
        <v>0</v>
      </c>
      <c r="G271" s="18">
        <v>4.9000000000000002E-2</v>
      </c>
      <c r="H271" s="38">
        <f t="shared" si="31"/>
        <v>0.53379452734062394</v>
      </c>
      <c r="I271" s="32">
        <f t="shared" si="39"/>
        <v>450905.80310843466</v>
      </c>
      <c r="J271" s="47">
        <v>0</v>
      </c>
      <c r="K271" s="18">
        <v>3.4099999999999998E-2</v>
      </c>
      <c r="L271" s="38">
        <f t="shared" si="32"/>
        <v>0.30117804907900986</v>
      </c>
      <c r="M271" s="32">
        <f t="shared" si="36"/>
        <v>254410.495317694</v>
      </c>
      <c r="N271" s="47">
        <v>0</v>
      </c>
      <c r="O271" s="17">
        <v>-1.3599999999999999E-2</v>
      </c>
      <c r="P271" s="38">
        <f t="shared" si="34"/>
        <v>6.1705191033973768E-2</v>
      </c>
      <c r="Q271" s="31">
        <f t="shared" si="37"/>
        <v>52123.480654155937</v>
      </c>
      <c r="R271" s="47">
        <v>0</v>
      </c>
      <c r="S271" s="37">
        <f t="shared" si="33"/>
        <v>844717.92049809371</v>
      </c>
      <c r="T271" s="40">
        <f t="shared" si="38"/>
        <v>3.7034625436274338E-2</v>
      </c>
    </row>
    <row r="272" spans="2:20" x14ac:dyDescent="0.35">
      <c r="B272" s="11" t="s">
        <v>263</v>
      </c>
      <c r="C272" s="19">
        <v>7.2999999999999995E-2</v>
      </c>
      <c r="D272" s="38">
        <f t="shared" si="30"/>
        <v>0.10725122633342765</v>
      </c>
      <c r="E272" s="32">
        <f t="shared" si="35"/>
        <v>93649.445741309144</v>
      </c>
      <c r="F272" s="47">
        <v>0</v>
      </c>
      <c r="G272" s="18">
        <v>4.8800000000000003E-2</v>
      </c>
      <c r="H272" s="38">
        <f t="shared" si="31"/>
        <v>0.54159613780463267</v>
      </c>
      <c r="I272" s="32">
        <f t="shared" si="39"/>
        <v>472910.00630012626</v>
      </c>
      <c r="J272" s="47">
        <v>0</v>
      </c>
      <c r="K272" s="17">
        <v>-3.5999999999999999E-3</v>
      </c>
      <c r="L272" s="38">
        <f t="shared" si="32"/>
        <v>0.2903125414602552</v>
      </c>
      <c r="M272" s="32">
        <f t="shared" si="36"/>
        <v>253494.61753455031</v>
      </c>
      <c r="N272" s="47">
        <v>0</v>
      </c>
      <c r="O272" s="19">
        <v>1.9199999999999998E-2</v>
      </c>
      <c r="P272" s="38">
        <f t="shared" si="34"/>
        <v>6.0840094401684447E-2</v>
      </c>
      <c r="Q272" s="31">
        <f t="shared" si="37"/>
        <v>53124.251482715728</v>
      </c>
      <c r="R272" s="47">
        <v>0</v>
      </c>
      <c r="S272" s="37">
        <f t="shared" si="33"/>
        <v>873178.32105870149</v>
      </c>
      <c r="T272" s="40">
        <f t="shared" si="38"/>
        <v>3.3692194601276926E-2</v>
      </c>
    </row>
    <row r="273" spans="2:20" x14ac:dyDescent="0.35">
      <c r="B273" s="10" t="s">
        <v>264</v>
      </c>
      <c r="C273" s="17">
        <v>-3.3399999999999999E-2</v>
      </c>
      <c r="D273" s="38">
        <f t="shared" si="30"/>
        <v>0.10089726952330623</v>
      </c>
      <c r="E273" s="32">
        <f t="shared" si="35"/>
        <v>90521.554253549417</v>
      </c>
      <c r="F273" s="47">
        <v>0</v>
      </c>
      <c r="G273" s="18">
        <v>4.6600000000000003E-2</v>
      </c>
      <c r="H273" s="38">
        <f t="shared" si="31"/>
        <v>0.55167924456872208</v>
      </c>
      <c r="I273" s="32">
        <f t="shared" si="39"/>
        <v>494947.61259371217</v>
      </c>
      <c r="J273" s="47">
        <v>0</v>
      </c>
      <c r="K273" s="18">
        <v>2.1999999999999999E-2</v>
      </c>
      <c r="L273" s="38">
        <f t="shared" si="32"/>
        <v>0.28876665991982786</v>
      </c>
      <c r="M273" s="32">
        <f t="shared" si="36"/>
        <v>259071.49912031041</v>
      </c>
      <c r="N273" s="47">
        <v>0</v>
      </c>
      <c r="O273" s="17">
        <v>-9.4000000000000004E-3</v>
      </c>
      <c r="P273" s="38">
        <f t="shared" si="34"/>
        <v>5.8656825988143729E-2</v>
      </c>
      <c r="Q273" s="31">
        <f t="shared" si="37"/>
        <v>52624.883518778202</v>
      </c>
      <c r="R273" s="47">
        <v>0</v>
      </c>
      <c r="S273" s="37">
        <f t="shared" si="33"/>
        <v>897165.54948635027</v>
      </c>
      <c r="T273" s="40">
        <f t="shared" si="38"/>
        <v>2.7471168086909303E-2</v>
      </c>
    </row>
    <row r="274" spans="2:20" x14ac:dyDescent="0.35">
      <c r="B274" s="9" t="s">
        <v>265</v>
      </c>
      <c r="C274" s="19">
        <v>0.1047</v>
      </c>
      <c r="D274" s="38">
        <f t="shared" si="30"/>
        <v>0.10733240779612122</v>
      </c>
      <c r="E274" s="32">
        <f t="shared" si="35"/>
        <v>99999.160983896043</v>
      </c>
      <c r="F274" s="47">
        <v>0</v>
      </c>
      <c r="G274" s="18">
        <v>7.4200000000000002E-2</v>
      </c>
      <c r="H274" s="38">
        <f t="shared" si="31"/>
        <v>0.57066192576423336</v>
      </c>
      <c r="I274" s="32">
        <f t="shared" si="39"/>
        <v>531672.72544816555</v>
      </c>
      <c r="J274" s="47">
        <v>0</v>
      </c>
      <c r="K274" s="17">
        <v>-3.95E-2</v>
      </c>
      <c r="L274" s="38">
        <f t="shared" si="32"/>
        <v>0.26708624553813393</v>
      </c>
      <c r="M274" s="32">
        <f t="shared" si="36"/>
        <v>248838.17490505814</v>
      </c>
      <c r="N274" s="47">
        <v>0</v>
      </c>
      <c r="O274" s="17">
        <v>-2.7699999999999999E-2</v>
      </c>
      <c r="P274" s="38">
        <f t="shared" si="34"/>
        <v>5.4919420901511501E-2</v>
      </c>
      <c r="Q274" s="31">
        <f t="shared" si="37"/>
        <v>51167.174245308044</v>
      </c>
      <c r="R274" s="47">
        <v>0</v>
      </c>
      <c r="S274" s="37">
        <f t="shared" si="33"/>
        <v>931677.23558242782</v>
      </c>
      <c r="T274" s="40">
        <f t="shared" si="38"/>
        <v>3.8467466919384519E-2</v>
      </c>
    </row>
    <row r="275" spans="2:20" x14ac:dyDescent="0.35">
      <c r="B275" s="10" t="s">
        <v>266</v>
      </c>
      <c r="C275" s="19">
        <v>3.5000000000000003E-2</v>
      </c>
      <c r="D275" s="38">
        <f t="shared" si="30"/>
        <v>0.10686107778847384</v>
      </c>
      <c r="E275" s="32">
        <f t="shared" si="35"/>
        <v>103499.13161833241</v>
      </c>
      <c r="F275" s="47">
        <v>0</v>
      </c>
      <c r="G275" s="18">
        <v>6.7400000000000002E-2</v>
      </c>
      <c r="H275" s="38">
        <f t="shared" si="31"/>
        <v>0.58594172379709042</v>
      </c>
      <c r="I275" s="32">
        <f t="shared" si="39"/>
        <v>567507.46714337193</v>
      </c>
      <c r="J275" s="47">
        <v>0</v>
      </c>
      <c r="K275" s="17">
        <v>-1.8800000000000001E-2</v>
      </c>
      <c r="L275" s="38">
        <f t="shared" si="32"/>
        <v>0.25209102902292124</v>
      </c>
      <c r="M275" s="32">
        <f t="shared" si="36"/>
        <v>244160.01721684306</v>
      </c>
      <c r="N275" s="47">
        <v>0</v>
      </c>
      <c r="O275" s="19">
        <v>4.3099999999999999E-2</v>
      </c>
      <c r="P275" s="38">
        <f t="shared" si="34"/>
        <v>5.510616939151456E-2</v>
      </c>
      <c r="Q275" s="31">
        <f t="shared" si="37"/>
        <v>53372.479455280823</v>
      </c>
      <c r="R275" s="47">
        <v>0</v>
      </c>
      <c r="S275" s="37">
        <f t="shared" si="33"/>
        <v>968539.09543382819</v>
      </c>
      <c r="T275" s="40">
        <f t="shared" si="38"/>
        <v>3.9565053694111674E-2</v>
      </c>
    </row>
    <row r="276" spans="2:20" x14ac:dyDescent="0.35">
      <c r="B276" s="11" t="s">
        <v>267</v>
      </c>
      <c r="C276" s="19">
        <v>1.34E-2</v>
      </c>
      <c r="D276" s="38">
        <f t="shared" si="30"/>
        <v>0.11577934029612832</v>
      </c>
      <c r="E276" s="32">
        <f t="shared" si="35"/>
        <v>104886.01998201806</v>
      </c>
      <c r="F276" s="47">
        <v>0</v>
      </c>
      <c r="G276" s="17">
        <v>-9.5100000000000004E-2</v>
      </c>
      <c r="H276" s="38">
        <f t="shared" si="31"/>
        <v>0.56687281860881178</v>
      </c>
      <c r="I276" s="32">
        <f t="shared" si="39"/>
        <v>513537.50701803726</v>
      </c>
      <c r="J276" s="47">
        <v>0</v>
      </c>
      <c r="K276" s="17">
        <v>-2.9700000000000001E-2</v>
      </c>
      <c r="L276" s="38">
        <f t="shared" si="32"/>
        <v>0.26151345774083368</v>
      </c>
      <c r="M276" s="32">
        <f t="shared" si="36"/>
        <v>236908.46470550282</v>
      </c>
      <c r="N276" s="47">
        <v>0</v>
      </c>
      <c r="O276" s="17">
        <v>-5.2299999999999999E-2</v>
      </c>
      <c r="P276" s="38">
        <f t="shared" si="34"/>
        <v>5.583438335422624E-2</v>
      </c>
      <c r="Q276" s="31">
        <f t="shared" si="37"/>
        <v>50581.098779769636</v>
      </c>
      <c r="R276" s="47">
        <v>0</v>
      </c>
      <c r="S276" s="37">
        <f t="shared" si="33"/>
        <v>905913.09048532776</v>
      </c>
      <c r="T276" s="40">
        <f t="shared" si="38"/>
        <v>-6.4660275711894699E-2</v>
      </c>
    </row>
    <row r="277" spans="2:20" x14ac:dyDescent="0.35">
      <c r="B277" s="10" t="s">
        <v>268</v>
      </c>
      <c r="C277" s="17">
        <v>-1.66E-2</v>
      </c>
      <c r="D277" s="38">
        <f t="shared" si="30"/>
        <v>0.11632380653983239</v>
      </c>
      <c r="E277" s="32">
        <f t="shared" si="35"/>
        <v>103144.91205031656</v>
      </c>
      <c r="F277" s="47">
        <v>0</v>
      </c>
      <c r="G277" s="17">
        <v>-6.0299999999999999E-2</v>
      </c>
      <c r="H277" s="38">
        <f t="shared" si="31"/>
        <v>0.54422964015526221</v>
      </c>
      <c r="I277" s="32">
        <f t="shared" si="39"/>
        <v>482571.19534484961</v>
      </c>
      <c r="J277" s="47">
        <v>0</v>
      </c>
      <c r="K277" s="18">
        <v>0.05</v>
      </c>
      <c r="L277" s="38">
        <f t="shared" si="32"/>
        <v>0.28053733879513637</v>
      </c>
      <c r="M277" s="32">
        <f t="shared" si="36"/>
        <v>248753.88794077796</v>
      </c>
      <c r="N277" s="47">
        <v>0</v>
      </c>
      <c r="O277" s="19">
        <v>3.27E-2</v>
      </c>
      <c r="P277" s="38">
        <f t="shared" si="34"/>
        <v>5.8909214509769027E-2</v>
      </c>
      <c r="Q277" s="31">
        <f t="shared" si="37"/>
        <v>52235.1007098681</v>
      </c>
      <c r="R277" s="47">
        <v>0</v>
      </c>
      <c r="S277" s="37">
        <f t="shared" si="33"/>
        <v>886705.09604581224</v>
      </c>
      <c r="T277" s="40">
        <f t="shared" si="38"/>
        <v>-2.1202910788302165E-2</v>
      </c>
    </row>
    <row r="278" spans="2:20" x14ac:dyDescent="0.35">
      <c r="B278" s="11" t="s">
        <v>269</v>
      </c>
      <c r="C278" s="17">
        <v>-8.6599999999999996E-2</v>
      </c>
      <c r="D278" s="38">
        <f t="shared" si="30"/>
        <v>0.10589048432332594</v>
      </c>
      <c r="E278" s="32">
        <f t="shared" si="35"/>
        <v>94212.562666759142</v>
      </c>
      <c r="F278" s="47">
        <v>0</v>
      </c>
      <c r="G278" s="17">
        <v>-7.4000000000000003E-3</v>
      </c>
      <c r="H278" s="38">
        <f t="shared" si="31"/>
        <v>0.53837363508254688</v>
      </c>
      <c r="I278" s="32">
        <f t="shared" si="39"/>
        <v>479000.1684992977</v>
      </c>
      <c r="J278" s="47">
        <v>0</v>
      </c>
      <c r="K278" s="18">
        <v>6.1699999999999998E-2</v>
      </c>
      <c r="L278" s="38">
        <f t="shared" si="32"/>
        <v>0.29683821561038332</v>
      </c>
      <c r="M278" s="32">
        <f t="shared" si="36"/>
        <v>264102.00282672397</v>
      </c>
      <c r="N278" s="47">
        <v>0</v>
      </c>
      <c r="O278" s="19">
        <v>3.2000000000000002E-3</v>
      </c>
      <c r="P278" s="38">
        <f t="shared" si="34"/>
        <v>5.8897664983743776E-2</v>
      </c>
      <c r="Q278" s="31">
        <f t="shared" si="37"/>
        <v>52402.253032139677</v>
      </c>
      <c r="R278" s="47">
        <v>0</v>
      </c>
      <c r="S278" s="37">
        <f t="shared" si="33"/>
        <v>889716.98702492053</v>
      </c>
      <c r="T278" s="40">
        <f t="shared" si="38"/>
        <v>3.3967223065927143E-3</v>
      </c>
    </row>
    <row r="279" spans="2:20" s="1" customFormat="1" x14ac:dyDescent="0.35"/>
    <row r="280" spans="2:20" s="1" customFormat="1" x14ac:dyDescent="0.35"/>
    <row r="281" spans="2:20" s="1" customFormat="1" x14ac:dyDescent="0.35"/>
    <row r="282" spans="2:20" s="1" customFormat="1" x14ac:dyDescent="0.35"/>
    <row r="283" spans="2:20" s="1" customFormat="1" x14ac:dyDescent="0.35"/>
    <row r="284" spans="2:20" s="1" customFormat="1" x14ac:dyDescent="0.35"/>
    <row r="285" spans="2:20" s="1" customFormat="1" x14ac:dyDescent="0.35"/>
    <row r="286" spans="2:20" s="1" customFormat="1" x14ac:dyDescent="0.35"/>
    <row r="287" spans="2:20" s="1" customFormat="1" x14ac:dyDescent="0.35"/>
    <row r="288" spans="2:20" s="1" customFormat="1" x14ac:dyDescent="0.35"/>
    <row r="289" s="1" customFormat="1" x14ac:dyDescent="0.35"/>
    <row r="290" s="1" customFormat="1" x14ac:dyDescent="0.35"/>
    <row r="291" s="1" customFormat="1" x14ac:dyDescent="0.35"/>
    <row r="292" s="1" customFormat="1" x14ac:dyDescent="0.35"/>
    <row r="293" s="1" customFormat="1" x14ac:dyDescent="0.35"/>
    <row r="294" s="1" customFormat="1" x14ac:dyDescent="0.35"/>
    <row r="295" s="1" customFormat="1" x14ac:dyDescent="0.35"/>
    <row r="296" s="1" customFormat="1" x14ac:dyDescent="0.35"/>
    <row r="297" s="1" customFormat="1" x14ac:dyDescent="0.35"/>
    <row r="298" s="1" customFormat="1" x14ac:dyDescent="0.35"/>
    <row r="299" s="1" customFormat="1" x14ac:dyDescent="0.35"/>
    <row r="300" s="1" customFormat="1" x14ac:dyDescent="0.35"/>
    <row r="301" s="1" customFormat="1" x14ac:dyDescent="0.35"/>
    <row r="302" s="1" customFormat="1" x14ac:dyDescent="0.35"/>
    <row r="303" s="1" customFormat="1" x14ac:dyDescent="0.35"/>
    <row r="304" s="1" customFormat="1" x14ac:dyDescent="0.35"/>
    <row r="305" s="1" customFormat="1" x14ac:dyDescent="0.35"/>
    <row r="306" s="1" customFormat="1" x14ac:dyDescent="0.35"/>
    <row r="307" s="1" customFormat="1" x14ac:dyDescent="0.35"/>
    <row r="308" s="1" customFormat="1" x14ac:dyDescent="0.35"/>
    <row r="309" s="1" customFormat="1" x14ac:dyDescent="0.35"/>
    <row r="310" s="1" customFormat="1" x14ac:dyDescent="0.35"/>
    <row r="311" s="1" customFormat="1" x14ac:dyDescent="0.35"/>
  </sheetData>
  <mergeCells count="23">
    <mergeCell ref="O31:R31"/>
    <mergeCell ref="S31:S32"/>
    <mergeCell ref="T31:T32"/>
    <mergeCell ref="B25:L25"/>
    <mergeCell ref="B27:L27"/>
    <mergeCell ref="B28:L28"/>
    <mergeCell ref="B30:L30"/>
    <mergeCell ref="B31:B32"/>
    <mergeCell ref="C31:F31"/>
    <mergeCell ref="G31:J31"/>
    <mergeCell ref="K31:N31"/>
    <mergeCell ref="B19:L19"/>
    <mergeCell ref="B20:L20"/>
    <mergeCell ref="B21:L21"/>
    <mergeCell ref="B22:L22"/>
    <mergeCell ref="B23:L23"/>
    <mergeCell ref="B24:L24"/>
    <mergeCell ref="B2:L2"/>
    <mergeCell ref="C3:L3"/>
    <mergeCell ref="B5:L5"/>
    <mergeCell ref="B16:L16"/>
    <mergeCell ref="B17:L17"/>
    <mergeCell ref="B18:L18"/>
  </mergeCells>
  <conditionalFormatting sqref="T33:T278">
    <cfRule type="colorScale" priority="1">
      <colorScale>
        <cfvo type="num" val="0"/>
        <cfvo type="num" val="0"/>
        <color rgb="FFFF0000"/>
        <color theme="9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C1_PERMANENTE</vt:lpstr>
      <vt:lpstr>C2_ALL_WEATHER</vt:lpstr>
      <vt:lpstr>C3_MOMENTUM</vt:lpstr>
      <vt:lpstr>C4 · BARBELL (NASSIM TALEB)</vt:lpstr>
      <vt:lpstr>C5 · CRESCIMENTO AGRESSIVO</vt:lpstr>
      <vt:lpstr>C6 · BRASIL + DÓLAR + OURO</vt:lpstr>
      <vt:lpstr>C7 · ROTATIVA POR CICLO ECONÔMI</vt:lpstr>
    </vt:vector>
  </TitlesOfParts>
  <Company>Sicredi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Felipe Klaesener</dc:creator>
  <cp:lastModifiedBy>Tiago Felipe Klaesener</cp:lastModifiedBy>
  <dcterms:created xsi:type="dcterms:W3CDTF">2026-06-15T12:55:31Z</dcterms:created>
  <dcterms:modified xsi:type="dcterms:W3CDTF">2026-06-19T14:29:13Z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2026-06-15T20:09:38Z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28863cac-b4c7-410a-9cb7-d42d2edae378</vt:lpwstr>
  </property>
  <property fmtid="{D5CDD505-2E9C-101B-9397-08002B2CF9AE}" pid="8" name="MSIP_Label_99deea41-824f-4c3c-afd5-7afdfc16eee8_ContentBits">
    <vt:lpwstr>2</vt:lpwstr>
  </property>
  <property fmtid="{D5CDD505-2E9C-101B-9397-08002B2CF9AE}" pid="9" name="MSIP_Label_99deea41-824f-4c3c-afd5-7afdfc16eee8_Tag">
    <vt:lpwstr>10, 3, 0, 1</vt:lpwstr>
  </property>
</Properties>
</file>